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IN RAPOT 25-26\1 Ready Rapot 25-26\Ready rapot 2 aly 25-26\"/>
    </mc:Choice>
  </mc:AlternateContent>
  <xr:revisionPtr revIDLastSave="0" documentId="13_ncr:1_{B1952852-57E8-4B6F-A7EF-4487101D8FA0}" xr6:coauthVersionLast="47" xr6:coauthVersionMax="47" xr10:uidLastSave="{00000000-0000-0000-0000-000000000000}"/>
  <bookViews>
    <workbookView xWindow="-120" yWindow="-120" windowWidth="29040" windowHeight="15720" firstSheet="5" activeTab="15" xr2:uid="{00000000-000D-0000-FFFF-FFFF00000000}"/>
  </bookViews>
  <sheets>
    <sheet name="2 ALIYAH A" sheetId="1" r:id="rId1"/>
    <sheet name="2 ALIYAH B" sheetId="2" r:id="rId2"/>
    <sheet name="2 ALIYAH C" sheetId="3" r:id="rId3"/>
    <sheet name="2 ALIYAH D" sheetId="7" r:id="rId4"/>
    <sheet name="2 ALIYAH E" sheetId="9" r:id="rId5"/>
    <sheet name="2 ALIYAH F" sheetId="11" r:id="rId6"/>
    <sheet name="2 ALIYAH G" sheetId="15" r:id="rId7"/>
    <sheet name="2 ALIYAH H" sheetId="17" r:id="rId8"/>
    <sheet name="2 ALY A" sheetId="4" r:id="rId9"/>
    <sheet name="2 ALY B" sheetId="5" r:id="rId10"/>
    <sheet name="2 ALY C" sheetId="6" r:id="rId11"/>
    <sheet name="2 ALY D" sheetId="8" r:id="rId12"/>
    <sheet name="2 ALY E" sheetId="10" r:id="rId13"/>
    <sheet name="2 ALY F" sheetId="12" r:id="rId14"/>
    <sheet name="2 ALY G" sheetId="16" r:id="rId15"/>
    <sheet name="2 ALY H" sheetId="19" r:id="rId16"/>
  </sheets>
  <externalReferences>
    <externalReference r:id="rId17"/>
  </externalReferenc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" i="16" l="1"/>
  <c r="H39" i="16"/>
  <c r="H49" i="12"/>
  <c r="H47" i="12"/>
  <c r="H46" i="12"/>
  <c r="AB20" i="6"/>
  <c r="AB21" i="6"/>
  <c r="AB22" i="6"/>
  <c r="AB23" i="6"/>
  <c r="AB24" i="6"/>
  <c r="AB25" i="6"/>
  <c r="AB26" i="6"/>
  <c r="T6" i="3"/>
  <c r="T7" i="3"/>
  <c r="AC20" i="5"/>
  <c r="AC21" i="5"/>
  <c r="AC22" i="5"/>
  <c r="AC24" i="5"/>
  <c r="AC25" i="5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6" i="5"/>
  <c r="AC27" i="5"/>
  <c r="AC28" i="5"/>
  <c r="AC29" i="5"/>
  <c r="AC30" i="5"/>
  <c r="AC31" i="5"/>
  <c r="AC32" i="5"/>
  <c r="AC33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22" i="4"/>
  <c r="H38" i="10"/>
  <c r="H38" i="12"/>
  <c r="H33" i="12"/>
  <c r="H40" i="16"/>
  <c r="J32" i="16"/>
  <c r="H41" i="16" s="1"/>
  <c r="H44" i="19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H48" i="12"/>
  <c r="H45" i="12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Y7" i="10"/>
  <c r="T7" i="10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2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2" i="16"/>
  <c r="B2" i="12"/>
  <c r="F32" i="16"/>
  <c r="H50" i="16"/>
  <c r="H49" i="16"/>
  <c r="H48" i="16"/>
  <c r="H47" i="16"/>
  <c r="H46" i="16"/>
  <c r="H45" i="16"/>
  <c r="H44" i="16"/>
  <c r="H43" i="16"/>
  <c r="H42" i="16"/>
  <c r="H38" i="16"/>
  <c r="T14" i="16"/>
  <c r="Y14" i="16"/>
  <c r="X3" i="16"/>
  <c r="X4" i="16"/>
  <c r="X5" i="16"/>
  <c r="X6" i="16"/>
  <c r="X7" i="16"/>
  <c r="X8" i="16"/>
  <c r="X9" i="16"/>
  <c r="X10" i="16"/>
  <c r="X11" i="16"/>
  <c r="X12" i="16"/>
  <c r="X13" i="16"/>
  <c r="X14" i="16"/>
  <c r="X15" i="16"/>
  <c r="X16" i="16"/>
  <c r="X17" i="16"/>
  <c r="X18" i="16"/>
  <c r="X19" i="16"/>
  <c r="X20" i="16"/>
  <c r="X21" i="16"/>
  <c r="X22" i="16"/>
  <c r="X23" i="16"/>
  <c r="X24" i="16"/>
  <c r="X25" i="16"/>
  <c r="X26" i="16"/>
  <c r="X27" i="16"/>
  <c r="X28" i="16"/>
  <c r="X29" i="16"/>
  <c r="X30" i="16"/>
  <c r="X31" i="16"/>
  <c r="H42" i="12"/>
  <c r="H41" i="12"/>
  <c r="H40" i="12"/>
  <c r="H51" i="12"/>
  <c r="H50" i="12"/>
  <c r="H44" i="12"/>
  <c r="H43" i="12"/>
  <c r="H39" i="12"/>
  <c r="T14" i="12"/>
  <c r="T3" i="12"/>
  <c r="H47" i="5"/>
  <c r="H45" i="5"/>
  <c r="H46" i="5"/>
  <c r="H44" i="5"/>
  <c r="H43" i="5"/>
  <c r="H42" i="5"/>
  <c r="H52" i="5"/>
  <c r="H51" i="5"/>
  <c r="H50" i="5"/>
  <c r="H49" i="5"/>
  <c r="H48" i="5"/>
  <c r="H41" i="5"/>
  <c r="H39" i="5"/>
  <c r="AK8" i="19"/>
  <c r="AK9" i="19"/>
  <c r="AK10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G8" i="19"/>
  <c r="AG9" i="19"/>
  <c r="AG10" i="19"/>
  <c r="AG11" i="19"/>
  <c r="AG12" i="19"/>
  <c r="AG13" i="19"/>
  <c r="AG14" i="19"/>
  <c r="AG15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Y8" i="19"/>
  <c r="Y9" i="19"/>
  <c r="Y10" i="19"/>
  <c r="Y11" i="19"/>
  <c r="Y12" i="19"/>
  <c r="Y13" i="19"/>
  <c r="Y14" i="19"/>
  <c r="Y15" i="19"/>
  <c r="Y16" i="19"/>
  <c r="Y17" i="19"/>
  <c r="Y18" i="19"/>
  <c r="Y19" i="19"/>
  <c r="Z19" i="19" s="1"/>
  <c r="AB19" i="19" s="1"/>
  <c r="Y21" i="19"/>
  <c r="Y22" i="19"/>
  <c r="Y23" i="19"/>
  <c r="Y24" i="19"/>
  <c r="Y25" i="19"/>
  <c r="Y26" i="19"/>
  <c r="Y27" i="19"/>
  <c r="Y28" i="19"/>
  <c r="Y29" i="19"/>
  <c r="Y30" i="19"/>
  <c r="Y31" i="19"/>
  <c r="Y32" i="19"/>
  <c r="X8" i="19"/>
  <c r="X9" i="19"/>
  <c r="X10" i="19"/>
  <c r="X11" i="19"/>
  <c r="X12" i="19"/>
  <c r="X13" i="19"/>
  <c r="X14" i="19"/>
  <c r="X15" i="19"/>
  <c r="X16" i="19"/>
  <c r="X17" i="19"/>
  <c r="X18" i="19"/>
  <c r="X19" i="19"/>
  <c r="X20" i="19"/>
  <c r="X21" i="19"/>
  <c r="X22" i="19"/>
  <c r="X23" i="19"/>
  <c r="X24" i="19"/>
  <c r="X25" i="19"/>
  <c r="X26" i="19"/>
  <c r="X27" i="19"/>
  <c r="X28" i="19"/>
  <c r="X29" i="19"/>
  <c r="X30" i="19"/>
  <c r="X31" i="19"/>
  <c r="X32" i="19"/>
  <c r="T8" i="19"/>
  <c r="T9" i="19"/>
  <c r="T10" i="19"/>
  <c r="T11" i="19"/>
  <c r="T12" i="19"/>
  <c r="T13" i="19"/>
  <c r="Z13" i="19" s="1"/>
  <c r="AB13" i="19" s="1"/>
  <c r="T14" i="19"/>
  <c r="Z14" i="19" s="1"/>
  <c r="AB14" i="19" s="1"/>
  <c r="T15" i="19"/>
  <c r="T16" i="19"/>
  <c r="T17" i="19"/>
  <c r="T18" i="19"/>
  <c r="T19" i="19"/>
  <c r="T21" i="19"/>
  <c r="Z21" i="19" s="1"/>
  <c r="AB21" i="19" s="1"/>
  <c r="T22" i="19"/>
  <c r="Z22" i="19" s="1"/>
  <c r="AB22" i="19" s="1"/>
  <c r="T23" i="19"/>
  <c r="T24" i="19"/>
  <c r="T25" i="19"/>
  <c r="T26" i="19"/>
  <c r="T27" i="19"/>
  <c r="T28" i="19"/>
  <c r="T29" i="19"/>
  <c r="Z29" i="19" s="1"/>
  <c r="AB29" i="19" s="1"/>
  <c r="T30" i="19"/>
  <c r="Z30" i="19" s="1"/>
  <c r="AB30" i="19" s="1"/>
  <c r="T31" i="19"/>
  <c r="T32" i="19"/>
  <c r="T7" i="19"/>
  <c r="AK3" i="19"/>
  <c r="AK4" i="19"/>
  <c r="AK5" i="19"/>
  <c r="AK6" i="19"/>
  <c r="AK7" i="19"/>
  <c r="AJ3" i="19"/>
  <c r="AJ4" i="19"/>
  <c r="AJ5" i="19"/>
  <c r="AJ6" i="19"/>
  <c r="AJ7" i="19"/>
  <c r="AJ8" i="19"/>
  <c r="AJ9" i="19"/>
  <c r="AJ10" i="19"/>
  <c r="AJ11" i="19"/>
  <c r="AJ12" i="19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I3" i="19"/>
  <c r="AI4" i="19"/>
  <c r="AI5" i="19"/>
  <c r="AI6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G3" i="19"/>
  <c r="AG4" i="19"/>
  <c r="AG5" i="19"/>
  <c r="AG6" i="19"/>
  <c r="AF3" i="19"/>
  <c r="AF4" i="19"/>
  <c r="AF5" i="19"/>
  <c r="AF6" i="19"/>
  <c r="AF7" i="19"/>
  <c r="AG7" i="19" s="1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E3" i="19"/>
  <c r="AE4" i="19"/>
  <c r="AE5" i="19"/>
  <c r="AE6" i="19"/>
  <c r="AE7" i="19"/>
  <c r="AE8" i="19"/>
  <c r="AE9" i="19"/>
  <c r="AE10" i="19"/>
  <c r="AE11" i="19"/>
  <c r="AE12" i="19"/>
  <c r="AE13" i="19"/>
  <c r="AE14" i="19"/>
  <c r="AE15" i="19"/>
  <c r="AE16" i="19"/>
  <c r="AE17" i="19"/>
  <c r="AE18" i="19"/>
  <c r="AE19" i="19"/>
  <c r="AE20" i="19"/>
  <c r="AE21" i="19"/>
  <c r="AE22" i="19"/>
  <c r="AE23" i="19"/>
  <c r="AE24" i="19"/>
  <c r="AE25" i="19"/>
  <c r="AE26" i="19"/>
  <c r="AE27" i="19"/>
  <c r="AE28" i="19"/>
  <c r="AE29" i="19"/>
  <c r="AE30" i="19"/>
  <c r="AE31" i="19"/>
  <c r="AE32" i="19"/>
  <c r="AC3" i="19"/>
  <c r="AC4" i="19"/>
  <c r="AC5" i="19"/>
  <c r="AC6" i="19"/>
  <c r="AB3" i="19"/>
  <c r="AB4" i="19"/>
  <c r="AB5" i="19"/>
  <c r="AB6" i="19"/>
  <c r="AB7" i="19"/>
  <c r="AC7" i="19" s="1"/>
  <c r="Z3" i="19"/>
  <c r="Z4" i="19"/>
  <c r="Z5" i="19"/>
  <c r="Z6" i="19"/>
  <c r="Z7" i="19"/>
  <c r="Z9" i="19"/>
  <c r="AB9" i="19" s="1"/>
  <c r="Z10" i="19"/>
  <c r="AB10" i="19" s="1"/>
  <c r="Z17" i="19"/>
  <c r="AB17" i="19" s="1"/>
  <c r="Z18" i="19"/>
  <c r="AB18" i="19" s="1"/>
  <c r="Z25" i="19"/>
  <c r="AB25" i="19" s="1"/>
  <c r="Z26" i="19"/>
  <c r="AB26" i="19" s="1"/>
  <c r="Y3" i="19"/>
  <c r="Y4" i="19"/>
  <c r="Y5" i="19"/>
  <c r="Y6" i="19"/>
  <c r="Y7" i="19"/>
  <c r="X3" i="19"/>
  <c r="X4" i="19"/>
  <c r="X5" i="19"/>
  <c r="X6" i="19"/>
  <c r="X7" i="19"/>
  <c r="X2" i="19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E30" i="5"/>
  <c r="E31" i="5"/>
  <c r="T31" i="5" s="1"/>
  <c r="E32" i="5"/>
  <c r="E33" i="5"/>
  <c r="AI13" i="16"/>
  <c r="AI21" i="16"/>
  <c r="AI22" i="16"/>
  <c r="AE22" i="16"/>
  <c r="AE13" i="16"/>
  <c r="AI33" i="5"/>
  <c r="AE33" i="5"/>
  <c r="AE33" i="10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H54" i="6"/>
  <c r="H53" i="6"/>
  <c r="H52" i="6"/>
  <c r="H51" i="6"/>
  <c r="H50" i="6"/>
  <c r="H49" i="6"/>
  <c r="H48" i="6"/>
  <c r="H47" i="6"/>
  <c r="H46" i="6"/>
  <c r="H45" i="6"/>
  <c r="H44" i="6"/>
  <c r="H43" i="6"/>
  <c r="H41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Z12" i="19" l="1"/>
  <c r="AB12" i="19" s="1"/>
  <c r="Z27" i="19"/>
  <c r="AB27" i="19" s="1"/>
  <c r="Z11" i="19"/>
  <c r="AB11" i="19" s="1"/>
  <c r="Z28" i="19"/>
  <c r="AB28" i="19" s="1"/>
  <c r="Z32" i="19"/>
  <c r="AB32" i="19" s="1"/>
  <c r="Z24" i="19"/>
  <c r="AB24" i="19" s="1"/>
  <c r="Z16" i="19"/>
  <c r="AB16" i="19" s="1"/>
  <c r="Z8" i="19"/>
  <c r="AB8" i="19" s="1"/>
  <c r="Z31" i="19"/>
  <c r="AB31" i="19" s="1"/>
  <c r="Z23" i="19"/>
  <c r="AB23" i="19" s="1"/>
  <c r="Z15" i="19"/>
  <c r="AB15" i="19" s="1"/>
  <c r="S33" i="19"/>
  <c r="H51" i="19" s="1"/>
  <c r="R33" i="19"/>
  <c r="H50" i="19" s="1"/>
  <c r="Q33" i="19"/>
  <c r="H49" i="19" s="1"/>
  <c r="P33" i="19"/>
  <c r="H48" i="19" s="1"/>
  <c r="O33" i="19"/>
  <c r="H47" i="19" s="1"/>
  <c r="N33" i="19"/>
  <c r="H46" i="19" s="1"/>
  <c r="M33" i="19"/>
  <c r="H45" i="19" s="1"/>
  <c r="L33" i="19"/>
  <c r="K33" i="19"/>
  <c r="H43" i="19" s="1"/>
  <c r="J33" i="19"/>
  <c r="H42" i="19" s="1"/>
  <c r="I33" i="19"/>
  <c r="H41" i="19" s="1"/>
  <c r="H33" i="19"/>
  <c r="H40" i="19" s="1"/>
  <c r="G33" i="19"/>
  <c r="F33" i="19"/>
  <c r="E33" i="19" s="1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T20" i="19" s="1"/>
  <c r="Y20" i="19" s="1"/>
  <c r="Z20" i="19" s="1"/>
  <c r="AB20" i="19" s="1"/>
  <c r="AC20" i="19" s="1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T6" i="19" s="1"/>
  <c r="E5" i="19"/>
  <c r="T5" i="19" s="1"/>
  <c r="E4" i="19"/>
  <c r="T4" i="19" s="1"/>
  <c r="E3" i="19"/>
  <c r="T3" i="19" s="1"/>
  <c r="AJ2" i="19"/>
  <c r="AI2" i="19"/>
  <c r="AF2" i="19"/>
  <c r="AE2" i="19"/>
  <c r="E2" i="19"/>
  <c r="T2" i="19" s="1"/>
  <c r="Y2" i="19" s="1"/>
  <c r="H38" i="19" l="1"/>
  <c r="H52" i="19" s="1"/>
  <c r="T33" i="19"/>
  <c r="AG2" i="19"/>
  <c r="AK2" i="19"/>
  <c r="Z2" i="19"/>
  <c r="AB2" i="19" s="1"/>
  <c r="AC2" i="19" s="1"/>
  <c r="E21" i="15"/>
  <c r="T21" i="15" s="1"/>
  <c r="E22" i="15"/>
  <c r="H52" i="2"/>
  <c r="H51" i="2"/>
  <c r="H50" i="2"/>
  <c r="H49" i="2"/>
  <c r="H48" i="2"/>
  <c r="H47" i="2"/>
  <c r="H46" i="2"/>
  <c r="H44" i="2"/>
  <c r="H43" i="2"/>
  <c r="H42" i="2"/>
  <c r="H41" i="2"/>
  <c r="H40" i="2"/>
  <c r="H39" i="2"/>
  <c r="O34" i="2"/>
  <c r="H55" i="3"/>
  <c r="L33" i="9"/>
  <c r="H42" i="3"/>
  <c r="H41" i="3"/>
  <c r="H54" i="3"/>
  <c r="H53" i="3"/>
  <c r="H52" i="3"/>
  <c r="H51" i="3"/>
  <c r="H50" i="3"/>
  <c r="H49" i="3"/>
  <c r="H48" i="3"/>
  <c r="H46" i="3"/>
  <c r="H45" i="3"/>
  <c r="H44" i="3"/>
  <c r="H43" i="3"/>
  <c r="H40" i="11" l="1"/>
  <c r="H39" i="11"/>
  <c r="H38" i="11"/>
  <c r="H40" i="17"/>
  <c r="H39" i="17"/>
  <c r="H38" i="17"/>
  <c r="L33" i="17"/>
  <c r="H51" i="17"/>
  <c r="H50" i="17"/>
  <c r="H49" i="17"/>
  <c r="H48" i="17"/>
  <c r="H47" i="17"/>
  <c r="H46" i="17"/>
  <c r="H45" i="17"/>
  <c r="H43" i="17"/>
  <c r="H42" i="17"/>
  <c r="H41" i="17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H50" i="9"/>
  <c r="H49" i="9"/>
  <c r="H48" i="9"/>
  <c r="H47" i="9"/>
  <c r="H46" i="9"/>
  <c r="H45" i="9"/>
  <c r="H43" i="9"/>
  <c r="H42" i="9"/>
  <c r="H41" i="9"/>
  <c r="H40" i="9"/>
  <c r="H39" i="9"/>
  <c r="H38" i="9"/>
  <c r="H51" i="7"/>
  <c r="H50" i="7"/>
  <c r="H49" i="7"/>
  <c r="H48" i="7"/>
  <c r="H47" i="7"/>
  <c r="H46" i="7"/>
  <c r="H44" i="7"/>
  <c r="H43" i="7"/>
  <c r="H42" i="7"/>
  <c r="H41" i="7"/>
  <c r="H40" i="7"/>
  <c r="H39" i="7"/>
  <c r="E17" i="3"/>
  <c r="T17" i="3" s="1"/>
  <c r="E25" i="2"/>
  <c r="T25" i="2" s="1"/>
  <c r="E26" i="2"/>
  <c r="T26" i="2" s="1"/>
  <c r="E3" i="3"/>
  <c r="E4" i="3"/>
  <c r="E5" i="3"/>
  <c r="E6" i="3"/>
  <c r="E7" i="3"/>
  <c r="E8" i="3"/>
  <c r="E9" i="3"/>
  <c r="T9" i="3" s="1"/>
  <c r="E10" i="3"/>
  <c r="E11" i="3"/>
  <c r="E24" i="3"/>
  <c r="C17" i="11" l="1"/>
  <c r="E2" i="6" l="1"/>
  <c r="E12" i="7"/>
  <c r="E24" i="7"/>
  <c r="T24" i="7" s="1"/>
  <c r="E6" i="7"/>
  <c r="T6" i="7" l="1"/>
  <c r="S33" i="17"/>
  <c r="R33" i="17"/>
  <c r="Q33" i="17"/>
  <c r="P33" i="17"/>
  <c r="O33" i="17"/>
  <c r="N33" i="17"/>
  <c r="M33" i="17"/>
  <c r="K33" i="17"/>
  <c r="J33" i="17"/>
  <c r="I33" i="17"/>
  <c r="H33" i="17"/>
  <c r="G33" i="17"/>
  <c r="F33" i="17"/>
  <c r="E33" i="17" s="1"/>
  <c r="E32" i="17"/>
  <c r="T32" i="17" s="1"/>
  <c r="E31" i="17"/>
  <c r="T31" i="17" s="1"/>
  <c r="E30" i="17"/>
  <c r="T30" i="17" s="1"/>
  <c r="E29" i="17"/>
  <c r="T29" i="17" s="1"/>
  <c r="E28" i="17"/>
  <c r="T28" i="17" s="1"/>
  <c r="E27" i="17"/>
  <c r="T27" i="17" s="1"/>
  <c r="T26" i="17"/>
  <c r="E26" i="17"/>
  <c r="E25" i="17"/>
  <c r="T25" i="17" s="1"/>
  <c r="E24" i="17"/>
  <c r="T24" i="17" s="1"/>
  <c r="E23" i="17"/>
  <c r="T23" i="17" s="1"/>
  <c r="E22" i="17"/>
  <c r="T22" i="17" s="1"/>
  <c r="E21" i="17"/>
  <c r="T21" i="17" s="1"/>
  <c r="E20" i="17"/>
  <c r="T20" i="17" s="1"/>
  <c r="E19" i="17"/>
  <c r="T19" i="17" s="1"/>
  <c r="E18" i="17"/>
  <c r="T18" i="17" s="1"/>
  <c r="E17" i="17"/>
  <c r="T17" i="17" s="1"/>
  <c r="E16" i="17"/>
  <c r="T16" i="17" s="1"/>
  <c r="E15" i="17"/>
  <c r="T15" i="17" s="1"/>
  <c r="E14" i="17"/>
  <c r="T14" i="17" s="1"/>
  <c r="E13" i="17"/>
  <c r="T13" i="17" s="1"/>
  <c r="E12" i="17"/>
  <c r="T12" i="17" s="1"/>
  <c r="E11" i="17"/>
  <c r="T11" i="17" s="1"/>
  <c r="E10" i="17"/>
  <c r="T10" i="17" s="1"/>
  <c r="E9" i="17"/>
  <c r="T9" i="17" s="1"/>
  <c r="E8" i="17"/>
  <c r="T8" i="17" s="1"/>
  <c r="E7" i="17"/>
  <c r="T7" i="17" s="1"/>
  <c r="E6" i="17"/>
  <c r="T6" i="17" s="1"/>
  <c r="E5" i="17"/>
  <c r="T5" i="17" s="1"/>
  <c r="E4" i="17"/>
  <c r="T4" i="17" s="1"/>
  <c r="E3" i="17"/>
  <c r="T3" i="17" s="1"/>
  <c r="E2" i="17"/>
  <c r="T2" i="17" s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C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E3" i="6"/>
  <c r="T3" i="6" s="1"/>
  <c r="E4" i="6"/>
  <c r="E5" i="6"/>
  <c r="E6" i="6"/>
  <c r="E7" i="6"/>
  <c r="E8" i="6"/>
  <c r="T8" i="6" s="1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7" i="5"/>
  <c r="E8" i="5"/>
  <c r="E9" i="5"/>
  <c r="T9" i="5" s="1"/>
  <c r="E10" i="5"/>
  <c r="E11" i="5"/>
  <c r="E12" i="5"/>
  <c r="H34" i="5"/>
  <c r="F34" i="5"/>
  <c r="P34" i="5"/>
  <c r="K32" i="4"/>
  <c r="M33" i="12"/>
  <c r="F33" i="12" a="1"/>
  <c r="F33" i="12" s="1"/>
  <c r="Q40" i="8"/>
  <c r="H56" i="8" s="1"/>
  <c r="AJ3" i="16"/>
  <c r="AJ4" i="16"/>
  <c r="AJ5" i="16"/>
  <c r="AJ6" i="16"/>
  <c r="AJ7" i="16"/>
  <c r="AJ8" i="16"/>
  <c r="AJ9" i="16"/>
  <c r="AJ10" i="16"/>
  <c r="AJ11" i="16"/>
  <c r="AJ12" i="16"/>
  <c r="AJ13" i="16"/>
  <c r="AJ14" i="16"/>
  <c r="AJ15" i="16"/>
  <c r="AJ16" i="16"/>
  <c r="AJ17" i="16"/>
  <c r="AJ18" i="16"/>
  <c r="AJ19" i="16"/>
  <c r="AJ20" i="16"/>
  <c r="AJ21" i="16"/>
  <c r="AJ22" i="16"/>
  <c r="AJ23" i="16"/>
  <c r="AJ24" i="16"/>
  <c r="AJ25" i="16"/>
  <c r="AJ26" i="16"/>
  <c r="AJ27" i="16"/>
  <c r="AJ28" i="16"/>
  <c r="AJ29" i="16"/>
  <c r="AJ30" i="16"/>
  <c r="AJ31" i="16"/>
  <c r="AF3" i="16"/>
  <c r="AF4" i="16"/>
  <c r="AF5" i="16"/>
  <c r="AF6" i="16"/>
  <c r="AF7" i="16"/>
  <c r="AF8" i="16"/>
  <c r="AF9" i="16"/>
  <c r="AF10" i="16"/>
  <c r="AF11" i="16"/>
  <c r="AF12" i="16"/>
  <c r="AF13" i="16"/>
  <c r="AG13" i="16" s="1"/>
  <c r="AF14" i="16"/>
  <c r="AF15" i="16"/>
  <c r="AF16" i="16"/>
  <c r="AF17" i="16"/>
  <c r="AF18" i="16"/>
  <c r="AF19" i="16"/>
  <c r="AF20" i="16"/>
  <c r="AF21" i="16"/>
  <c r="AF22" i="16"/>
  <c r="AF23" i="16"/>
  <c r="AF24" i="16"/>
  <c r="AF25" i="16"/>
  <c r="AF26" i="16"/>
  <c r="AF27" i="16"/>
  <c r="AF28" i="16"/>
  <c r="AF29" i="16"/>
  <c r="AF30" i="16"/>
  <c r="AF31" i="16"/>
  <c r="AI3" i="16"/>
  <c r="AK3" i="16" s="1"/>
  <c r="AI4" i="16"/>
  <c r="AI5" i="16"/>
  <c r="AI6" i="16"/>
  <c r="AK6" i="16" s="1"/>
  <c r="AI7" i="16"/>
  <c r="AI8" i="16"/>
  <c r="AI9" i="16"/>
  <c r="AK9" i="16" s="1"/>
  <c r="AI10" i="16"/>
  <c r="AK10" i="16" s="1"/>
  <c r="AI11" i="16"/>
  <c r="AI12" i="16"/>
  <c r="AK13" i="16"/>
  <c r="AI14" i="16"/>
  <c r="AK14" i="16" s="1"/>
  <c r="AI15" i="16"/>
  <c r="AI16" i="16"/>
  <c r="AI17" i="16"/>
  <c r="AK17" i="16" s="1"/>
  <c r="AI18" i="16"/>
  <c r="AK18" i="16" s="1"/>
  <c r="AI19" i="16"/>
  <c r="AI20" i="16"/>
  <c r="AK21" i="16"/>
  <c r="AI23" i="16"/>
  <c r="AI24" i="16"/>
  <c r="AI25" i="16"/>
  <c r="AI26" i="16"/>
  <c r="AI27" i="16"/>
  <c r="AI28" i="16"/>
  <c r="AI29" i="16"/>
  <c r="AK29" i="16" s="1"/>
  <c r="AI30" i="16"/>
  <c r="AK30" i="16" s="1"/>
  <c r="AI31" i="16"/>
  <c r="AI2" i="16"/>
  <c r="AE3" i="16"/>
  <c r="AE4" i="16"/>
  <c r="AE5" i="16"/>
  <c r="AE6" i="16"/>
  <c r="AE7" i="16"/>
  <c r="AE8" i="16"/>
  <c r="AE9" i="16"/>
  <c r="AG9" i="16" s="1"/>
  <c r="AE10" i="16"/>
  <c r="AE11" i="16"/>
  <c r="AE12" i="16"/>
  <c r="AE14" i="16"/>
  <c r="AE15" i="16"/>
  <c r="AE16" i="16"/>
  <c r="AE17" i="16"/>
  <c r="AE18" i="16"/>
  <c r="AE19" i="16"/>
  <c r="AE20" i="16"/>
  <c r="AE21" i="16"/>
  <c r="AE23" i="16"/>
  <c r="AE24" i="16"/>
  <c r="AE25" i="16"/>
  <c r="AE26" i="16"/>
  <c r="AE27" i="16"/>
  <c r="AE28" i="16"/>
  <c r="AE29" i="16"/>
  <c r="AE30" i="16"/>
  <c r="AE31" i="16"/>
  <c r="AE2" i="16"/>
  <c r="E3" i="16"/>
  <c r="T3" i="16" s="1"/>
  <c r="Y3" i="16" s="1"/>
  <c r="E4" i="16"/>
  <c r="T4" i="16" s="1"/>
  <c r="Y4" i="16" s="1"/>
  <c r="E5" i="16"/>
  <c r="T5" i="16" s="1"/>
  <c r="Y5" i="16" s="1"/>
  <c r="E6" i="16"/>
  <c r="T6" i="16" s="1"/>
  <c r="Y6" i="16" s="1"/>
  <c r="E7" i="16"/>
  <c r="T7" i="16" s="1"/>
  <c r="Y7" i="16" s="1"/>
  <c r="E8" i="16"/>
  <c r="T8" i="16" s="1"/>
  <c r="Y8" i="16" s="1"/>
  <c r="E9" i="16"/>
  <c r="T9" i="16" s="1"/>
  <c r="Y9" i="16" s="1"/>
  <c r="E10" i="16"/>
  <c r="T10" i="16" s="1"/>
  <c r="Y10" i="16" s="1"/>
  <c r="E11" i="16"/>
  <c r="T11" i="16" s="1"/>
  <c r="Y11" i="16" s="1"/>
  <c r="E12" i="16"/>
  <c r="T12" i="16" s="1"/>
  <c r="Y12" i="16" s="1"/>
  <c r="E13" i="16"/>
  <c r="T13" i="16" s="1"/>
  <c r="Y13" i="16" s="1"/>
  <c r="E14" i="16"/>
  <c r="E15" i="16"/>
  <c r="T15" i="16" s="1"/>
  <c r="Y15" i="16" s="1"/>
  <c r="E16" i="16"/>
  <c r="T16" i="16" s="1"/>
  <c r="Y16" i="16" s="1"/>
  <c r="E17" i="16"/>
  <c r="T17" i="16" s="1"/>
  <c r="Y17" i="16" s="1"/>
  <c r="E18" i="16"/>
  <c r="T18" i="16" s="1"/>
  <c r="Y18" i="16" s="1"/>
  <c r="E19" i="16"/>
  <c r="T19" i="16" s="1"/>
  <c r="Y19" i="16" s="1"/>
  <c r="E20" i="16"/>
  <c r="T20" i="16" s="1"/>
  <c r="Y20" i="16" s="1"/>
  <c r="E21" i="16"/>
  <c r="T21" i="16" s="1"/>
  <c r="Y21" i="16" s="1"/>
  <c r="E22" i="16"/>
  <c r="T22" i="16" s="1"/>
  <c r="Y22" i="16" s="1"/>
  <c r="E23" i="16"/>
  <c r="T23" i="16" s="1"/>
  <c r="Y23" i="16" s="1"/>
  <c r="E24" i="16"/>
  <c r="T24" i="16" s="1"/>
  <c r="Y24" i="16" s="1"/>
  <c r="E25" i="16"/>
  <c r="T25" i="16" s="1"/>
  <c r="Y25" i="16" s="1"/>
  <c r="E26" i="16"/>
  <c r="T26" i="16" s="1"/>
  <c r="Y26" i="16" s="1"/>
  <c r="E27" i="16"/>
  <c r="T27" i="16" s="1"/>
  <c r="Y27" i="16" s="1"/>
  <c r="E28" i="16"/>
  <c r="T28" i="16" s="1"/>
  <c r="Y28" i="16" s="1"/>
  <c r="E29" i="16"/>
  <c r="T29" i="16" s="1"/>
  <c r="Y29" i="16" s="1"/>
  <c r="E30" i="16"/>
  <c r="T30" i="16" s="1"/>
  <c r="Y30" i="16" s="1"/>
  <c r="E31" i="16"/>
  <c r="T31" i="16" s="1"/>
  <c r="Y31" i="16" s="1"/>
  <c r="E2" i="16"/>
  <c r="E2" i="12"/>
  <c r="G33" i="12"/>
  <c r="AI3" i="12"/>
  <c r="AI4" i="12"/>
  <c r="AI5" i="12"/>
  <c r="AI6" i="12"/>
  <c r="AI7" i="12"/>
  <c r="AI8" i="12"/>
  <c r="AI9" i="12"/>
  <c r="AI10" i="12"/>
  <c r="AI11" i="12"/>
  <c r="AI12" i="12"/>
  <c r="AI13" i="12"/>
  <c r="AI14" i="12"/>
  <c r="AI15" i="12"/>
  <c r="AI16" i="12"/>
  <c r="AI17" i="12"/>
  <c r="AI18" i="12"/>
  <c r="AI19" i="12"/>
  <c r="AI20" i="12"/>
  <c r="AI21" i="12"/>
  <c r="AI22" i="12"/>
  <c r="AI23" i="12"/>
  <c r="AI24" i="12"/>
  <c r="AI25" i="12"/>
  <c r="AI26" i="12"/>
  <c r="AI27" i="12"/>
  <c r="AI28" i="12"/>
  <c r="AI29" i="12"/>
  <c r="AI30" i="12"/>
  <c r="AI31" i="12"/>
  <c r="AI32" i="12"/>
  <c r="AE3" i="12"/>
  <c r="AE4" i="12"/>
  <c r="AE5" i="12"/>
  <c r="AE6" i="12"/>
  <c r="AE7" i="12"/>
  <c r="AE8" i="12"/>
  <c r="AE9" i="12"/>
  <c r="AE10" i="12"/>
  <c r="AE11" i="12"/>
  <c r="AE1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F33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T15" i="10" s="1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2" i="10"/>
  <c r="E2" i="8"/>
  <c r="AE3" i="8"/>
  <c r="AE4" i="8"/>
  <c r="AE5" i="8"/>
  <c r="F40" i="8"/>
  <c r="E3" i="8"/>
  <c r="E4" i="8"/>
  <c r="E5" i="8"/>
  <c r="E6" i="8"/>
  <c r="E7" i="8"/>
  <c r="T7" i="8" s="1"/>
  <c r="E8" i="8"/>
  <c r="E9" i="8"/>
  <c r="E10" i="8"/>
  <c r="E11" i="8"/>
  <c r="E12" i="8"/>
  <c r="E13" i="8"/>
  <c r="E14" i="8"/>
  <c r="E15" i="8"/>
  <c r="E16" i="8"/>
  <c r="E17" i="8"/>
  <c r="E18" i="8"/>
  <c r="T18" i="8" s="1"/>
  <c r="E19" i="8"/>
  <c r="E20" i="8"/>
  <c r="T20" i="8" s="1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T2" i="6"/>
  <c r="AI3" i="6"/>
  <c r="AI4" i="6"/>
  <c r="AI5" i="6"/>
  <c r="AI6" i="6"/>
  <c r="AI7" i="6"/>
  <c r="AI8" i="6"/>
  <c r="AI36" i="6"/>
  <c r="F36" i="6"/>
  <c r="E2" i="5"/>
  <c r="AE2" i="5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F32" i="4"/>
  <c r="T7" i="11"/>
  <c r="X7" i="12" s="1"/>
  <c r="T22" i="11"/>
  <c r="X22" i="12" s="1"/>
  <c r="AK7" i="16" l="1"/>
  <c r="AG17" i="16"/>
  <c r="AG5" i="16"/>
  <c r="AK25" i="16"/>
  <c r="AG31" i="16"/>
  <c r="AG27" i="16"/>
  <c r="AG23" i="16"/>
  <c r="AG19" i="16"/>
  <c r="AG15" i="16"/>
  <c r="AG11" i="16"/>
  <c r="H52" i="17"/>
  <c r="AG28" i="16"/>
  <c r="AG24" i="16"/>
  <c r="AG16" i="16"/>
  <c r="AG12" i="16"/>
  <c r="AG30" i="16"/>
  <c r="AG26" i="16"/>
  <c r="AG22" i="16"/>
  <c r="AG10" i="16"/>
  <c r="AG7" i="16"/>
  <c r="AK28" i="16"/>
  <c r="AK24" i="16"/>
  <c r="AK20" i="16"/>
  <c r="AK16" i="16"/>
  <c r="AK12" i="16"/>
  <c r="AK5" i="16"/>
  <c r="AK31" i="16"/>
  <c r="AK27" i="16"/>
  <c r="AK23" i="16"/>
  <c r="AK19" i="16"/>
  <c r="AK15" i="16"/>
  <c r="AK11" i="16"/>
  <c r="AK8" i="16"/>
  <c r="AK4" i="16"/>
  <c r="AG6" i="16"/>
  <c r="AG20" i="16"/>
  <c r="AG29" i="16"/>
  <c r="AK26" i="16"/>
  <c r="AG25" i="16"/>
  <c r="AK22" i="16"/>
  <c r="AG21" i="16"/>
  <c r="AG18" i="16"/>
  <c r="AG14" i="16"/>
  <c r="AG8" i="16"/>
  <c r="AG4" i="16"/>
  <c r="AG3" i="16"/>
  <c r="T2" i="16"/>
  <c r="Y2" i="16" s="1"/>
  <c r="T4" i="11"/>
  <c r="X4" i="12" s="1"/>
  <c r="L32" i="15"/>
  <c r="E3" i="15"/>
  <c r="T3" i="15" s="1"/>
  <c r="Z3" i="16" s="1"/>
  <c r="AB3" i="16" s="1"/>
  <c r="AC3" i="16" s="1"/>
  <c r="E4" i="15"/>
  <c r="T4" i="15" s="1"/>
  <c r="Z4" i="16" s="1"/>
  <c r="AB4" i="16" s="1"/>
  <c r="AC4" i="16" s="1"/>
  <c r="E5" i="15"/>
  <c r="T5" i="15" s="1"/>
  <c r="Z5" i="16" s="1"/>
  <c r="AB5" i="16" s="1"/>
  <c r="AC5" i="16" s="1"/>
  <c r="E6" i="15"/>
  <c r="T6" i="15" s="1"/>
  <c r="Z6" i="16" s="1"/>
  <c r="AB6" i="16" s="1"/>
  <c r="AC6" i="16" s="1"/>
  <c r="E7" i="15"/>
  <c r="T7" i="15" s="1"/>
  <c r="Z7" i="16" s="1"/>
  <c r="AB7" i="16" s="1"/>
  <c r="AC7" i="16" s="1"/>
  <c r="E8" i="15"/>
  <c r="T8" i="15" s="1"/>
  <c r="Z8" i="16" s="1"/>
  <c r="AB8" i="16" s="1"/>
  <c r="AC8" i="16" s="1"/>
  <c r="E9" i="15"/>
  <c r="T9" i="15" s="1"/>
  <c r="Z9" i="16" s="1"/>
  <c r="AB9" i="16" s="1"/>
  <c r="AC9" i="16" s="1"/>
  <c r="E10" i="15"/>
  <c r="T10" i="15" s="1"/>
  <c r="Z10" i="16" s="1"/>
  <c r="AB10" i="16" s="1"/>
  <c r="AC10" i="16" s="1"/>
  <c r="E11" i="15"/>
  <c r="T11" i="15" s="1"/>
  <c r="Z11" i="16" s="1"/>
  <c r="AB11" i="16" s="1"/>
  <c r="AC11" i="16" s="1"/>
  <c r="E12" i="15"/>
  <c r="T12" i="15" s="1"/>
  <c r="Z12" i="16" s="1"/>
  <c r="AB12" i="16" s="1"/>
  <c r="AC12" i="16" s="1"/>
  <c r="Z13" i="16"/>
  <c r="AB13" i="16" s="1"/>
  <c r="AC13" i="16" s="1"/>
  <c r="E13" i="15"/>
  <c r="T13" i="15" s="1"/>
  <c r="Z14" i="16" s="1"/>
  <c r="AB14" i="16" s="1"/>
  <c r="AC14" i="16" s="1"/>
  <c r="E14" i="15"/>
  <c r="T14" i="15" s="1"/>
  <c r="Z15" i="16" s="1"/>
  <c r="AB15" i="16" s="1"/>
  <c r="AC15" i="16" s="1"/>
  <c r="E15" i="15"/>
  <c r="T15" i="15" s="1"/>
  <c r="Z16" i="16" s="1"/>
  <c r="AB16" i="16" s="1"/>
  <c r="AC16" i="16" s="1"/>
  <c r="E16" i="15"/>
  <c r="T16" i="15" s="1"/>
  <c r="Z17" i="16" s="1"/>
  <c r="AB17" i="16" s="1"/>
  <c r="AC17" i="16" s="1"/>
  <c r="E17" i="15"/>
  <c r="T17" i="15" s="1"/>
  <c r="Z18" i="16" s="1"/>
  <c r="AB18" i="16" s="1"/>
  <c r="AC18" i="16" s="1"/>
  <c r="E18" i="15"/>
  <c r="T18" i="15" s="1"/>
  <c r="Z19" i="16" s="1"/>
  <c r="AB19" i="16" s="1"/>
  <c r="AC19" i="16" s="1"/>
  <c r="E19" i="15"/>
  <c r="T19" i="15" s="1"/>
  <c r="Z20" i="16" s="1"/>
  <c r="AB20" i="16" s="1"/>
  <c r="AC20" i="16" s="1"/>
  <c r="E20" i="15"/>
  <c r="T20" i="15" s="1"/>
  <c r="Z21" i="16" s="1"/>
  <c r="AB21" i="16" s="1"/>
  <c r="AC21" i="16" s="1"/>
  <c r="Z22" i="16"/>
  <c r="AB22" i="16" s="1"/>
  <c r="AC22" i="16" s="1"/>
  <c r="T22" i="15"/>
  <c r="Z23" i="16" s="1"/>
  <c r="AB23" i="16" s="1"/>
  <c r="AC23" i="16" s="1"/>
  <c r="E23" i="15"/>
  <c r="T23" i="15" s="1"/>
  <c r="Z24" i="16" s="1"/>
  <c r="AB24" i="16" s="1"/>
  <c r="AC24" i="16" s="1"/>
  <c r="E24" i="15"/>
  <c r="T24" i="15" s="1"/>
  <c r="Z25" i="16" s="1"/>
  <c r="AB25" i="16" s="1"/>
  <c r="AC25" i="16" s="1"/>
  <c r="E25" i="15"/>
  <c r="T25" i="15" s="1"/>
  <c r="Z26" i="16" s="1"/>
  <c r="AB26" i="16" s="1"/>
  <c r="AC26" i="16" s="1"/>
  <c r="E26" i="15"/>
  <c r="T26" i="15" s="1"/>
  <c r="Z27" i="16" s="1"/>
  <c r="AB27" i="16" s="1"/>
  <c r="AC27" i="16" s="1"/>
  <c r="E27" i="15"/>
  <c r="T27" i="15" s="1"/>
  <c r="Z28" i="16" s="1"/>
  <c r="AB28" i="16" s="1"/>
  <c r="AC28" i="16" s="1"/>
  <c r="E28" i="15"/>
  <c r="T28" i="15" s="1"/>
  <c r="Z29" i="16" s="1"/>
  <c r="AB29" i="16" s="1"/>
  <c r="AC29" i="16" s="1"/>
  <c r="E29" i="15"/>
  <c r="T29" i="15" s="1"/>
  <c r="Z30" i="16" s="1"/>
  <c r="AB30" i="16" s="1"/>
  <c r="AC30" i="16" s="1"/>
  <c r="E30" i="15"/>
  <c r="T30" i="15" s="1"/>
  <c r="Z31" i="16" s="1"/>
  <c r="AB31" i="16" s="1"/>
  <c r="AC31" i="16" s="1"/>
  <c r="E31" i="15"/>
  <c r="T31" i="15" s="1"/>
  <c r="E2" i="15"/>
  <c r="E2" i="11"/>
  <c r="E2" i="9"/>
  <c r="T2" i="9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2" i="7"/>
  <c r="E3" i="7"/>
  <c r="T3" i="7" s="1"/>
  <c r="E4" i="7"/>
  <c r="T4" i="7" s="1"/>
  <c r="E5" i="7"/>
  <c r="T5" i="7" s="1"/>
  <c r="E7" i="7"/>
  <c r="T7" i="7" s="1"/>
  <c r="E8" i="7"/>
  <c r="T8" i="7" s="1"/>
  <c r="E9" i="7"/>
  <c r="T9" i="7" s="1"/>
  <c r="E10" i="7"/>
  <c r="T10" i="7" s="1"/>
  <c r="E11" i="7"/>
  <c r="T11" i="7" s="1"/>
  <c r="T12" i="7"/>
  <c r="E13" i="7"/>
  <c r="T13" i="7" s="1"/>
  <c r="E14" i="7"/>
  <c r="T14" i="7" s="1"/>
  <c r="E15" i="7"/>
  <c r="T15" i="7" s="1"/>
  <c r="E16" i="7"/>
  <c r="T16" i="7" s="1"/>
  <c r="E17" i="7"/>
  <c r="T17" i="7" s="1"/>
  <c r="E18" i="7"/>
  <c r="T18" i="7" s="1"/>
  <c r="E19" i="7"/>
  <c r="T19" i="7" s="1"/>
  <c r="E20" i="7"/>
  <c r="T20" i="7" s="1"/>
  <c r="E21" i="7"/>
  <c r="T21" i="7" s="1"/>
  <c r="E22" i="7"/>
  <c r="T22" i="7" s="1"/>
  <c r="E23" i="7"/>
  <c r="T23" i="7" s="1"/>
  <c r="E25" i="7"/>
  <c r="T25" i="7" s="1"/>
  <c r="E26" i="7"/>
  <c r="T26" i="7" s="1"/>
  <c r="E27" i="7"/>
  <c r="T27" i="7" s="1"/>
  <c r="E28" i="7"/>
  <c r="T28" i="7" s="1"/>
  <c r="E29" i="7"/>
  <c r="T29" i="7" s="1"/>
  <c r="E30" i="7"/>
  <c r="T30" i="7" s="1"/>
  <c r="E31" i="7"/>
  <c r="T31" i="7" s="1"/>
  <c r="E32" i="7"/>
  <c r="T32" i="7" s="1"/>
  <c r="E33" i="7"/>
  <c r="T33" i="7" s="1"/>
  <c r="E2" i="3"/>
  <c r="E3" i="5"/>
  <c r="E4" i="5"/>
  <c r="E5" i="5"/>
  <c r="T5" i="5" s="1"/>
  <c r="E6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T29" i="5" s="1"/>
  <c r="E3" i="2"/>
  <c r="T3" i="2" s="1"/>
  <c r="E4" i="2"/>
  <c r="T4" i="2" s="1"/>
  <c r="E5" i="2"/>
  <c r="T5" i="2" s="1"/>
  <c r="E6" i="2"/>
  <c r="T6" i="2" s="1"/>
  <c r="E7" i="2"/>
  <c r="T7" i="2" s="1"/>
  <c r="E8" i="2"/>
  <c r="T8" i="2" s="1"/>
  <c r="E9" i="2"/>
  <c r="T9" i="2" s="1"/>
  <c r="E10" i="2"/>
  <c r="T10" i="2" s="1"/>
  <c r="E11" i="2"/>
  <c r="T11" i="2" s="1"/>
  <c r="E12" i="2"/>
  <c r="T12" i="2" s="1"/>
  <c r="E13" i="2"/>
  <c r="T13" i="2" s="1"/>
  <c r="E14" i="2"/>
  <c r="T14" i="2" s="1"/>
  <c r="E15" i="2"/>
  <c r="T15" i="2" s="1"/>
  <c r="E16" i="2"/>
  <c r="T16" i="2" s="1"/>
  <c r="E17" i="2"/>
  <c r="T17" i="2" s="1"/>
  <c r="E18" i="2"/>
  <c r="T18" i="2" s="1"/>
  <c r="E19" i="2"/>
  <c r="T19" i="2" s="1"/>
  <c r="E20" i="2"/>
  <c r="T20" i="2" s="1"/>
  <c r="E21" i="2"/>
  <c r="T21" i="2" s="1"/>
  <c r="E22" i="2"/>
  <c r="T22" i="2" s="1"/>
  <c r="E23" i="2"/>
  <c r="T23" i="2" s="1"/>
  <c r="E24" i="2"/>
  <c r="T24" i="2" s="1"/>
  <c r="E27" i="2"/>
  <c r="T27" i="2" s="1"/>
  <c r="E28" i="2"/>
  <c r="T28" i="2" s="1"/>
  <c r="E29" i="2"/>
  <c r="T29" i="2" s="1"/>
  <c r="E30" i="2"/>
  <c r="T30" i="2" s="1"/>
  <c r="E31" i="2"/>
  <c r="T31" i="2" s="1"/>
  <c r="E32" i="2"/>
  <c r="T32" i="2" s="1"/>
  <c r="E33" i="2"/>
  <c r="T33" i="2" s="1"/>
  <c r="E2" i="2"/>
  <c r="E3" i="1"/>
  <c r="T3" i="1" s="1"/>
  <c r="X3" i="4" s="1"/>
  <c r="E4" i="1"/>
  <c r="T4" i="1" s="1"/>
  <c r="X4" i="4" s="1"/>
  <c r="E5" i="1"/>
  <c r="T5" i="1" s="1"/>
  <c r="X5" i="4" s="1"/>
  <c r="E2" i="1"/>
  <c r="T2" i="1" s="1"/>
  <c r="E6" i="1"/>
  <c r="T6" i="1" s="1"/>
  <c r="X6" i="4" s="1"/>
  <c r="E7" i="1"/>
  <c r="T7" i="1" s="1"/>
  <c r="X7" i="4" s="1"/>
  <c r="E8" i="1"/>
  <c r="T8" i="1" s="1"/>
  <c r="X8" i="4" s="1"/>
  <c r="E9" i="1"/>
  <c r="T9" i="1" s="1"/>
  <c r="X9" i="4" s="1"/>
  <c r="E10" i="1"/>
  <c r="T10" i="1" s="1"/>
  <c r="X10" i="4" s="1"/>
  <c r="E11" i="1"/>
  <c r="T11" i="1" s="1"/>
  <c r="X11" i="4" s="1"/>
  <c r="E12" i="1"/>
  <c r="T12" i="1" s="1"/>
  <c r="X12" i="4" s="1"/>
  <c r="E13" i="1"/>
  <c r="T13" i="1" s="1"/>
  <c r="X13" i="4" s="1"/>
  <c r="E14" i="1"/>
  <c r="T14" i="1" s="1"/>
  <c r="X14" i="4" s="1"/>
  <c r="E15" i="1"/>
  <c r="T15" i="1" s="1"/>
  <c r="X15" i="4" s="1"/>
  <c r="E16" i="1"/>
  <c r="T16" i="1" s="1"/>
  <c r="X16" i="4" s="1"/>
  <c r="E17" i="1"/>
  <c r="T17" i="1" s="1"/>
  <c r="X17" i="4" s="1"/>
  <c r="E18" i="1"/>
  <c r="T18" i="1" s="1"/>
  <c r="X18" i="4" s="1"/>
  <c r="E19" i="1"/>
  <c r="T19" i="1" s="1"/>
  <c r="X19" i="4" s="1"/>
  <c r="E20" i="1"/>
  <c r="T20" i="1" s="1"/>
  <c r="X20" i="4" s="1"/>
  <c r="E21" i="1"/>
  <c r="T21" i="1" s="1"/>
  <c r="X21" i="4" s="1"/>
  <c r="E22" i="1"/>
  <c r="T22" i="1" s="1"/>
  <c r="E23" i="1"/>
  <c r="T23" i="1" s="1"/>
  <c r="X23" i="4" s="1"/>
  <c r="E24" i="1"/>
  <c r="T24" i="1" s="1"/>
  <c r="X24" i="4" s="1"/>
  <c r="E25" i="1"/>
  <c r="T25" i="1" s="1"/>
  <c r="X25" i="4" s="1"/>
  <c r="E26" i="1"/>
  <c r="T26" i="1" s="1"/>
  <c r="X26" i="4" s="1"/>
  <c r="E27" i="1"/>
  <c r="T27" i="1" s="1"/>
  <c r="X27" i="4" s="1"/>
  <c r="E28" i="1"/>
  <c r="T28" i="1" s="1"/>
  <c r="X28" i="4" s="1"/>
  <c r="E29" i="1"/>
  <c r="T29" i="1" s="1"/>
  <c r="X29" i="4" s="1"/>
  <c r="E30" i="1"/>
  <c r="T30" i="1" s="1"/>
  <c r="X30" i="4" s="1"/>
  <c r="E31" i="1"/>
  <c r="T31" i="1" s="1"/>
  <c r="X31" i="4" s="1"/>
  <c r="S32" i="16"/>
  <c r="R32" i="16"/>
  <c r="Q32" i="16"/>
  <c r="P32" i="16"/>
  <c r="O32" i="16"/>
  <c r="N32" i="16"/>
  <c r="M32" i="16"/>
  <c r="L32" i="16"/>
  <c r="K32" i="16"/>
  <c r="I32" i="16"/>
  <c r="H32" i="16"/>
  <c r="G32" i="16"/>
  <c r="E32" i="16"/>
  <c r="AJ2" i="16"/>
  <c r="AF2" i="16"/>
  <c r="S32" i="15"/>
  <c r="H50" i="15" s="1"/>
  <c r="R32" i="15"/>
  <c r="H49" i="15" s="1"/>
  <c r="Q32" i="15"/>
  <c r="H48" i="15" s="1"/>
  <c r="P32" i="15"/>
  <c r="H47" i="15" s="1"/>
  <c r="O32" i="15"/>
  <c r="H46" i="15" s="1"/>
  <c r="N32" i="15"/>
  <c r="H45" i="15" s="1"/>
  <c r="M32" i="15"/>
  <c r="H44" i="15" s="1"/>
  <c r="K32" i="15"/>
  <c r="H42" i="15" s="1"/>
  <c r="J32" i="15"/>
  <c r="H41" i="15" s="1"/>
  <c r="I32" i="15"/>
  <c r="H40" i="15" s="1"/>
  <c r="H32" i="15"/>
  <c r="H39" i="15" s="1"/>
  <c r="G32" i="15"/>
  <c r="H38" i="15" s="1"/>
  <c r="H51" i="16" l="1"/>
  <c r="T32" i="16"/>
  <c r="AG2" i="16"/>
  <c r="AK2" i="16"/>
  <c r="F33" i="9" l="1"/>
  <c r="E33" i="9" s="1"/>
  <c r="T29" i="8" l="1"/>
  <c r="T30" i="8"/>
  <c r="AE3" i="6"/>
  <c r="AF3" i="6"/>
  <c r="AJ3" i="6"/>
  <c r="AE4" i="6"/>
  <c r="AF4" i="6"/>
  <c r="AJ4" i="6"/>
  <c r="AE5" i="6"/>
  <c r="AF5" i="6"/>
  <c r="AJ5" i="6"/>
  <c r="AE6" i="6"/>
  <c r="AF6" i="6"/>
  <c r="AJ6" i="6"/>
  <c r="AE7" i="6"/>
  <c r="AF7" i="6"/>
  <c r="AJ7" i="6"/>
  <c r="AE8" i="6"/>
  <c r="AF8" i="6"/>
  <c r="AJ8" i="6"/>
  <c r="AF9" i="6"/>
  <c r="AJ9" i="6"/>
  <c r="AF10" i="6"/>
  <c r="AJ10" i="6"/>
  <c r="AF11" i="6"/>
  <c r="AJ11" i="6"/>
  <c r="AF12" i="6"/>
  <c r="AJ12" i="6"/>
  <c r="AF13" i="6"/>
  <c r="AJ13" i="6"/>
  <c r="AF14" i="6"/>
  <c r="AJ14" i="6"/>
  <c r="AF15" i="6"/>
  <c r="AJ15" i="6"/>
  <c r="AF16" i="6"/>
  <c r="AJ16" i="6"/>
  <c r="AF17" i="6"/>
  <c r="AJ17" i="6"/>
  <c r="AF18" i="6"/>
  <c r="AJ18" i="6"/>
  <c r="AK18" i="6" s="1"/>
  <c r="AF19" i="6"/>
  <c r="AJ19" i="6"/>
  <c r="AF20" i="6"/>
  <c r="AJ20" i="6"/>
  <c r="AF21" i="6"/>
  <c r="AJ21" i="6"/>
  <c r="AF22" i="6"/>
  <c r="AJ22" i="6"/>
  <c r="AF23" i="6"/>
  <c r="AJ23" i="6"/>
  <c r="AF24" i="6"/>
  <c r="AJ24" i="6"/>
  <c r="AF25" i="6"/>
  <c r="AJ25" i="6"/>
  <c r="AF26" i="6"/>
  <c r="AJ26" i="6"/>
  <c r="AF27" i="6"/>
  <c r="AJ27" i="6"/>
  <c r="AF28" i="6"/>
  <c r="AJ28" i="6"/>
  <c r="AF29" i="6"/>
  <c r="AJ29" i="6"/>
  <c r="AF30" i="6"/>
  <c r="AJ30" i="6"/>
  <c r="AF31" i="6"/>
  <c r="AJ31" i="6"/>
  <c r="AF32" i="6"/>
  <c r="AJ32" i="6"/>
  <c r="AF33" i="6"/>
  <c r="AJ33" i="6"/>
  <c r="AK33" i="6" s="1"/>
  <c r="AF34" i="6"/>
  <c r="AJ34" i="6"/>
  <c r="AF35" i="6"/>
  <c r="AJ35" i="6"/>
  <c r="A13" i="5"/>
  <c r="S34" i="5"/>
  <c r="R34" i="5"/>
  <c r="Q34" i="5"/>
  <c r="O34" i="5"/>
  <c r="N34" i="5"/>
  <c r="M34" i="5"/>
  <c r="L34" i="5"/>
  <c r="K34" i="5"/>
  <c r="J34" i="5"/>
  <c r="I34" i="5"/>
  <c r="G34" i="5"/>
  <c r="S34" i="2"/>
  <c r="R34" i="2"/>
  <c r="Q34" i="2"/>
  <c r="P34" i="2"/>
  <c r="N34" i="2"/>
  <c r="M34" i="2"/>
  <c r="L34" i="2"/>
  <c r="K34" i="2"/>
  <c r="J34" i="2"/>
  <c r="I34" i="2"/>
  <c r="H34" i="2"/>
  <c r="G34" i="2"/>
  <c r="F34" i="2"/>
  <c r="AG35" i="6" l="1"/>
  <c r="AG31" i="6"/>
  <c r="AG27" i="6"/>
  <c r="AG23" i="6"/>
  <c r="AG19" i="6"/>
  <c r="AG15" i="6"/>
  <c r="AG11" i="6"/>
  <c r="AG7" i="6"/>
  <c r="AG3" i="6"/>
  <c r="AG32" i="6"/>
  <c r="AG28" i="6"/>
  <c r="AG24" i="6"/>
  <c r="AG20" i="6"/>
  <c r="AG16" i="6"/>
  <c r="AG12" i="6"/>
  <c r="AG8" i="6"/>
  <c r="AG4" i="6"/>
  <c r="AG33" i="6"/>
  <c r="AG29" i="6"/>
  <c r="AG25" i="6"/>
  <c r="AG21" i="6"/>
  <c r="AG17" i="6"/>
  <c r="AG13" i="6"/>
  <c r="AG9" i="6"/>
  <c r="AG5" i="6"/>
  <c r="AG34" i="6"/>
  <c r="AG30" i="6"/>
  <c r="AG26" i="6"/>
  <c r="AG22" i="6"/>
  <c r="AG18" i="6"/>
  <c r="AG14" i="6"/>
  <c r="AG10" i="6"/>
  <c r="AG6" i="6"/>
  <c r="AK14" i="6"/>
  <c r="AK12" i="6"/>
  <c r="AK10" i="6"/>
  <c r="AK23" i="6"/>
  <c r="AK19" i="6"/>
  <c r="AK17" i="6"/>
  <c r="AK8" i="6"/>
  <c r="AK6" i="6"/>
  <c r="AK4" i="6"/>
  <c r="AK11" i="6"/>
  <c r="AK24" i="6"/>
  <c r="AK22" i="6"/>
  <c r="AK9" i="6"/>
  <c r="AK32" i="6"/>
  <c r="AK28" i="6"/>
  <c r="AK7" i="6"/>
  <c r="AK5" i="6"/>
  <c r="AK3" i="6"/>
  <c r="AK35" i="6"/>
  <c r="AK25" i="6"/>
  <c r="AK21" i="6"/>
  <c r="AK29" i="6"/>
  <c r="AK27" i="6"/>
  <c r="AK13" i="6"/>
  <c r="AK34" i="6"/>
  <c r="AK20" i="6"/>
  <c r="AK30" i="6"/>
  <c r="AK26" i="6"/>
  <c r="AK31" i="6"/>
  <c r="AK16" i="6"/>
  <c r="AK15" i="6"/>
  <c r="AE34" i="5"/>
  <c r="AF34" i="5"/>
  <c r="AI34" i="5"/>
  <c r="AJ34" i="5"/>
  <c r="AI35" i="5"/>
  <c r="AJ35" i="5"/>
  <c r="AK35" i="5" l="1"/>
  <c r="AG34" i="5"/>
  <c r="AK34" i="5"/>
  <c r="AI2" i="12" l="1"/>
  <c r="AE2" i="12"/>
  <c r="A2" i="12"/>
  <c r="S33" i="12"/>
  <c r="R33" i="12"/>
  <c r="Q33" i="12"/>
  <c r="P33" i="12"/>
  <c r="O33" i="12"/>
  <c r="N33" i="12"/>
  <c r="L33" i="12"/>
  <c r="K33" i="12"/>
  <c r="J33" i="12"/>
  <c r="I33" i="12"/>
  <c r="E33" i="12"/>
  <c r="AJ32" i="12"/>
  <c r="AF32" i="12"/>
  <c r="T32" i="12"/>
  <c r="Y32" i="12" s="1"/>
  <c r="AJ31" i="12"/>
  <c r="AF31" i="12"/>
  <c r="AJ30" i="12"/>
  <c r="AF30" i="12"/>
  <c r="T30" i="12"/>
  <c r="Y30" i="12" s="1"/>
  <c r="AJ29" i="12"/>
  <c r="AF29" i="12"/>
  <c r="T29" i="12"/>
  <c r="Y29" i="12" s="1"/>
  <c r="AJ28" i="12"/>
  <c r="AK28" i="12" s="1"/>
  <c r="AF28" i="12"/>
  <c r="T28" i="12"/>
  <c r="Y28" i="12" s="1"/>
  <c r="AJ27" i="12"/>
  <c r="AF27" i="12"/>
  <c r="T27" i="12"/>
  <c r="Y27" i="12" s="1"/>
  <c r="AJ26" i="12"/>
  <c r="AF26" i="12"/>
  <c r="T26" i="12"/>
  <c r="Y26" i="12" s="1"/>
  <c r="AJ25" i="12"/>
  <c r="AF25" i="12"/>
  <c r="T25" i="12"/>
  <c r="Y25" i="12" s="1"/>
  <c r="AJ24" i="12"/>
  <c r="AF24" i="12"/>
  <c r="T24" i="12"/>
  <c r="Y24" i="12" s="1"/>
  <c r="AJ23" i="12"/>
  <c r="AF23" i="12"/>
  <c r="T23" i="12"/>
  <c r="Y23" i="12" s="1"/>
  <c r="AJ22" i="12"/>
  <c r="AF22" i="12"/>
  <c r="T22" i="12"/>
  <c r="Y22" i="12" s="1"/>
  <c r="AJ21" i="12"/>
  <c r="AF21" i="12"/>
  <c r="T21" i="12"/>
  <c r="Y21" i="12" s="1"/>
  <c r="AJ20" i="12"/>
  <c r="AF20" i="12"/>
  <c r="T20" i="12"/>
  <c r="Y20" i="12" s="1"/>
  <c r="AJ19" i="12"/>
  <c r="AF19" i="12"/>
  <c r="T19" i="12"/>
  <c r="Y19" i="12" s="1"/>
  <c r="AJ18" i="12"/>
  <c r="AF18" i="12"/>
  <c r="T18" i="12"/>
  <c r="Y18" i="12" s="1"/>
  <c r="AJ17" i="12"/>
  <c r="AF17" i="12"/>
  <c r="T17" i="12"/>
  <c r="Y17" i="12" s="1"/>
  <c r="AJ16" i="12"/>
  <c r="AF16" i="12"/>
  <c r="T16" i="12"/>
  <c r="Y16" i="12" s="1"/>
  <c r="AJ15" i="12"/>
  <c r="AK15" i="12" s="1"/>
  <c r="AF15" i="12"/>
  <c r="T15" i="12"/>
  <c r="Y15" i="12" s="1"/>
  <c r="AJ14" i="12"/>
  <c r="AF14" i="12"/>
  <c r="Y14" i="12"/>
  <c r="AJ13" i="12"/>
  <c r="AF13" i="12"/>
  <c r="T13" i="12"/>
  <c r="Y13" i="12" s="1"/>
  <c r="AJ12" i="12"/>
  <c r="AF12" i="12"/>
  <c r="T12" i="12"/>
  <c r="Y12" i="12" s="1"/>
  <c r="AJ11" i="12"/>
  <c r="AF11" i="12"/>
  <c r="T11" i="12"/>
  <c r="Y11" i="12" s="1"/>
  <c r="AJ10" i="12"/>
  <c r="AF10" i="12"/>
  <c r="T10" i="12"/>
  <c r="Y10" i="12" s="1"/>
  <c r="AJ9" i="12"/>
  <c r="AF9" i="12"/>
  <c r="T9" i="12"/>
  <c r="Y9" i="12" s="1"/>
  <c r="AJ8" i="12"/>
  <c r="AK8" i="12" s="1"/>
  <c r="AF8" i="12"/>
  <c r="T8" i="12"/>
  <c r="Y8" i="12" s="1"/>
  <c r="AJ7" i="12"/>
  <c r="AF7" i="12"/>
  <c r="T7" i="12"/>
  <c r="Y7" i="12" s="1"/>
  <c r="AJ6" i="12"/>
  <c r="AF6" i="12"/>
  <c r="T6" i="12"/>
  <c r="Y6" i="12" s="1"/>
  <c r="AJ5" i="12"/>
  <c r="AK5" i="12" s="1"/>
  <c r="AF5" i="12"/>
  <c r="T5" i="12"/>
  <c r="Y5" i="12" s="1"/>
  <c r="AJ4" i="12"/>
  <c r="AF4" i="12"/>
  <c r="T4" i="12"/>
  <c r="Y4" i="12" s="1"/>
  <c r="AJ3" i="12"/>
  <c r="AF3" i="12"/>
  <c r="Y3" i="12"/>
  <c r="AJ2" i="12"/>
  <c r="AF2" i="12"/>
  <c r="S33" i="11"/>
  <c r="H51" i="11" s="1"/>
  <c r="R33" i="11"/>
  <c r="H50" i="11" s="1"/>
  <c r="Q33" i="11"/>
  <c r="H49" i="11" s="1"/>
  <c r="P33" i="11"/>
  <c r="H48" i="11" s="1"/>
  <c r="O33" i="11"/>
  <c r="H47" i="11" s="1"/>
  <c r="N33" i="11"/>
  <c r="H46" i="11" s="1"/>
  <c r="M33" i="11"/>
  <c r="H45" i="11" s="1"/>
  <c r="K33" i="11"/>
  <c r="H43" i="11" s="1"/>
  <c r="J33" i="11"/>
  <c r="H42" i="11" s="1"/>
  <c r="I33" i="11"/>
  <c r="H41" i="11" s="1"/>
  <c r="H33" i="11"/>
  <c r="G33" i="11"/>
  <c r="F33" i="11"/>
  <c r="E33" i="11" s="1"/>
  <c r="T32" i="11"/>
  <c r="X32" i="12" s="1"/>
  <c r="T31" i="11"/>
  <c r="X31" i="12" s="1"/>
  <c r="T30" i="11"/>
  <c r="X30" i="12" s="1"/>
  <c r="T29" i="11"/>
  <c r="X29" i="12" s="1"/>
  <c r="T28" i="11"/>
  <c r="X28" i="12" s="1"/>
  <c r="T27" i="11"/>
  <c r="X27" i="12" s="1"/>
  <c r="T26" i="11"/>
  <c r="X26" i="12" s="1"/>
  <c r="T25" i="11"/>
  <c r="X25" i="12" s="1"/>
  <c r="T24" i="11"/>
  <c r="X24" i="12" s="1"/>
  <c r="T23" i="11"/>
  <c r="X23" i="12" s="1"/>
  <c r="T21" i="11"/>
  <c r="X21" i="12" s="1"/>
  <c r="T20" i="11"/>
  <c r="X20" i="12" s="1"/>
  <c r="T19" i="11"/>
  <c r="X19" i="12" s="1"/>
  <c r="T18" i="11"/>
  <c r="X18" i="12" s="1"/>
  <c r="T17" i="11"/>
  <c r="X17" i="12" s="1"/>
  <c r="T16" i="11"/>
  <c r="X16" i="12" s="1"/>
  <c r="T15" i="11"/>
  <c r="X15" i="12" s="1"/>
  <c r="T14" i="11"/>
  <c r="X14" i="12" s="1"/>
  <c r="T13" i="11"/>
  <c r="X13" i="12" s="1"/>
  <c r="T12" i="11"/>
  <c r="X12" i="12" s="1"/>
  <c r="T11" i="11"/>
  <c r="X11" i="12" s="1"/>
  <c r="T10" i="11"/>
  <c r="X10" i="12" s="1"/>
  <c r="T9" i="11"/>
  <c r="X9" i="12" s="1"/>
  <c r="T8" i="11"/>
  <c r="X8" i="12" s="1"/>
  <c r="T6" i="11"/>
  <c r="X6" i="12" s="1"/>
  <c r="T5" i="11"/>
  <c r="X5" i="12" s="1"/>
  <c r="T3" i="11"/>
  <c r="X3" i="12" s="1"/>
  <c r="T2" i="11"/>
  <c r="X2" i="12" s="1"/>
  <c r="Y32" i="4"/>
  <c r="AF32" i="4"/>
  <c r="AI32" i="4"/>
  <c r="AJ32" i="4"/>
  <c r="Y33" i="4"/>
  <c r="AE33" i="4"/>
  <c r="AF33" i="4"/>
  <c r="AI33" i="4"/>
  <c r="AJ33" i="4"/>
  <c r="X34" i="4"/>
  <c r="Y34" i="4"/>
  <c r="AE34" i="4"/>
  <c r="AF34" i="4"/>
  <c r="AI34" i="4"/>
  <c r="AJ34" i="4"/>
  <c r="X35" i="4"/>
  <c r="Y35" i="4"/>
  <c r="AE35" i="4"/>
  <c r="AF35" i="4"/>
  <c r="AI35" i="4"/>
  <c r="AJ35" i="4"/>
  <c r="X36" i="4"/>
  <c r="Y36" i="4"/>
  <c r="AE36" i="4"/>
  <c r="AF36" i="4"/>
  <c r="AI36" i="4"/>
  <c r="AJ36" i="4"/>
  <c r="X37" i="4"/>
  <c r="Y37" i="4"/>
  <c r="AE37" i="4"/>
  <c r="AF37" i="4"/>
  <c r="AI37" i="4"/>
  <c r="AJ37" i="4"/>
  <c r="X38" i="4"/>
  <c r="Y38" i="4"/>
  <c r="AE38" i="4"/>
  <c r="AF38" i="4"/>
  <c r="AI38" i="4"/>
  <c r="AJ38" i="4"/>
  <c r="X39" i="4"/>
  <c r="Y39" i="4"/>
  <c r="AE39" i="4"/>
  <c r="AF39" i="4"/>
  <c r="AI39" i="4"/>
  <c r="AJ39" i="4"/>
  <c r="X40" i="4"/>
  <c r="Y40" i="4"/>
  <c r="AE40" i="4"/>
  <c r="AF40" i="4"/>
  <c r="AI40" i="4"/>
  <c r="AJ40" i="4"/>
  <c r="X41" i="4"/>
  <c r="Y41" i="4"/>
  <c r="AE41" i="4"/>
  <c r="AF41" i="4"/>
  <c r="AI41" i="4"/>
  <c r="AJ41" i="4"/>
  <c r="X42" i="4"/>
  <c r="Y42" i="4"/>
  <c r="AE42" i="4"/>
  <c r="AF42" i="4"/>
  <c r="AI42" i="4"/>
  <c r="AJ42" i="4"/>
  <c r="X43" i="4"/>
  <c r="Y43" i="4"/>
  <c r="AE43" i="4"/>
  <c r="AF43" i="4"/>
  <c r="AI43" i="4"/>
  <c r="AJ43" i="4"/>
  <c r="X44" i="4"/>
  <c r="Y44" i="4"/>
  <c r="AE44" i="4"/>
  <c r="AF44" i="4"/>
  <c r="AI44" i="4"/>
  <c r="AJ44" i="4"/>
  <c r="X45" i="4"/>
  <c r="Y45" i="4"/>
  <c r="AE45" i="4"/>
  <c r="AF45" i="4"/>
  <c r="AI45" i="4"/>
  <c r="AJ45" i="4"/>
  <c r="X46" i="4"/>
  <c r="Y46" i="4"/>
  <c r="AE46" i="4"/>
  <c r="AF46" i="4"/>
  <c r="AI46" i="4"/>
  <c r="AJ46" i="4"/>
  <c r="X47" i="4"/>
  <c r="Y47" i="4"/>
  <c r="AE47" i="4"/>
  <c r="AF47" i="4"/>
  <c r="AI47" i="4"/>
  <c r="AJ47" i="4"/>
  <c r="X48" i="4"/>
  <c r="Y48" i="4"/>
  <c r="AE48" i="4"/>
  <c r="AF48" i="4"/>
  <c r="AI48" i="4"/>
  <c r="AJ48" i="4"/>
  <c r="X49" i="4"/>
  <c r="Y49" i="4"/>
  <c r="AE49" i="4"/>
  <c r="AF49" i="4"/>
  <c r="AI49" i="4"/>
  <c r="AJ49" i="4"/>
  <c r="X50" i="4"/>
  <c r="Y50" i="4"/>
  <c r="AE50" i="4"/>
  <c r="AF50" i="4"/>
  <c r="AI50" i="4"/>
  <c r="AJ50" i="4"/>
  <c r="X51" i="4"/>
  <c r="Y51" i="4"/>
  <c r="AE51" i="4"/>
  <c r="AF51" i="4"/>
  <c r="AI51" i="4"/>
  <c r="AJ51" i="4"/>
  <c r="X52" i="4"/>
  <c r="Y52" i="4"/>
  <c r="AE52" i="4"/>
  <c r="AF52" i="4"/>
  <c r="AI52" i="4"/>
  <c r="AJ52" i="4"/>
  <c r="X53" i="4"/>
  <c r="Y53" i="4"/>
  <c r="AE53" i="4"/>
  <c r="AF53" i="4"/>
  <c r="AI53" i="4"/>
  <c r="AJ53" i="4"/>
  <c r="X54" i="4"/>
  <c r="Y54" i="4"/>
  <c r="AE54" i="4"/>
  <c r="AF54" i="4"/>
  <c r="AI54" i="4"/>
  <c r="AJ54" i="4"/>
  <c r="X55" i="4"/>
  <c r="Y55" i="4"/>
  <c r="AE55" i="4"/>
  <c r="AF55" i="4"/>
  <c r="AI55" i="4"/>
  <c r="AJ55" i="4"/>
  <c r="X56" i="4"/>
  <c r="Y56" i="4"/>
  <c r="AE56" i="4"/>
  <c r="AF56" i="4"/>
  <c r="AI56" i="4"/>
  <c r="AJ56" i="4"/>
  <c r="X57" i="4"/>
  <c r="Y57" i="4"/>
  <c r="AE57" i="4"/>
  <c r="AF57" i="4"/>
  <c r="AI57" i="4"/>
  <c r="AJ57" i="4"/>
  <c r="X58" i="4"/>
  <c r="Y58" i="4"/>
  <c r="AE58" i="4"/>
  <c r="AF58" i="4"/>
  <c r="AI58" i="4"/>
  <c r="AJ58" i="4"/>
  <c r="X59" i="4"/>
  <c r="Y59" i="4"/>
  <c r="AE59" i="4"/>
  <c r="AF59" i="4"/>
  <c r="AI59" i="4"/>
  <c r="AJ59" i="4"/>
  <c r="X60" i="4"/>
  <c r="Y60" i="4"/>
  <c r="AE60" i="4"/>
  <c r="AF60" i="4"/>
  <c r="AI60" i="4"/>
  <c r="AJ60" i="4"/>
  <c r="X61" i="4"/>
  <c r="Y61" i="4"/>
  <c r="AE61" i="4"/>
  <c r="AF61" i="4"/>
  <c r="AI61" i="4"/>
  <c r="AJ61" i="4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2" i="10"/>
  <c r="T17" i="9"/>
  <c r="T32" i="9"/>
  <c r="AF39" i="8"/>
  <c r="AJ39" i="8"/>
  <c r="T31" i="12" l="1"/>
  <c r="Y31" i="12" s="1"/>
  <c r="Z31" i="12" s="1"/>
  <c r="AB31" i="12" s="1"/>
  <c r="AC31" i="12" s="1"/>
  <c r="AG3" i="12"/>
  <c r="AG21" i="12"/>
  <c r="AG61" i="4"/>
  <c r="AK60" i="4"/>
  <c r="AG60" i="4"/>
  <c r="Z60" i="4"/>
  <c r="AB60" i="4" s="1"/>
  <c r="AC60" i="4" s="1"/>
  <c r="AK59" i="4"/>
  <c r="AG59" i="4"/>
  <c r="Z59" i="4"/>
  <c r="AB59" i="4" s="1"/>
  <c r="AC59" i="4" s="1"/>
  <c r="AK58" i="4"/>
  <c r="Z58" i="4"/>
  <c r="AB58" i="4" s="1"/>
  <c r="AC58" i="4" s="1"/>
  <c r="AK56" i="4"/>
  <c r="Z48" i="4"/>
  <c r="AB48" i="4" s="1"/>
  <c r="AC48" i="4" s="1"/>
  <c r="AK47" i="4"/>
  <c r="AG47" i="4"/>
  <c r="Z47" i="4"/>
  <c r="AB47" i="4" s="1"/>
  <c r="AC47" i="4" s="1"/>
  <c r="AK46" i="4"/>
  <c r="Z46" i="4"/>
  <c r="AB46" i="4" s="1"/>
  <c r="AC46" i="4" s="1"/>
  <c r="AG45" i="4"/>
  <c r="AK44" i="4"/>
  <c r="AG44" i="4"/>
  <c r="AG41" i="4"/>
  <c r="AK40" i="4"/>
  <c r="Z40" i="4"/>
  <c r="AB40" i="4" s="1"/>
  <c r="AC40" i="4" s="1"/>
  <c r="AK39" i="4"/>
  <c r="AG39" i="4"/>
  <c r="AK38" i="4"/>
  <c r="Z38" i="4"/>
  <c r="AB38" i="4" s="1"/>
  <c r="AC38" i="4" s="1"/>
  <c r="AK36" i="4"/>
  <c r="AK20" i="12"/>
  <c r="H52" i="11"/>
  <c r="AK18" i="12"/>
  <c r="AK32" i="12"/>
  <c r="AG22" i="12"/>
  <c r="AK48" i="4"/>
  <c r="AG53" i="4"/>
  <c r="AK4" i="12"/>
  <c r="Z56" i="4"/>
  <c r="AB56" i="4" s="1"/>
  <c r="AC56" i="4" s="1"/>
  <c r="AK54" i="4"/>
  <c r="Z52" i="4"/>
  <c r="AB52" i="4" s="1"/>
  <c r="AC52" i="4" s="1"/>
  <c r="AK50" i="4"/>
  <c r="AG49" i="4"/>
  <c r="Z44" i="4"/>
  <c r="AB44" i="4" s="1"/>
  <c r="AC44" i="4" s="1"/>
  <c r="AG36" i="4"/>
  <c r="Z35" i="4"/>
  <c r="AB35" i="4" s="1"/>
  <c r="AC35" i="4" s="1"/>
  <c r="AK27" i="12"/>
  <c r="AK21" i="12"/>
  <c r="AK14" i="12"/>
  <c r="AG37" i="4"/>
  <c r="AK55" i="4"/>
  <c r="AK51" i="4"/>
  <c r="Z36" i="4"/>
  <c r="AB36" i="4" s="1"/>
  <c r="AC36" i="4" s="1"/>
  <c r="AK34" i="4"/>
  <c r="AG55" i="4"/>
  <c r="Z54" i="4"/>
  <c r="AB54" i="4" s="1"/>
  <c r="AC54" i="4" s="1"/>
  <c r="AK52" i="4"/>
  <c r="AG51" i="4"/>
  <c r="Z50" i="4"/>
  <c r="AB50" i="4" s="1"/>
  <c r="AC50" i="4" s="1"/>
  <c r="AK35" i="4"/>
  <c r="AG57" i="4"/>
  <c r="AG56" i="4"/>
  <c r="Z55" i="4"/>
  <c r="AB55" i="4" s="1"/>
  <c r="AC55" i="4" s="1"/>
  <c r="AG52" i="4"/>
  <c r="Z51" i="4"/>
  <c r="AB51" i="4" s="1"/>
  <c r="AC51" i="4" s="1"/>
  <c r="AG35" i="4"/>
  <c r="Z34" i="4"/>
  <c r="AB34" i="4" s="1"/>
  <c r="AC34" i="4" s="1"/>
  <c r="AG40" i="4"/>
  <c r="Z39" i="4"/>
  <c r="AB39" i="4" s="1"/>
  <c r="AC39" i="4" s="1"/>
  <c r="AK30" i="12"/>
  <c r="AK26" i="12"/>
  <c r="AK23" i="12"/>
  <c r="AK13" i="12"/>
  <c r="AK10" i="12"/>
  <c r="AK31" i="12"/>
  <c r="AG32" i="12"/>
  <c r="AG27" i="12"/>
  <c r="AG24" i="12"/>
  <c r="AG4" i="12"/>
  <c r="AG8" i="12"/>
  <c r="AK3" i="12"/>
  <c r="AK7" i="12"/>
  <c r="AK11" i="12"/>
  <c r="AK17" i="12"/>
  <c r="AK24" i="12"/>
  <c r="AK39" i="8"/>
  <c r="AG39" i="8"/>
  <c r="Z61" i="4"/>
  <c r="AB61" i="4" s="1"/>
  <c r="AC61" i="4" s="1"/>
  <c r="AG50" i="4"/>
  <c r="AK49" i="4"/>
  <c r="Z49" i="4"/>
  <c r="AB49" i="4" s="1"/>
  <c r="AC49" i="4" s="1"/>
  <c r="AK43" i="4"/>
  <c r="Z43" i="4"/>
  <c r="AB43" i="4" s="1"/>
  <c r="AC43" i="4" s="1"/>
  <c r="AG38" i="4"/>
  <c r="AK37" i="4"/>
  <c r="AK32" i="4"/>
  <c r="AG33" i="4"/>
  <c r="AG54" i="4"/>
  <c r="AK53" i="4"/>
  <c r="AG48" i="4"/>
  <c r="Z45" i="4"/>
  <c r="AB45" i="4" s="1"/>
  <c r="AC45" i="4" s="1"/>
  <c r="AG43" i="4"/>
  <c r="AK42" i="4"/>
  <c r="Z42" i="4"/>
  <c r="AB42" i="4" s="1"/>
  <c r="AC42" i="4" s="1"/>
  <c r="AG34" i="4"/>
  <c r="AK33" i="4"/>
  <c r="AG32" i="4"/>
  <c r="AG58" i="4"/>
  <c r="AK57" i="4"/>
  <c r="Z53" i="4"/>
  <c r="AB53" i="4" s="1"/>
  <c r="AC53" i="4" s="1"/>
  <c r="AG42" i="4"/>
  <c r="AK41" i="4"/>
  <c r="Z37" i="4"/>
  <c r="AB37" i="4" s="1"/>
  <c r="AC37" i="4" s="1"/>
  <c r="AK61" i="4"/>
  <c r="Z57" i="4"/>
  <c r="AB57" i="4" s="1"/>
  <c r="AC57" i="4" s="1"/>
  <c r="AG46" i="4"/>
  <c r="AK45" i="4"/>
  <c r="Z41" i="4"/>
  <c r="AB41" i="4" s="1"/>
  <c r="AC41" i="4" s="1"/>
  <c r="AG31" i="12"/>
  <c r="AG20" i="12"/>
  <c r="Z15" i="12"/>
  <c r="AB15" i="12" s="1"/>
  <c r="AC15" i="12" s="1"/>
  <c r="T2" i="12"/>
  <c r="Y2" i="12" s="1"/>
  <c r="Z2" i="12" s="1"/>
  <c r="AB2" i="12" s="1"/>
  <c r="AC2" i="12" s="1"/>
  <c r="AK6" i="12"/>
  <c r="AG30" i="12"/>
  <c r="AG26" i="12"/>
  <c r="AG23" i="12"/>
  <c r="AK29" i="12"/>
  <c r="AK25" i="12"/>
  <c r="AK22" i="12"/>
  <c r="AK19" i="12"/>
  <c r="AK16" i="12"/>
  <c r="AG2" i="12"/>
  <c r="AG29" i="12"/>
  <c r="AG25" i="12"/>
  <c r="AG19" i="12"/>
  <c r="AG12" i="12"/>
  <c r="AG9" i="12"/>
  <c r="AG5" i="12"/>
  <c r="AG28" i="12"/>
  <c r="AG18" i="12"/>
  <c r="Z6" i="12"/>
  <c r="AB6" i="12" s="1"/>
  <c r="AC6" i="12" s="1"/>
  <c r="Z14" i="12"/>
  <c r="AB14" i="12" s="1"/>
  <c r="AC14" i="12" s="1"/>
  <c r="Z16" i="12"/>
  <c r="AB16" i="12" s="1"/>
  <c r="AC16" i="12" s="1"/>
  <c r="Z3" i="12"/>
  <c r="AB3" i="12" s="1"/>
  <c r="AC3" i="12" s="1"/>
  <c r="Z11" i="12"/>
  <c r="AB11" i="12" s="1"/>
  <c r="AC11" i="12" s="1"/>
  <c r="Z5" i="12"/>
  <c r="AB5" i="12" s="1"/>
  <c r="AC5" i="12" s="1"/>
  <c r="Z7" i="12"/>
  <c r="AB7" i="12" s="1"/>
  <c r="AC7" i="12" s="1"/>
  <c r="Z8" i="12"/>
  <c r="AB8" i="12" s="1"/>
  <c r="AC8" i="12" s="1"/>
  <c r="Z9" i="12"/>
  <c r="AB9" i="12" s="1"/>
  <c r="AC9" i="12" s="1"/>
  <c r="AK9" i="12"/>
  <c r="AG10" i="12"/>
  <c r="AG11" i="12"/>
  <c r="Z13" i="12"/>
  <c r="AB13" i="12" s="1"/>
  <c r="AC13" i="12" s="1"/>
  <c r="AG14" i="12"/>
  <c r="AG16" i="12"/>
  <c r="Z18" i="12"/>
  <c r="AB18" i="12" s="1"/>
  <c r="AC18" i="12" s="1"/>
  <c r="Z20" i="12"/>
  <c r="AB20" i="12" s="1"/>
  <c r="AC20" i="12" s="1"/>
  <c r="Z23" i="12"/>
  <c r="AB23" i="12" s="1"/>
  <c r="AC23" i="12" s="1"/>
  <c r="AK2" i="12"/>
  <c r="Z4" i="12"/>
  <c r="AB4" i="12" s="1"/>
  <c r="AC4" i="12" s="1"/>
  <c r="AG6" i="12"/>
  <c r="AG7" i="12"/>
  <c r="Z10" i="12"/>
  <c r="AB10" i="12" s="1"/>
  <c r="AC10" i="12" s="1"/>
  <c r="Z12" i="12"/>
  <c r="AB12" i="12" s="1"/>
  <c r="AC12" i="12" s="1"/>
  <c r="AK12" i="12"/>
  <c r="AG13" i="12"/>
  <c r="AG15" i="12"/>
  <c r="AG17" i="12"/>
  <c r="Z19" i="12"/>
  <c r="AB19" i="12" s="1"/>
  <c r="AC19" i="12" s="1"/>
  <c r="Z21" i="12"/>
  <c r="AB21" i="12" s="1"/>
  <c r="AC21" i="12" s="1"/>
  <c r="Z22" i="12"/>
  <c r="AB22" i="12" s="1"/>
  <c r="AC22" i="12" s="1"/>
  <c r="Z24" i="12"/>
  <c r="AB24" i="12" s="1"/>
  <c r="AC24" i="12" s="1"/>
  <c r="Z25" i="12"/>
  <c r="AB25" i="12" s="1"/>
  <c r="AC25" i="12" s="1"/>
  <c r="Z29" i="12"/>
  <c r="AB29" i="12" s="1"/>
  <c r="AC29" i="12" s="1"/>
  <c r="Z30" i="12"/>
  <c r="AB30" i="12" s="1"/>
  <c r="AC30" i="12" s="1"/>
  <c r="Z27" i="12"/>
  <c r="AB27" i="12" s="1"/>
  <c r="AC27" i="12" s="1"/>
  <c r="Z17" i="12"/>
  <c r="AB17" i="12" s="1"/>
  <c r="AC17" i="12" s="1"/>
  <c r="Z26" i="12"/>
  <c r="AB26" i="12" s="1"/>
  <c r="AC26" i="12" s="1"/>
  <c r="Z28" i="12"/>
  <c r="AB28" i="12" s="1"/>
  <c r="AC28" i="12" s="1"/>
  <c r="Z32" i="12"/>
  <c r="AB32" i="12" s="1"/>
  <c r="AC32" i="12" s="1"/>
  <c r="H52" i="12"/>
  <c r="AI3" i="10" l="1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2" i="10"/>
  <c r="AE2" i="10"/>
  <c r="E35" i="3" l="1"/>
  <c r="T35" i="3" s="1"/>
  <c r="L33" i="10" l="1"/>
  <c r="L40" i="8"/>
  <c r="H51" i="8" s="1"/>
  <c r="L36" i="6"/>
  <c r="L32" i="4"/>
  <c r="A39" i="8" l="1"/>
  <c r="C39" i="8"/>
  <c r="B39" i="8"/>
  <c r="T34" i="6" l="1"/>
  <c r="Y34" i="6" s="1"/>
  <c r="Z34" i="6" s="1"/>
  <c r="T35" i="6"/>
  <c r="S33" i="10"/>
  <c r="R33" i="10"/>
  <c r="Q33" i="10"/>
  <c r="P33" i="10"/>
  <c r="O33" i="10"/>
  <c r="N33" i="10"/>
  <c r="M33" i="10"/>
  <c r="K33" i="10"/>
  <c r="J33" i="10"/>
  <c r="I33" i="10"/>
  <c r="H33" i="10"/>
  <c r="G33" i="10"/>
  <c r="E33" i="10"/>
  <c r="AJ32" i="10"/>
  <c r="AF32" i="10"/>
  <c r="T32" i="10"/>
  <c r="Y32" i="10" s="1"/>
  <c r="Z32" i="10" s="1"/>
  <c r="AJ31" i="10"/>
  <c r="AF31" i="10"/>
  <c r="T31" i="10"/>
  <c r="Y31" i="10" s="1"/>
  <c r="Z31" i="10" s="1"/>
  <c r="AJ30" i="10"/>
  <c r="AF30" i="10"/>
  <c r="T30" i="10"/>
  <c r="Y30" i="10" s="1"/>
  <c r="Z30" i="10" s="1"/>
  <c r="AJ29" i="10"/>
  <c r="AF29" i="10"/>
  <c r="AJ28" i="10"/>
  <c r="AF28" i="10"/>
  <c r="T28" i="10"/>
  <c r="Y28" i="10" s="1"/>
  <c r="Z28" i="10" s="1"/>
  <c r="AJ27" i="10"/>
  <c r="AF27" i="10"/>
  <c r="T27" i="10"/>
  <c r="Y27" i="10" s="1"/>
  <c r="Z27" i="10" s="1"/>
  <c r="AJ26" i="10"/>
  <c r="AF26" i="10"/>
  <c r="T26" i="10"/>
  <c r="Y26" i="10" s="1"/>
  <c r="Z26" i="10" s="1"/>
  <c r="AJ25" i="10"/>
  <c r="AF25" i="10"/>
  <c r="T25" i="10"/>
  <c r="Y25" i="10" s="1"/>
  <c r="Z25" i="10" s="1"/>
  <c r="AJ24" i="10"/>
  <c r="AF24" i="10"/>
  <c r="T24" i="10"/>
  <c r="Y24" i="10" s="1"/>
  <c r="Z24" i="10" s="1"/>
  <c r="AJ23" i="10"/>
  <c r="AK23" i="10" s="1"/>
  <c r="AF23" i="10"/>
  <c r="T23" i="10"/>
  <c r="Y23" i="10" s="1"/>
  <c r="Z23" i="10" s="1"/>
  <c r="AJ22" i="10"/>
  <c r="AF22" i="10"/>
  <c r="T22" i="10"/>
  <c r="Y22" i="10" s="1"/>
  <c r="Z22" i="10" s="1"/>
  <c r="AJ21" i="10"/>
  <c r="AK21" i="10" s="1"/>
  <c r="AF21" i="10"/>
  <c r="T21" i="10"/>
  <c r="Y21" i="10" s="1"/>
  <c r="Z21" i="10" s="1"/>
  <c r="AJ20" i="10"/>
  <c r="AF20" i="10"/>
  <c r="T20" i="10"/>
  <c r="Y20" i="10" s="1"/>
  <c r="Z20" i="10" s="1"/>
  <c r="AJ19" i="10"/>
  <c r="AK19" i="10" s="1"/>
  <c r="AF19" i="10"/>
  <c r="T19" i="10"/>
  <c r="Y19" i="10" s="1"/>
  <c r="Z19" i="10" s="1"/>
  <c r="AJ18" i="10"/>
  <c r="AF18" i="10"/>
  <c r="T18" i="10"/>
  <c r="Y18" i="10" s="1"/>
  <c r="Z18" i="10" s="1"/>
  <c r="AJ17" i="10"/>
  <c r="AK17" i="10" s="1"/>
  <c r="AF17" i="10"/>
  <c r="T17" i="10"/>
  <c r="AJ16" i="10"/>
  <c r="AF16" i="10"/>
  <c r="T16" i="10"/>
  <c r="Y16" i="10" s="1"/>
  <c r="Z16" i="10" s="1"/>
  <c r="AJ15" i="10"/>
  <c r="AF15" i="10"/>
  <c r="Y15" i="10"/>
  <c r="Z15" i="10" s="1"/>
  <c r="AJ14" i="10"/>
  <c r="AF14" i="10"/>
  <c r="AJ13" i="10"/>
  <c r="AF13" i="10"/>
  <c r="AJ12" i="10"/>
  <c r="AF12" i="10"/>
  <c r="AJ11" i="10"/>
  <c r="AF11" i="10"/>
  <c r="T11" i="10"/>
  <c r="Y11" i="10" s="1"/>
  <c r="Z11" i="10" s="1"/>
  <c r="AJ10" i="10"/>
  <c r="AF10" i="10"/>
  <c r="T10" i="10"/>
  <c r="Y10" i="10" s="1"/>
  <c r="Z10" i="10" s="1"/>
  <c r="AJ9" i="10"/>
  <c r="AF9" i="10"/>
  <c r="T9" i="10"/>
  <c r="Y9" i="10" s="1"/>
  <c r="Z9" i="10" s="1"/>
  <c r="AJ8" i="10"/>
  <c r="AF8" i="10"/>
  <c r="AJ7" i="10"/>
  <c r="AF7" i="10"/>
  <c r="Z7" i="10"/>
  <c r="AJ6" i="10"/>
  <c r="AF6" i="10"/>
  <c r="T6" i="10"/>
  <c r="Y6" i="10" s="1"/>
  <c r="Z6" i="10" s="1"/>
  <c r="AJ5" i="10"/>
  <c r="AF5" i="10"/>
  <c r="T5" i="10"/>
  <c r="Y5" i="10" s="1"/>
  <c r="Z5" i="10" s="1"/>
  <c r="AJ4" i="10"/>
  <c r="AF4" i="10"/>
  <c r="T4" i="10"/>
  <c r="Y4" i="10" s="1"/>
  <c r="Z4" i="10" s="1"/>
  <c r="AJ3" i="10"/>
  <c r="AF3" i="10"/>
  <c r="T3" i="10"/>
  <c r="Y3" i="10" s="1"/>
  <c r="Z3" i="10" s="1"/>
  <c r="AJ2" i="10"/>
  <c r="AK2" i="10" s="1"/>
  <c r="AF2" i="10"/>
  <c r="AG2" i="10" s="1"/>
  <c r="T2" i="10"/>
  <c r="Y2" i="10" s="1"/>
  <c r="S33" i="9"/>
  <c r="H51" i="9" s="1"/>
  <c r="R33" i="9"/>
  <c r="Q33" i="9"/>
  <c r="P33" i="9"/>
  <c r="O33" i="9"/>
  <c r="N33" i="9"/>
  <c r="M33" i="9"/>
  <c r="K33" i="9"/>
  <c r="J33" i="9"/>
  <c r="I33" i="9"/>
  <c r="H33" i="9"/>
  <c r="G33" i="9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6" i="9"/>
  <c r="T15" i="9"/>
  <c r="T14" i="9"/>
  <c r="T13" i="9"/>
  <c r="T12" i="9"/>
  <c r="T11" i="9"/>
  <c r="T10" i="9"/>
  <c r="T9" i="9"/>
  <c r="T8" i="9"/>
  <c r="T7" i="9"/>
  <c r="T6" i="9"/>
  <c r="T5" i="9"/>
  <c r="T4" i="9"/>
  <c r="T3" i="9"/>
  <c r="Y17" i="10" l="1"/>
  <c r="Z17" i="10" s="1"/>
  <c r="H52" i="10"/>
  <c r="AB20" i="10"/>
  <c r="AC20" i="10" s="1"/>
  <c r="X2" i="10"/>
  <c r="Y35" i="6"/>
  <c r="Z35" i="6" s="1"/>
  <c r="AB35" i="6" s="1"/>
  <c r="AC35" i="6" s="1"/>
  <c r="T12" i="10"/>
  <c r="Y12" i="10" s="1"/>
  <c r="Z12" i="10" s="1"/>
  <c r="T13" i="10"/>
  <c r="Y13" i="10" s="1"/>
  <c r="Z13" i="10" s="1"/>
  <c r="T14" i="10"/>
  <c r="Y14" i="10" s="1"/>
  <c r="Z14" i="10" s="1"/>
  <c r="T8" i="10"/>
  <c r="Y8" i="10" s="1"/>
  <c r="Z8" i="10" s="1"/>
  <c r="T29" i="10"/>
  <c r="Y29" i="10" s="1"/>
  <c r="Z29" i="10" s="1"/>
  <c r="AG9" i="10"/>
  <c r="AK18" i="10"/>
  <c r="AK22" i="10"/>
  <c r="AK25" i="10"/>
  <c r="AG27" i="10"/>
  <c r="AK31" i="10"/>
  <c r="AK32" i="10"/>
  <c r="AG3" i="10"/>
  <c r="AK20" i="10"/>
  <c r="AG25" i="10"/>
  <c r="AK27" i="10"/>
  <c r="AG31" i="10"/>
  <c r="AK3" i="10"/>
  <c r="AG4" i="10"/>
  <c r="AK5" i="10"/>
  <c r="AK7" i="10"/>
  <c r="AG8" i="10"/>
  <c r="AK10" i="10"/>
  <c r="AK13" i="10"/>
  <c r="AK15" i="10"/>
  <c r="AK26" i="10"/>
  <c r="AK29" i="10"/>
  <c r="AK4" i="10"/>
  <c r="AG5" i="10"/>
  <c r="AK6" i="10"/>
  <c r="AK8" i="10"/>
  <c r="AK11" i="10"/>
  <c r="AK12" i="10"/>
  <c r="AK14" i="10"/>
  <c r="AK16" i="10"/>
  <c r="AG26" i="10"/>
  <c r="AK28" i="10"/>
  <c r="AG29" i="10"/>
  <c r="AK30" i="10"/>
  <c r="AG32" i="10"/>
  <c r="H52" i="9"/>
  <c r="AK24" i="10"/>
  <c r="AK9" i="10"/>
  <c r="AG6" i="10"/>
  <c r="AG10" i="10"/>
  <c r="AG7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8" i="10"/>
  <c r="AG30" i="10"/>
  <c r="B5" i="6" l="1"/>
  <c r="B6" i="6"/>
  <c r="B3" i="6"/>
  <c r="B4" i="6"/>
  <c r="B7" i="6"/>
  <c r="B8" i="6"/>
  <c r="AI3" i="8" l="1"/>
  <c r="AI4" i="8"/>
  <c r="AI5" i="8"/>
  <c r="AI2" i="8"/>
  <c r="AE2" i="8"/>
  <c r="B3" i="8"/>
  <c r="C3" i="8"/>
  <c r="B4" i="8"/>
  <c r="C4" i="8"/>
  <c r="B5" i="8"/>
  <c r="C5" i="8"/>
  <c r="A34" i="8"/>
  <c r="C34" i="8"/>
  <c r="A35" i="8"/>
  <c r="C35" i="8"/>
  <c r="A36" i="8"/>
  <c r="C36" i="8"/>
  <c r="A37" i="8"/>
  <c r="C37" i="8"/>
  <c r="A38" i="8"/>
  <c r="B38" i="8"/>
  <c r="C38" i="8"/>
  <c r="B2" i="8"/>
  <c r="C2" i="8"/>
  <c r="AI2" i="6"/>
  <c r="AE2" i="6"/>
  <c r="AI3" i="5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2" i="5"/>
  <c r="AE3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I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2" i="4"/>
  <c r="AE2" i="4"/>
  <c r="S40" i="8"/>
  <c r="H58" i="8" s="1"/>
  <c r="R40" i="8"/>
  <c r="H57" i="8" s="1"/>
  <c r="P40" i="8"/>
  <c r="H55" i="8" s="1"/>
  <c r="O40" i="8"/>
  <c r="H54" i="8" s="1"/>
  <c r="N40" i="8"/>
  <c r="H53" i="8" s="1"/>
  <c r="M40" i="8"/>
  <c r="H52" i="8" s="1"/>
  <c r="K40" i="8"/>
  <c r="H50" i="8" s="1"/>
  <c r="J40" i="8"/>
  <c r="H49" i="8" s="1"/>
  <c r="I40" i="8"/>
  <c r="H48" i="8" s="1"/>
  <c r="H40" i="8"/>
  <c r="H47" i="8" s="1"/>
  <c r="G40" i="8"/>
  <c r="H46" i="8" s="1"/>
  <c r="E40" i="8"/>
  <c r="H45" i="8" s="1"/>
  <c r="AJ38" i="8"/>
  <c r="AF38" i="8"/>
  <c r="AJ37" i="8"/>
  <c r="AF37" i="8"/>
  <c r="AJ36" i="8"/>
  <c r="AF36" i="8"/>
  <c r="AJ35" i="8"/>
  <c r="AF35" i="8"/>
  <c r="AJ34" i="8"/>
  <c r="AF34" i="8"/>
  <c r="AJ33" i="8"/>
  <c r="AF33" i="8"/>
  <c r="AJ32" i="8"/>
  <c r="AF32" i="8"/>
  <c r="AJ31" i="8"/>
  <c r="AF31" i="8"/>
  <c r="AJ30" i="8"/>
  <c r="AF30" i="8"/>
  <c r="Y30" i="8"/>
  <c r="AJ29" i="8"/>
  <c r="AF29" i="8"/>
  <c r="Y29" i="8"/>
  <c r="AJ28" i="8"/>
  <c r="AK28" i="8" s="1"/>
  <c r="AF28" i="8"/>
  <c r="T28" i="8"/>
  <c r="Y28" i="8" s="1"/>
  <c r="AJ27" i="8"/>
  <c r="AF27" i="8"/>
  <c r="T27" i="8"/>
  <c r="Y27" i="8" s="1"/>
  <c r="AJ26" i="8"/>
  <c r="AF26" i="8"/>
  <c r="T26" i="8"/>
  <c r="Y26" i="8" s="1"/>
  <c r="AJ25" i="8"/>
  <c r="AF25" i="8"/>
  <c r="T25" i="8"/>
  <c r="Y25" i="8" s="1"/>
  <c r="AJ24" i="8"/>
  <c r="AF24" i="8"/>
  <c r="T24" i="8"/>
  <c r="Y24" i="8" s="1"/>
  <c r="AJ23" i="8"/>
  <c r="AF23" i="8"/>
  <c r="T23" i="8"/>
  <c r="Y23" i="8" s="1"/>
  <c r="AJ22" i="8"/>
  <c r="AF22" i="8"/>
  <c r="T22" i="8"/>
  <c r="Y22" i="8" s="1"/>
  <c r="AJ21" i="8"/>
  <c r="AF21" i="8"/>
  <c r="T21" i="8"/>
  <c r="Y21" i="8" s="1"/>
  <c r="AJ20" i="8"/>
  <c r="AF20" i="8"/>
  <c r="Y20" i="8"/>
  <c r="AJ19" i="8"/>
  <c r="AF19" i="8"/>
  <c r="T19" i="8"/>
  <c r="Y19" i="8" s="1"/>
  <c r="AJ18" i="8"/>
  <c r="AF18" i="8"/>
  <c r="Y18" i="8"/>
  <c r="AJ17" i="8"/>
  <c r="AF17" i="8"/>
  <c r="T17" i="8"/>
  <c r="Y17" i="8" s="1"/>
  <c r="AJ16" i="8"/>
  <c r="AF16" i="8"/>
  <c r="T16" i="8"/>
  <c r="Y16" i="8" s="1"/>
  <c r="AJ15" i="8"/>
  <c r="AF15" i="8"/>
  <c r="AG15" i="8" s="1"/>
  <c r="T15" i="8"/>
  <c r="Y15" i="8" s="1"/>
  <c r="AJ14" i="8"/>
  <c r="AF14" i="8"/>
  <c r="T14" i="8"/>
  <c r="Y14" i="8" s="1"/>
  <c r="AJ13" i="8"/>
  <c r="AF13" i="8"/>
  <c r="T13" i="8"/>
  <c r="Y13" i="8" s="1"/>
  <c r="AJ12" i="8"/>
  <c r="AK12" i="8" s="1"/>
  <c r="AF12" i="8"/>
  <c r="T12" i="8"/>
  <c r="Y12" i="8" s="1"/>
  <c r="AJ11" i="8"/>
  <c r="AK11" i="8" s="1"/>
  <c r="AF11" i="8"/>
  <c r="T11" i="8"/>
  <c r="Y11" i="8" s="1"/>
  <c r="AJ10" i="8"/>
  <c r="AF10" i="8"/>
  <c r="T10" i="8"/>
  <c r="Y10" i="8" s="1"/>
  <c r="AJ9" i="8"/>
  <c r="AF9" i="8"/>
  <c r="T9" i="8"/>
  <c r="Y9" i="8" s="1"/>
  <c r="AJ8" i="8"/>
  <c r="AF8" i="8"/>
  <c r="AJ7" i="8"/>
  <c r="AF7" i="8"/>
  <c r="Y7" i="8"/>
  <c r="AJ6" i="8"/>
  <c r="AF6" i="8"/>
  <c r="T6" i="8"/>
  <c r="Y6" i="8" s="1"/>
  <c r="AJ5" i="8"/>
  <c r="AF5" i="8"/>
  <c r="T5" i="8"/>
  <c r="Y5" i="8" s="1"/>
  <c r="AJ4" i="8"/>
  <c r="AF4" i="8"/>
  <c r="T4" i="8"/>
  <c r="Y4" i="8" s="1"/>
  <c r="AJ3" i="8"/>
  <c r="AF3" i="8"/>
  <c r="T3" i="8"/>
  <c r="Y3" i="8" s="1"/>
  <c r="AJ2" i="8"/>
  <c r="AF2" i="8"/>
  <c r="T2" i="8"/>
  <c r="Y2" i="8" s="1"/>
  <c r="S36" i="6"/>
  <c r="R36" i="6"/>
  <c r="Q36" i="6"/>
  <c r="P36" i="6"/>
  <c r="O36" i="6"/>
  <c r="N36" i="6"/>
  <c r="M36" i="6"/>
  <c r="K36" i="6"/>
  <c r="J36" i="6"/>
  <c r="I36" i="6"/>
  <c r="H36" i="6"/>
  <c r="G36" i="6"/>
  <c r="E36" i="6"/>
  <c r="T33" i="6"/>
  <c r="Y33" i="6" s="1"/>
  <c r="T16" i="6"/>
  <c r="Y16" i="6" s="1"/>
  <c r="T12" i="6"/>
  <c r="Y12" i="6" s="1"/>
  <c r="AJ2" i="6"/>
  <c r="AF2" i="6"/>
  <c r="Y2" i="6"/>
  <c r="E34" i="5"/>
  <c r="AJ33" i="5"/>
  <c r="AF33" i="5"/>
  <c r="T33" i="5"/>
  <c r="AJ32" i="5"/>
  <c r="AF32" i="5"/>
  <c r="T32" i="5"/>
  <c r="AJ31" i="5"/>
  <c r="AF31" i="5"/>
  <c r="AJ30" i="5"/>
  <c r="AF30" i="5"/>
  <c r="T30" i="5"/>
  <c r="AJ29" i="5"/>
  <c r="AF29" i="5"/>
  <c r="AJ28" i="5"/>
  <c r="AF28" i="5"/>
  <c r="T28" i="5"/>
  <c r="AJ27" i="5"/>
  <c r="AF27" i="5"/>
  <c r="T27" i="5"/>
  <c r="AJ26" i="5"/>
  <c r="AF26" i="5"/>
  <c r="T26" i="5"/>
  <c r="AJ25" i="5"/>
  <c r="AF25" i="5"/>
  <c r="T25" i="5"/>
  <c r="AJ24" i="5"/>
  <c r="AF24" i="5"/>
  <c r="T24" i="5"/>
  <c r="AJ23" i="5"/>
  <c r="AF23" i="5"/>
  <c r="T23" i="5"/>
  <c r="AJ22" i="5"/>
  <c r="AF22" i="5"/>
  <c r="T22" i="5"/>
  <c r="AJ21" i="5"/>
  <c r="AF21" i="5"/>
  <c r="T21" i="5"/>
  <c r="AJ20" i="5"/>
  <c r="AF20" i="5"/>
  <c r="T20" i="5"/>
  <c r="AJ19" i="5"/>
  <c r="AF19" i="5"/>
  <c r="T19" i="5"/>
  <c r="AJ18" i="5"/>
  <c r="AF18" i="5"/>
  <c r="T18" i="5"/>
  <c r="AJ17" i="5"/>
  <c r="AF17" i="5"/>
  <c r="T17" i="5"/>
  <c r="AJ16" i="5"/>
  <c r="AF16" i="5"/>
  <c r="T16" i="5"/>
  <c r="AJ15" i="5"/>
  <c r="AF15" i="5"/>
  <c r="T15" i="5"/>
  <c r="AJ14" i="5"/>
  <c r="AF14" i="5"/>
  <c r="T14" i="5"/>
  <c r="AJ13" i="5"/>
  <c r="AF13" i="5"/>
  <c r="T13" i="5"/>
  <c r="AJ12" i="5"/>
  <c r="AF12" i="5"/>
  <c r="AJ11" i="5"/>
  <c r="AF11" i="5"/>
  <c r="T11" i="5"/>
  <c r="AJ10" i="5"/>
  <c r="AF10" i="5"/>
  <c r="T10" i="5"/>
  <c r="AJ9" i="5"/>
  <c r="AF9" i="5"/>
  <c r="AJ8" i="5"/>
  <c r="AF8" i="5"/>
  <c r="T8" i="5"/>
  <c r="AJ7" i="5"/>
  <c r="AF7" i="5"/>
  <c r="T7" i="5"/>
  <c r="AJ6" i="5"/>
  <c r="AF6" i="5"/>
  <c r="AJ5" i="5"/>
  <c r="AF5" i="5"/>
  <c r="AJ4" i="5"/>
  <c r="AF4" i="5"/>
  <c r="AJ3" i="5"/>
  <c r="AF3" i="5"/>
  <c r="AJ2" i="5"/>
  <c r="AF2" i="5"/>
  <c r="T2" i="5"/>
  <c r="Y2" i="5" s="1"/>
  <c r="AJ31" i="4"/>
  <c r="AF31" i="4"/>
  <c r="AJ30" i="4"/>
  <c r="AF30" i="4"/>
  <c r="AJ29" i="4"/>
  <c r="AF29" i="4"/>
  <c r="AG29" i="4" s="1"/>
  <c r="AJ28" i="4"/>
  <c r="AF28" i="4"/>
  <c r="AJ27" i="4"/>
  <c r="AF27" i="4"/>
  <c r="AJ26" i="4"/>
  <c r="AF26" i="4"/>
  <c r="AJ25" i="4"/>
  <c r="AF25" i="4"/>
  <c r="AJ24" i="4"/>
  <c r="AF24" i="4"/>
  <c r="AJ23" i="4"/>
  <c r="AF23" i="4"/>
  <c r="AJ22" i="4"/>
  <c r="AF22" i="4"/>
  <c r="AJ21" i="4"/>
  <c r="AF21" i="4"/>
  <c r="AG21" i="4" s="1"/>
  <c r="AJ20" i="4"/>
  <c r="AF20" i="4"/>
  <c r="AJ19" i="4"/>
  <c r="AF19" i="4"/>
  <c r="AJ18" i="4"/>
  <c r="AF18" i="4"/>
  <c r="AJ17" i="4"/>
  <c r="AF17" i="4"/>
  <c r="AJ16" i="4"/>
  <c r="AF16" i="4"/>
  <c r="AJ15" i="4"/>
  <c r="AF15" i="4"/>
  <c r="AJ14" i="4"/>
  <c r="AF14" i="4"/>
  <c r="AJ13" i="4"/>
  <c r="AF13" i="4"/>
  <c r="AG13" i="4" s="1"/>
  <c r="AJ12" i="4"/>
  <c r="AF12" i="4"/>
  <c r="AJ11" i="4"/>
  <c r="AF11" i="4"/>
  <c r="AJ10" i="4"/>
  <c r="AF10" i="4"/>
  <c r="AJ9" i="4"/>
  <c r="AF9" i="4"/>
  <c r="AJ8" i="4"/>
  <c r="AF8" i="4"/>
  <c r="AJ7" i="4"/>
  <c r="AF7" i="4"/>
  <c r="AJ6" i="4"/>
  <c r="AF6" i="4"/>
  <c r="AJ5" i="4"/>
  <c r="AF5" i="4"/>
  <c r="AG5" i="4" s="1"/>
  <c r="AJ4" i="4"/>
  <c r="AF4" i="4"/>
  <c r="AJ3" i="4"/>
  <c r="AF3" i="4"/>
  <c r="AJ2" i="4"/>
  <c r="AF2" i="4"/>
  <c r="AK4" i="8" l="1"/>
  <c r="H55" i="6"/>
  <c r="AK32" i="8"/>
  <c r="AK8" i="8"/>
  <c r="AK16" i="8"/>
  <c r="AK24" i="8"/>
  <c r="AG28" i="5"/>
  <c r="AG22" i="5"/>
  <c r="AG32" i="5"/>
  <c r="AG24" i="5"/>
  <c r="T39" i="8"/>
  <c r="Y39" i="8" s="1"/>
  <c r="Z39" i="8" s="1"/>
  <c r="AB39" i="8" s="1"/>
  <c r="AC39" i="8" s="1"/>
  <c r="T38" i="8"/>
  <c r="Y38" i="8" s="1"/>
  <c r="T37" i="8"/>
  <c r="Y37" i="8" s="1"/>
  <c r="T36" i="8"/>
  <c r="Y36" i="8" s="1"/>
  <c r="T35" i="8"/>
  <c r="Y35" i="8" s="1"/>
  <c r="T34" i="8"/>
  <c r="Y34" i="8" s="1"/>
  <c r="T33" i="8"/>
  <c r="Y33" i="8" s="1"/>
  <c r="T32" i="8"/>
  <c r="Y32" i="8" s="1"/>
  <c r="T31" i="8"/>
  <c r="Y31" i="8" s="1"/>
  <c r="T7" i="6"/>
  <c r="Y7" i="6" s="1"/>
  <c r="T19" i="6"/>
  <c r="Y19" i="6" s="1"/>
  <c r="T23" i="6"/>
  <c r="Y23" i="6" s="1"/>
  <c r="T26" i="6"/>
  <c r="Y26" i="6" s="1"/>
  <c r="T30" i="6"/>
  <c r="Y30" i="6" s="1"/>
  <c r="T6" i="6"/>
  <c r="Y6" i="6" s="1"/>
  <c r="T22" i="6"/>
  <c r="Y22" i="6" s="1"/>
  <c r="T29" i="6"/>
  <c r="Y29" i="6" s="1"/>
  <c r="T5" i="6"/>
  <c r="Y5" i="6" s="1"/>
  <c r="T21" i="6"/>
  <c r="Y21" i="6" s="1"/>
  <c r="T25" i="6"/>
  <c r="Y25" i="6" s="1"/>
  <c r="T28" i="6"/>
  <c r="Y28" i="6" s="1"/>
  <c r="T32" i="6"/>
  <c r="Y32" i="6" s="1"/>
  <c r="Y3" i="6"/>
  <c r="T18" i="6"/>
  <c r="Y18" i="6" s="1"/>
  <c r="T4" i="6"/>
  <c r="Y4" i="6" s="1"/>
  <c r="Y8" i="6"/>
  <c r="T20" i="6"/>
  <c r="Y20" i="6" s="1"/>
  <c r="T24" i="6"/>
  <c r="Y24" i="6" s="1"/>
  <c r="T27" i="6"/>
  <c r="Y27" i="6" s="1"/>
  <c r="T31" i="6"/>
  <c r="Y31" i="6" s="1"/>
  <c r="T17" i="6"/>
  <c r="Y17" i="6" s="1"/>
  <c r="T15" i="6"/>
  <c r="Y15" i="6" s="1"/>
  <c r="T14" i="6"/>
  <c r="Y14" i="6" s="1"/>
  <c r="T13" i="6"/>
  <c r="Y13" i="6" s="1"/>
  <c r="T11" i="6"/>
  <c r="Y11" i="6" s="1"/>
  <c r="T10" i="6"/>
  <c r="Y10" i="6" s="1"/>
  <c r="T9" i="6"/>
  <c r="Y9" i="6" s="1"/>
  <c r="AG9" i="4"/>
  <c r="AG17" i="4"/>
  <c r="AG25" i="4"/>
  <c r="AK10" i="5"/>
  <c r="AK17" i="5"/>
  <c r="T34" i="5"/>
  <c r="AG38" i="8"/>
  <c r="AG4" i="8"/>
  <c r="AG16" i="8"/>
  <c r="AG20" i="8"/>
  <c r="AG2" i="8"/>
  <c r="AG18" i="5"/>
  <c r="AK7" i="5"/>
  <c r="AK11" i="5"/>
  <c r="AG3" i="5"/>
  <c r="AG7" i="5"/>
  <c r="AG11" i="5"/>
  <c r="AG14" i="5"/>
  <c r="AG29" i="5"/>
  <c r="AG27" i="4"/>
  <c r="AK29" i="8"/>
  <c r="AK21" i="8"/>
  <c r="AK25" i="8"/>
  <c r="AG12" i="5"/>
  <c r="AK37" i="8"/>
  <c r="AK33" i="8"/>
  <c r="AK13" i="8"/>
  <c r="AG35" i="8"/>
  <c r="AG31" i="8"/>
  <c r="AG27" i="8"/>
  <c r="AG23" i="8"/>
  <c r="AG19" i="8"/>
  <c r="AG11" i="8"/>
  <c r="AK22" i="8"/>
  <c r="AK10" i="8"/>
  <c r="AK6" i="8"/>
  <c r="AG15" i="5"/>
  <c r="AG33" i="5"/>
  <c r="AG8" i="5"/>
  <c r="AG19" i="5"/>
  <c r="AG11" i="4"/>
  <c r="AK19" i="4"/>
  <c r="AK15" i="4"/>
  <c r="AK7" i="4"/>
  <c r="AK3" i="4"/>
  <c r="AK21" i="4"/>
  <c r="AK20" i="5"/>
  <c r="AK5" i="5"/>
  <c r="AK25" i="4"/>
  <c r="AK29" i="4"/>
  <c r="AK5" i="4"/>
  <c r="AK9" i="4"/>
  <c r="AK13" i="4"/>
  <c r="AK17" i="4"/>
  <c r="AG19" i="4"/>
  <c r="AG15" i="4"/>
  <c r="AG31" i="4"/>
  <c r="AK34" i="8"/>
  <c r="AK36" i="8"/>
  <c r="AK20" i="8"/>
  <c r="T8" i="8"/>
  <c r="Y8" i="8" s="1"/>
  <c r="AG30" i="8"/>
  <c r="AG6" i="8"/>
  <c r="AK17" i="8"/>
  <c r="AG7" i="8"/>
  <c r="AG36" i="8"/>
  <c r="AG32" i="8"/>
  <c r="AG28" i="8"/>
  <c r="AG12" i="8"/>
  <c r="AK35" i="8"/>
  <c r="AK27" i="8"/>
  <c r="AK23" i="8"/>
  <c r="AK19" i="8"/>
  <c r="AK15" i="8"/>
  <c r="AK7" i="8"/>
  <c r="AK3" i="8"/>
  <c r="AK2" i="6"/>
  <c r="AG26" i="5"/>
  <c r="AG20" i="5"/>
  <c r="AK2" i="5"/>
  <c r="T3" i="5"/>
  <c r="T6" i="5"/>
  <c r="AK9" i="5"/>
  <c r="AK16" i="5"/>
  <c r="AK26" i="5"/>
  <c r="AK32" i="5"/>
  <c r="AK24" i="5"/>
  <c r="AK18" i="5"/>
  <c r="AK14" i="5"/>
  <c r="AK3" i="5"/>
  <c r="AK30" i="4"/>
  <c r="AK26" i="4"/>
  <c r="AG6" i="4"/>
  <c r="AG10" i="4"/>
  <c r="AK23" i="4"/>
  <c r="AK11" i="4"/>
  <c r="AG23" i="4"/>
  <c r="AG7" i="4"/>
  <c r="AG3" i="4"/>
  <c r="AK5" i="8"/>
  <c r="AK9" i="8"/>
  <c r="AG24" i="8"/>
  <c r="AK2" i="8"/>
  <c r="AK19" i="5"/>
  <c r="AG2" i="5"/>
  <c r="AG10" i="5"/>
  <c r="AK25" i="5"/>
  <c r="AK29" i="5"/>
  <c r="T12" i="5"/>
  <c r="T4" i="5"/>
  <c r="AK31" i="5"/>
  <c r="AG27" i="5"/>
  <c r="AG23" i="5"/>
  <c r="AG17" i="5"/>
  <c r="AK33" i="5"/>
  <c r="AK12" i="5"/>
  <c r="AK4" i="5"/>
  <c r="AG2" i="4"/>
  <c r="AG30" i="4"/>
  <c r="AG26" i="4"/>
  <c r="AK8" i="4"/>
  <c r="AK4" i="4"/>
  <c r="AK8" i="5"/>
  <c r="H59" i="8"/>
  <c r="AG5" i="8"/>
  <c r="AG8" i="8"/>
  <c r="AG18" i="8"/>
  <c r="AG25" i="8"/>
  <c r="AG3" i="8"/>
  <c r="AG10" i="8"/>
  <c r="AG14" i="8"/>
  <c r="AG22" i="8"/>
  <c r="AG26" i="8"/>
  <c r="AK31" i="8"/>
  <c r="AG34" i="8"/>
  <c r="AG37" i="8"/>
  <c r="AG2" i="6"/>
  <c r="AK15" i="5"/>
  <c r="H53" i="5"/>
  <c r="AG4" i="5"/>
  <c r="AG6" i="5"/>
  <c r="AG13" i="5"/>
  <c r="AK21" i="5"/>
  <c r="AK22" i="5"/>
  <c r="AK30" i="5"/>
  <c r="AG25" i="5"/>
  <c r="AG30" i="5"/>
  <c r="AG31" i="5"/>
  <c r="AG5" i="5"/>
  <c r="AG21" i="5"/>
  <c r="AK27" i="5"/>
  <c r="AK28" i="5"/>
  <c r="AK12" i="4"/>
  <c r="AG14" i="4"/>
  <c r="AK16" i="4"/>
  <c r="AG18" i="4"/>
  <c r="AK20" i="4"/>
  <c r="AG22" i="4"/>
  <c r="AK24" i="4"/>
  <c r="AG28" i="4"/>
  <c r="AK31" i="4"/>
  <c r="AK2" i="4"/>
  <c r="AG4" i="4"/>
  <c r="AK6" i="4"/>
  <c r="AG8" i="4"/>
  <c r="AK10" i="4"/>
  <c r="AG12" i="4"/>
  <c r="AK14" i="4"/>
  <c r="AG16" i="4"/>
  <c r="AK18" i="4"/>
  <c r="AG20" i="4"/>
  <c r="AK22" i="4"/>
  <c r="AG24" i="4"/>
  <c r="AK27" i="4"/>
  <c r="AK28" i="4"/>
  <c r="AG9" i="8"/>
  <c r="AG13" i="8"/>
  <c r="AK18" i="8"/>
  <c r="AG21" i="8"/>
  <c r="AK30" i="8"/>
  <c r="AG33" i="8"/>
  <c r="AK14" i="8"/>
  <c r="AG17" i="8"/>
  <c r="AK26" i="8"/>
  <c r="AG29" i="8"/>
  <c r="AK38" i="8"/>
  <c r="AG9" i="5"/>
  <c r="AG16" i="5"/>
  <c r="AK6" i="5"/>
  <c r="AK13" i="5"/>
  <c r="AK23" i="5"/>
  <c r="Z34" i="5" l="1"/>
  <c r="AB34" i="5" s="1"/>
  <c r="B2" i="6"/>
  <c r="A3" i="5"/>
  <c r="B3" i="5"/>
  <c r="C3" i="5"/>
  <c r="A4" i="5"/>
  <c r="B4" i="5"/>
  <c r="C4" i="5"/>
  <c r="A5" i="5"/>
  <c r="B5" i="5"/>
  <c r="C5" i="5"/>
  <c r="A6" i="5"/>
  <c r="B6" i="5"/>
  <c r="C6" i="5"/>
  <c r="A7" i="5"/>
  <c r="B7" i="5"/>
  <c r="C7" i="5"/>
  <c r="A8" i="5"/>
  <c r="B8" i="5"/>
  <c r="C8" i="5"/>
  <c r="A9" i="5"/>
  <c r="B9" i="5"/>
  <c r="C9" i="5"/>
  <c r="A10" i="5"/>
  <c r="B10" i="5"/>
  <c r="C10" i="5"/>
  <c r="A11" i="5"/>
  <c r="B11" i="5"/>
  <c r="C11" i="5"/>
  <c r="A12" i="5"/>
  <c r="B12" i="5"/>
  <c r="C12" i="5"/>
  <c r="B13" i="5"/>
  <c r="C13" i="5"/>
  <c r="A14" i="5"/>
  <c r="B14" i="5"/>
  <c r="C14" i="5"/>
  <c r="A15" i="5"/>
  <c r="B15" i="5"/>
  <c r="C15" i="5"/>
  <c r="A16" i="5"/>
  <c r="B16" i="5"/>
  <c r="C16" i="5"/>
  <c r="A17" i="5"/>
  <c r="B17" i="5"/>
  <c r="C17" i="5"/>
  <c r="A18" i="5"/>
  <c r="B18" i="5"/>
  <c r="C18" i="5"/>
  <c r="A19" i="5"/>
  <c r="B19" i="5"/>
  <c r="C19" i="5"/>
  <c r="A20" i="5"/>
  <c r="B20" i="5"/>
  <c r="C20" i="5"/>
  <c r="A21" i="5"/>
  <c r="B21" i="5"/>
  <c r="C21" i="5"/>
  <c r="A22" i="5"/>
  <c r="B22" i="5"/>
  <c r="C22" i="5"/>
  <c r="C23" i="5"/>
  <c r="C24" i="5"/>
  <c r="C25" i="5"/>
  <c r="C26" i="5"/>
  <c r="C27" i="5"/>
  <c r="C28" i="5"/>
  <c r="C29" i="5"/>
  <c r="C2" i="5"/>
  <c r="B2" i="5"/>
  <c r="A2" i="5"/>
  <c r="S34" i="7"/>
  <c r="H52" i="7" s="1"/>
  <c r="R34" i="7"/>
  <c r="Q34" i="7"/>
  <c r="P34" i="7"/>
  <c r="O34" i="7"/>
  <c r="N34" i="7"/>
  <c r="M34" i="7"/>
  <c r="K34" i="7"/>
  <c r="J34" i="7"/>
  <c r="I34" i="7"/>
  <c r="H34" i="7"/>
  <c r="G34" i="7"/>
  <c r="S36" i="3"/>
  <c r="R36" i="3"/>
  <c r="Q36" i="3"/>
  <c r="P36" i="3"/>
  <c r="O36" i="3"/>
  <c r="N36" i="3"/>
  <c r="M36" i="3"/>
  <c r="K36" i="3"/>
  <c r="J36" i="3"/>
  <c r="I36" i="3"/>
  <c r="H36" i="3"/>
  <c r="G36" i="3"/>
  <c r="F36" i="3"/>
  <c r="E36" i="3" s="1"/>
  <c r="E34" i="3"/>
  <c r="T34" i="3" s="1"/>
  <c r="E33" i="3"/>
  <c r="T33" i="3" s="1"/>
  <c r="E32" i="3"/>
  <c r="T32" i="3" s="1"/>
  <c r="E31" i="3"/>
  <c r="T31" i="3" s="1"/>
  <c r="E30" i="3"/>
  <c r="T30" i="3" s="1"/>
  <c r="E29" i="3"/>
  <c r="T29" i="3" s="1"/>
  <c r="E28" i="3"/>
  <c r="T28" i="3" s="1"/>
  <c r="E27" i="3"/>
  <c r="T27" i="3" s="1"/>
  <c r="E26" i="3"/>
  <c r="T26" i="3" s="1"/>
  <c r="E25" i="3"/>
  <c r="T25" i="3" s="1"/>
  <c r="T24" i="3"/>
  <c r="E23" i="3"/>
  <c r="T23" i="3" s="1"/>
  <c r="E22" i="3"/>
  <c r="T22" i="3" s="1"/>
  <c r="E21" i="3"/>
  <c r="T21" i="3" s="1"/>
  <c r="E20" i="3"/>
  <c r="T20" i="3" s="1"/>
  <c r="E19" i="3"/>
  <c r="T19" i="3" s="1"/>
  <c r="E18" i="3"/>
  <c r="T18" i="3" s="1"/>
  <c r="E16" i="3"/>
  <c r="T16" i="3" s="1"/>
  <c r="E15" i="3"/>
  <c r="T15" i="3" s="1"/>
  <c r="E14" i="3"/>
  <c r="T14" i="3" s="1"/>
  <c r="E13" i="3"/>
  <c r="T13" i="3" s="1"/>
  <c r="E12" i="3"/>
  <c r="T12" i="3" s="1"/>
  <c r="T11" i="3"/>
  <c r="T10" i="3"/>
  <c r="T8" i="3"/>
  <c r="T5" i="3"/>
  <c r="T4" i="3"/>
  <c r="T3" i="3"/>
  <c r="T2" i="3"/>
  <c r="E34" i="2"/>
  <c r="Z14" i="5"/>
  <c r="AB14" i="5" s="1"/>
  <c r="Z13" i="5"/>
  <c r="AB13" i="5" s="1"/>
  <c r="Z12" i="5"/>
  <c r="AB12" i="5" s="1"/>
  <c r="Z11" i="5"/>
  <c r="AB11" i="5" s="1"/>
  <c r="Z10" i="5"/>
  <c r="AB10" i="5" s="1"/>
  <c r="Z9" i="5"/>
  <c r="AB9" i="5" s="1"/>
  <c r="Z8" i="5"/>
  <c r="AB8" i="5" s="1"/>
  <c r="Z7" i="5"/>
  <c r="AB7" i="5" s="1"/>
  <c r="Z6" i="5"/>
  <c r="AB6" i="5" s="1"/>
  <c r="Z5" i="5"/>
  <c r="AB5" i="5" s="1"/>
  <c r="Z4" i="5"/>
  <c r="AB4" i="5" s="1"/>
  <c r="Z3" i="5"/>
  <c r="AB3" i="5" s="1"/>
  <c r="T2" i="2"/>
  <c r="X2" i="5" s="1"/>
  <c r="Z2" i="5" s="1"/>
  <c r="AB2" i="5" s="1"/>
  <c r="AC2" i="5" s="1"/>
  <c r="A31" i="4"/>
  <c r="B31" i="4"/>
  <c r="C31" i="4"/>
  <c r="A3" i="4"/>
  <c r="B3" i="4"/>
  <c r="C3" i="4"/>
  <c r="A4" i="4"/>
  <c r="B4" i="4"/>
  <c r="C4" i="4"/>
  <c r="A5" i="4"/>
  <c r="B5" i="4"/>
  <c r="C5" i="4"/>
  <c r="A6" i="4"/>
  <c r="B6" i="4"/>
  <c r="C6" i="4"/>
  <c r="A7" i="4"/>
  <c r="B7" i="4"/>
  <c r="C7" i="4"/>
  <c r="A8" i="4"/>
  <c r="B8" i="4"/>
  <c r="C8" i="4"/>
  <c r="A9" i="4"/>
  <c r="B9" i="4"/>
  <c r="C9" i="4"/>
  <c r="A10" i="4"/>
  <c r="B10" i="4"/>
  <c r="C10" i="4"/>
  <c r="A11" i="4"/>
  <c r="B11" i="4"/>
  <c r="C11" i="4"/>
  <c r="A12" i="4"/>
  <c r="B12" i="4"/>
  <c r="C12" i="4"/>
  <c r="A13" i="4"/>
  <c r="B13" i="4"/>
  <c r="C13" i="4"/>
  <c r="A14" i="4"/>
  <c r="B14" i="4"/>
  <c r="C14" i="4"/>
  <c r="A15" i="4"/>
  <c r="B15" i="4"/>
  <c r="C15" i="4"/>
  <c r="A16" i="4"/>
  <c r="B16" i="4"/>
  <c r="C16" i="4"/>
  <c r="A17" i="4"/>
  <c r="B17" i="4"/>
  <c r="C17" i="4"/>
  <c r="A18" i="4"/>
  <c r="B18" i="4"/>
  <c r="C18" i="4"/>
  <c r="A19" i="4"/>
  <c r="B19" i="4"/>
  <c r="C19" i="4"/>
  <c r="A20" i="4"/>
  <c r="B20" i="4"/>
  <c r="C20" i="4"/>
  <c r="A21" i="4"/>
  <c r="B21" i="4"/>
  <c r="C21" i="4"/>
  <c r="A22" i="4"/>
  <c r="B22" i="4"/>
  <c r="C22" i="4"/>
  <c r="A23" i="4"/>
  <c r="B23" i="4"/>
  <c r="C23" i="4"/>
  <c r="A24" i="4"/>
  <c r="B24" i="4"/>
  <c r="C24" i="4"/>
  <c r="A25" i="4"/>
  <c r="B25" i="4"/>
  <c r="C25" i="4"/>
  <c r="A26" i="4"/>
  <c r="B26" i="4"/>
  <c r="C26" i="4"/>
  <c r="A27" i="4"/>
  <c r="B27" i="4"/>
  <c r="C27" i="4"/>
  <c r="A28" i="4"/>
  <c r="B28" i="4"/>
  <c r="C28" i="4"/>
  <c r="A29" i="4"/>
  <c r="B29" i="4"/>
  <c r="C29" i="4"/>
  <c r="A30" i="4"/>
  <c r="B30" i="4"/>
  <c r="C30" i="4"/>
  <c r="C2" i="4"/>
  <c r="B2" i="4"/>
  <c r="A2" i="4"/>
  <c r="H53" i="2" l="1"/>
  <c r="T34" i="2"/>
  <c r="T36" i="3"/>
  <c r="Z18" i="5"/>
  <c r="Z16" i="6"/>
  <c r="AB16" i="6" s="1"/>
  <c r="AC16" i="6" s="1"/>
  <c r="Z24" i="6"/>
  <c r="AC24" i="6" s="1"/>
  <c r="Z17" i="6"/>
  <c r="AB17" i="6" s="1"/>
  <c r="AC17" i="6" s="1"/>
  <c r="Z32" i="6"/>
  <c r="AB32" i="6" s="1"/>
  <c r="AC32" i="6" s="1"/>
  <c r="X2" i="6"/>
  <c r="Z2" i="6" s="1"/>
  <c r="AB2" i="6" s="1"/>
  <c r="AC2" i="6" s="1"/>
  <c r="Z18" i="6"/>
  <c r="AB18" i="6" s="1"/>
  <c r="AC18" i="6" s="1"/>
  <c r="X3" i="6"/>
  <c r="Z3" i="6" s="1"/>
  <c r="AB3" i="6" s="1"/>
  <c r="AC3" i="6" s="1"/>
  <c r="Z11" i="6"/>
  <c r="AB11" i="6" s="1"/>
  <c r="AC11" i="6" s="1"/>
  <c r="Z19" i="6"/>
  <c r="AB19" i="6" s="1"/>
  <c r="AC19" i="6" s="1"/>
  <c r="Z26" i="6"/>
  <c r="AC26" i="6" s="1"/>
  <c r="Z12" i="6"/>
  <c r="AB12" i="6" s="1"/>
  <c r="AC12" i="6" s="1"/>
  <c r="Z20" i="6"/>
  <c r="AC20" i="6" s="1"/>
  <c r="Z13" i="6"/>
  <c r="AB13" i="6" s="1"/>
  <c r="AC13" i="6" s="1"/>
  <c r="Z21" i="6"/>
  <c r="AC21" i="6" s="1"/>
  <c r="Z28" i="6"/>
  <c r="AB28" i="6" s="1"/>
  <c r="AC28" i="6" s="1"/>
  <c r="X6" i="6"/>
  <c r="Z6" i="6" s="1"/>
  <c r="AB6" i="6" s="1"/>
  <c r="AC6" i="6" s="1"/>
  <c r="Z14" i="6"/>
  <c r="AB14" i="6" s="1"/>
  <c r="AC14" i="6" s="1"/>
  <c r="Z22" i="6"/>
  <c r="AC22" i="6" s="1"/>
  <c r="Z29" i="6"/>
  <c r="AB29" i="6" s="1"/>
  <c r="AC29" i="6" s="1"/>
  <c r="X8" i="6"/>
  <c r="Z8" i="6" s="1"/>
  <c r="AB8" i="6" s="1"/>
  <c r="AC8" i="6" s="1"/>
  <c r="Z31" i="6"/>
  <c r="AB31" i="6" s="1"/>
  <c r="AC31" i="6" s="1"/>
  <c r="Z9" i="6"/>
  <c r="AB9" i="6" s="1"/>
  <c r="AC9" i="6" s="1"/>
  <c r="Z25" i="6"/>
  <c r="AC25" i="6" s="1"/>
  <c r="Z10" i="6"/>
  <c r="AB10" i="6" s="1"/>
  <c r="AC10" i="6" s="1"/>
  <c r="AB34" i="6"/>
  <c r="AC34" i="6" s="1"/>
  <c r="Z33" i="6"/>
  <c r="AB33" i="6" s="1"/>
  <c r="AC33" i="6" s="1"/>
  <c r="X4" i="6"/>
  <c r="Z4" i="6" s="1"/>
  <c r="AB4" i="6" s="1"/>
  <c r="AC4" i="6" s="1"/>
  <c r="Z27" i="6"/>
  <c r="AB27" i="6" s="1"/>
  <c r="AC27" i="6" s="1"/>
  <c r="X5" i="6"/>
  <c r="Z5" i="6" s="1"/>
  <c r="AB5" i="6" s="1"/>
  <c r="AC5" i="6" s="1"/>
  <c r="X7" i="6"/>
  <c r="Z7" i="6" s="1"/>
  <c r="AB7" i="6" s="1"/>
  <c r="AC7" i="6" s="1"/>
  <c r="Z15" i="6"/>
  <c r="AB15" i="6" s="1"/>
  <c r="AC15" i="6" s="1"/>
  <c r="Z23" i="6"/>
  <c r="AC23" i="6" s="1"/>
  <c r="Z30" i="6"/>
  <c r="AB30" i="6" s="1"/>
  <c r="AC30" i="6" s="1"/>
  <c r="Z30" i="5"/>
  <c r="AB30" i="5" s="1"/>
  <c r="Z27" i="5"/>
  <c r="AB27" i="5" s="1"/>
  <c r="Z26" i="5"/>
  <c r="AB26" i="5" s="1"/>
  <c r="Z23" i="5"/>
  <c r="AB23" i="5" s="1"/>
  <c r="Z21" i="5"/>
  <c r="AB21" i="5" s="1"/>
  <c r="Z20" i="5"/>
  <c r="AB20" i="5" s="1"/>
  <c r="Z17" i="5"/>
  <c r="AB17" i="5" s="1"/>
  <c r="Z16" i="5"/>
  <c r="AB16" i="5" s="1"/>
  <c r="Z31" i="5"/>
  <c r="AB31" i="5" s="1"/>
  <c r="Z22" i="5"/>
  <c r="AB22" i="5" s="1"/>
  <c r="Z24" i="5"/>
  <c r="AB24" i="5" s="1"/>
  <c r="Z28" i="5"/>
  <c r="AB28" i="5" s="1"/>
  <c r="Z32" i="5"/>
  <c r="AB32" i="5" s="1"/>
  <c r="Z15" i="5"/>
  <c r="AB15" i="5" s="1"/>
  <c r="Z19" i="5"/>
  <c r="AB19" i="5" s="1"/>
  <c r="Z25" i="5"/>
  <c r="AB25" i="5" s="1"/>
  <c r="Z29" i="5"/>
  <c r="AB29" i="5" s="1"/>
  <c r="Z33" i="5"/>
  <c r="AB33" i="5" s="1"/>
  <c r="AB12" i="10"/>
  <c r="AC12" i="10" s="1"/>
  <c r="Z13" i="8"/>
  <c r="AB13" i="8" s="1"/>
  <c r="AC13" i="8" s="1"/>
  <c r="Z25" i="8"/>
  <c r="AB25" i="8" s="1"/>
  <c r="AC25" i="8" s="1"/>
  <c r="Z37" i="8"/>
  <c r="AB37" i="8" s="1"/>
  <c r="AC37" i="8" s="1"/>
  <c r="Z2" i="10"/>
  <c r="AB2" i="10" s="1"/>
  <c r="AC2" i="10" s="1"/>
  <c r="AB6" i="10"/>
  <c r="AC6" i="10" s="1"/>
  <c r="Z6" i="8"/>
  <c r="AB6" i="8" s="1"/>
  <c r="AC6" i="8" s="1"/>
  <c r="AB10" i="10"/>
  <c r="AC10" i="10" s="1"/>
  <c r="Z10" i="8"/>
  <c r="AB10" i="8" s="1"/>
  <c r="AC10" i="8" s="1"/>
  <c r="AB13" i="10"/>
  <c r="AC13" i="10" s="1"/>
  <c r="Z14" i="8"/>
  <c r="AB14" i="8" s="1"/>
  <c r="AC14" i="8" s="1"/>
  <c r="AB17" i="10"/>
  <c r="AC17" i="10" s="1"/>
  <c r="Z18" i="8"/>
  <c r="AB18" i="8" s="1"/>
  <c r="AC18" i="8" s="1"/>
  <c r="AB21" i="10"/>
  <c r="AC21" i="10" s="1"/>
  <c r="Z22" i="8"/>
  <c r="AB22" i="8" s="1"/>
  <c r="AC22" i="8" s="1"/>
  <c r="AB24" i="10"/>
  <c r="AC24" i="10" s="1"/>
  <c r="Z26" i="8"/>
  <c r="AB26" i="8" s="1"/>
  <c r="AC26" i="8" s="1"/>
  <c r="AB28" i="10"/>
  <c r="AC28" i="10" s="1"/>
  <c r="Z30" i="8"/>
  <c r="AB30" i="8" s="1"/>
  <c r="AC30" i="8" s="1"/>
  <c r="AB30" i="10"/>
  <c r="AC30" i="10" s="1"/>
  <c r="Z34" i="8"/>
  <c r="AB34" i="8" s="1"/>
  <c r="AC34" i="8" s="1"/>
  <c r="Z38" i="8"/>
  <c r="AB38" i="8" s="1"/>
  <c r="AC38" i="8" s="1"/>
  <c r="AB9" i="10"/>
  <c r="AC9" i="10" s="1"/>
  <c r="Z9" i="8"/>
  <c r="AB9" i="8" s="1"/>
  <c r="AC9" i="8" s="1"/>
  <c r="Z21" i="8"/>
  <c r="AB21" i="8" s="1"/>
  <c r="AC21" i="8" s="1"/>
  <c r="AB27" i="10"/>
  <c r="AC27" i="10" s="1"/>
  <c r="Z29" i="8"/>
  <c r="AB29" i="8" s="1"/>
  <c r="AC29" i="8" s="1"/>
  <c r="AB3" i="10"/>
  <c r="AC3" i="10" s="1"/>
  <c r="X3" i="8"/>
  <c r="Z3" i="8" s="1"/>
  <c r="AB3" i="8" s="1"/>
  <c r="AC3" i="8" s="1"/>
  <c r="AB7" i="10"/>
  <c r="AC7" i="10" s="1"/>
  <c r="Z7" i="8"/>
  <c r="AB7" i="8" s="1"/>
  <c r="AC7" i="8" s="1"/>
  <c r="AB11" i="10"/>
  <c r="AC11" i="10" s="1"/>
  <c r="Z11" i="8"/>
  <c r="AB11" i="8" s="1"/>
  <c r="AC11" i="8" s="1"/>
  <c r="AB14" i="10"/>
  <c r="AC14" i="10" s="1"/>
  <c r="Z15" i="8"/>
  <c r="AB15" i="8" s="1"/>
  <c r="AC15" i="8" s="1"/>
  <c r="AB18" i="10"/>
  <c r="AC18" i="10" s="1"/>
  <c r="Z19" i="8"/>
  <c r="AB19" i="8" s="1"/>
  <c r="AC19" i="8" s="1"/>
  <c r="AB22" i="10"/>
  <c r="AC22" i="10" s="1"/>
  <c r="Z23" i="8"/>
  <c r="AB23" i="8" s="1"/>
  <c r="AC23" i="8" s="1"/>
  <c r="AB25" i="10"/>
  <c r="AC25" i="10" s="1"/>
  <c r="Z27" i="8"/>
  <c r="AB27" i="8" s="1"/>
  <c r="AC27" i="8" s="1"/>
  <c r="Z31" i="8"/>
  <c r="AB31" i="8" s="1"/>
  <c r="AC31" i="8" s="1"/>
  <c r="AB31" i="10"/>
  <c r="AC31" i="10" s="1"/>
  <c r="Z35" i="8"/>
  <c r="AB35" i="8" s="1"/>
  <c r="AC35" i="8" s="1"/>
  <c r="AB5" i="10"/>
  <c r="AC5" i="10" s="1"/>
  <c r="X5" i="8"/>
  <c r="Z5" i="8" s="1"/>
  <c r="AB5" i="8" s="1"/>
  <c r="AC5" i="8" s="1"/>
  <c r="AB16" i="10"/>
  <c r="AC16" i="10" s="1"/>
  <c r="Z17" i="8"/>
  <c r="AB17" i="8" s="1"/>
  <c r="AC17" i="8" s="1"/>
  <c r="Z33" i="8"/>
  <c r="AB33" i="8" s="1"/>
  <c r="AB4" i="10"/>
  <c r="AC4" i="10" s="1"/>
  <c r="X4" i="8"/>
  <c r="Z4" i="8" s="1"/>
  <c r="AB4" i="8" s="1"/>
  <c r="AC4" i="8" s="1"/>
  <c r="AB8" i="10"/>
  <c r="AC8" i="10" s="1"/>
  <c r="Z8" i="8"/>
  <c r="AB8" i="8" s="1"/>
  <c r="AC8" i="8" s="1"/>
  <c r="Z12" i="8"/>
  <c r="AB12" i="8" s="1"/>
  <c r="AC12" i="8" s="1"/>
  <c r="AB15" i="10"/>
  <c r="AC15" i="10" s="1"/>
  <c r="Z16" i="8"/>
  <c r="AB16" i="8" s="1"/>
  <c r="AC16" i="8" s="1"/>
  <c r="AB19" i="10"/>
  <c r="AC19" i="10" s="1"/>
  <c r="Z20" i="8"/>
  <c r="AB20" i="8" s="1"/>
  <c r="AC20" i="8" s="1"/>
  <c r="AB23" i="10"/>
  <c r="AC23" i="10" s="1"/>
  <c r="Z24" i="8"/>
  <c r="AB24" i="8" s="1"/>
  <c r="AC24" i="8" s="1"/>
  <c r="AB26" i="10"/>
  <c r="AC26" i="10" s="1"/>
  <c r="Z28" i="8"/>
  <c r="AB28" i="8" s="1"/>
  <c r="AC28" i="8" s="1"/>
  <c r="AB29" i="10"/>
  <c r="AC29" i="10" s="1"/>
  <c r="Z32" i="8"/>
  <c r="AB32" i="8" s="1"/>
  <c r="AC32" i="8" s="1"/>
  <c r="AB32" i="10"/>
  <c r="AC32" i="10" s="1"/>
  <c r="Z36" i="8"/>
  <c r="AB36" i="8" s="1"/>
  <c r="AC36" i="8" s="1"/>
  <c r="A2" i="8"/>
  <c r="S32" i="4"/>
  <c r="R32" i="4"/>
  <c r="Q32" i="4"/>
  <c r="P32" i="4"/>
  <c r="O32" i="4"/>
  <c r="N32" i="4"/>
  <c r="M32" i="4"/>
  <c r="J32" i="4"/>
  <c r="I32" i="4"/>
  <c r="H32" i="4"/>
  <c r="G32" i="4"/>
  <c r="E32" i="4"/>
  <c r="E31" i="4"/>
  <c r="T31" i="4" s="1"/>
  <c r="Y31" i="4" s="1"/>
  <c r="E30" i="4"/>
  <c r="T30" i="4" s="1"/>
  <c r="Y30" i="4" s="1"/>
  <c r="E29" i="4"/>
  <c r="T29" i="4" s="1"/>
  <c r="Y29" i="4" s="1"/>
  <c r="E28" i="4"/>
  <c r="T28" i="4" s="1"/>
  <c r="Y28" i="4" s="1"/>
  <c r="E27" i="4"/>
  <c r="T27" i="4" s="1"/>
  <c r="Y27" i="4" s="1"/>
  <c r="E26" i="4"/>
  <c r="T26" i="4" s="1"/>
  <c r="Y26" i="4" s="1"/>
  <c r="E25" i="4"/>
  <c r="T25" i="4" s="1"/>
  <c r="Y25" i="4" s="1"/>
  <c r="E24" i="4"/>
  <c r="T24" i="4" s="1"/>
  <c r="Y24" i="4" s="1"/>
  <c r="E23" i="4"/>
  <c r="T23" i="4" s="1"/>
  <c r="Y23" i="4" s="1"/>
  <c r="E22" i="4"/>
  <c r="T22" i="4" s="1"/>
  <c r="Y22" i="4" s="1"/>
  <c r="E21" i="4"/>
  <c r="T21" i="4" s="1"/>
  <c r="E20" i="4"/>
  <c r="E19" i="4"/>
  <c r="T19" i="4" s="1"/>
  <c r="Y19" i="4" s="1"/>
  <c r="E18" i="4"/>
  <c r="T18" i="4" s="1"/>
  <c r="Y18" i="4" s="1"/>
  <c r="E17" i="4"/>
  <c r="T17" i="4" s="1"/>
  <c r="Y17" i="4" s="1"/>
  <c r="E16" i="4"/>
  <c r="T16" i="4" s="1"/>
  <c r="Y16" i="4" s="1"/>
  <c r="E15" i="4"/>
  <c r="T15" i="4" s="1"/>
  <c r="Y15" i="4" s="1"/>
  <c r="E14" i="4"/>
  <c r="T14" i="4" s="1"/>
  <c r="Y14" i="4" s="1"/>
  <c r="E13" i="4"/>
  <c r="T13" i="4" s="1"/>
  <c r="Y13" i="4" s="1"/>
  <c r="E12" i="4"/>
  <c r="T12" i="4" s="1"/>
  <c r="Y12" i="4" s="1"/>
  <c r="E11" i="4"/>
  <c r="T11" i="4" s="1"/>
  <c r="Y11" i="4" s="1"/>
  <c r="E10" i="4"/>
  <c r="T10" i="4" s="1"/>
  <c r="Y10" i="4" s="1"/>
  <c r="E9" i="4"/>
  <c r="T9" i="4" s="1"/>
  <c r="Y9" i="4" s="1"/>
  <c r="E8" i="4"/>
  <c r="T8" i="4" s="1"/>
  <c r="Y8" i="4" s="1"/>
  <c r="E7" i="4"/>
  <c r="T7" i="4" s="1"/>
  <c r="Y7" i="4" s="1"/>
  <c r="E6" i="4"/>
  <c r="T6" i="4" s="1"/>
  <c r="Y6" i="4" s="1"/>
  <c r="E5" i="4"/>
  <c r="T5" i="4" s="1"/>
  <c r="Y5" i="4" s="1"/>
  <c r="E4" i="4"/>
  <c r="T4" i="4" s="1"/>
  <c r="Y4" i="4" s="1"/>
  <c r="E3" i="4"/>
  <c r="T3" i="4" s="1"/>
  <c r="Y3" i="4" s="1"/>
  <c r="E2" i="4"/>
  <c r="T20" i="4" l="1"/>
  <c r="Y20" i="4" s="1"/>
  <c r="Y21" i="4"/>
  <c r="AB18" i="5"/>
  <c r="H51" i="4"/>
  <c r="T2" i="4"/>
  <c r="Y2" i="4" s="1"/>
  <c r="X2" i="4" l="1"/>
  <c r="F32" i="1" l="1"/>
  <c r="E32" i="1" s="1"/>
  <c r="H37" i="1" s="1"/>
  <c r="Q32" i="1"/>
  <c r="H48" i="1" s="1"/>
  <c r="I32" i="1"/>
  <c r="H40" i="1" s="1"/>
  <c r="O32" i="1"/>
  <c r="H46" i="1" s="1"/>
  <c r="K32" i="1"/>
  <c r="H42" i="1" s="1"/>
  <c r="P32" i="1"/>
  <c r="H47" i="1" s="1"/>
  <c r="G32" i="1"/>
  <c r="H38" i="1" s="1"/>
  <c r="R32" i="1"/>
  <c r="H49" i="1" s="1"/>
  <c r="H32" i="1"/>
  <c r="H39" i="1" s="1"/>
  <c r="J32" i="1"/>
  <c r="H41" i="1" s="1"/>
  <c r="N32" i="1"/>
  <c r="H45" i="1" s="1"/>
  <c r="M32" i="1"/>
  <c r="H44" i="1" s="1"/>
  <c r="Z2" i="4"/>
  <c r="AB2" i="4" s="1"/>
  <c r="AC2" i="4" s="1"/>
  <c r="S32" i="1"/>
  <c r="H50" i="1" s="1"/>
  <c r="H51" i="1" l="1"/>
  <c r="T32" i="1"/>
  <c r="Z14" i="4"/>
  <c r="Z28" i="4"/>
  <c r="Z11" i="4"/>
  <c r="Z16" i="4"/>
  <c r="Z13" i="4"/>
  <c r="Z7" i="4"/>
  <c r="Z20" i="4"/>
  <c r="Z24" i="4"/>
  <c r="Z8" i="4"/>
  <c r="Z15" i="4"/>
  <c r="Z18" i="4"/>
  <c r="Z6" i="4"/>
  <c r="Z26" i="4"/>
  <c r="Z10" i="4"/>
  <c r="Z9" i="4"/>
  <c r="Z31" i="4"/>
  <c r="Z30" i="4"/>
  <c r="Z29" i="4"/>
  <c r="Z27" i="4"/>
  <c r="Z23" i="4"/>
  <c r="Z12" i="4"/>
  <c r="Z25" i="4"/>
  <c r="Z21" i="4"/>
  <c r="Z22" i="4"/>
  <c r="Z19" i="4"/>
  <c r="Z17" i="4"/>
  <c r="AB25" i="4" l="1"/>
  <c r="AC25" i="4" s="1"/>
  <c r="AB23" i="4"/>
  <c r="AC23" i="4" s="1"/>
  <c r="AB6" i="4"/>
  <c r="AC6" i="4" s="1"/>
  <c r="AB16" i="4"/>
  <c r="AC16" i="4" s="1"/>
  <c r="AB27" i="4"/>
  <c r="AC27" i="4" s="1"/>
  <c r="AB18" i="4"/>
  <c r="AC18" i="4" s="1"/>
  <c r="AB11" i="4"/>
  <c r="AC11" i="4" s="1"/>
  <c r="AB17" i="4"/>
  <c r="AC17" i="4" s="1"/>
  <c r="AB29" i="4"/>
  <c r="AC29" i="4" s="1"/>
  <c r="AB15" i="4"/>
  <c r="AC15" i="4" s="1"/>
  <c r="AB28" i="4"/>
  <c r="AC28" i="4" s="1"/>
  <c r="AB19" i="4"/>
  <c r="AC19" i="4" s="1"/>
  <c r="AB30" i="4"/>
  <c r="AC30" i="4" s="1"/>
  <c r="AB8" i="4"/>
  <c r="AC8" i="4" s="1"/>
  <c r="AB14" i="4"/>
  <c r="AC14" i="4" s="1"/>
  <c r="AB22" i="4"/>
  <c r="AC22" i="4" s="1"/>
  <c r="AB31" i="4"/>
  <c r="AC31" i="4" s="1"/>
  <c r="AB24" i="4"/>
  <c r="AC24" i="4" s="1"/>
  <c r="AB21" i="4"/>
  <c r="AC21" i="4" s="1"/>
  <c r="AB9" i="4"/>
  <c r="AC9" i="4" s="1"/>
  <c r="AB20" i="4"/>
  <c r="AC20" i="4" s="1"/>
  <c r="AB10" i="4"/>
  <c r="AC10" i="4" s="1"/>
  <c r="AB7" i="4"/>
  <c r="AC7" i="4" s="1"/>
  <c r="AB12" i="4"/>
  <c r="AC12" i="4" s="1"/>
  <c r="AB26" i="4"/>
  <c r="AC26" i="4" s="1"/>
  <c r="AB13" i="4"/>
  <c r="AC13" i="4" s="1"/>
  <c r="Z32" i="4"/>
  <c r="X33" i="4"/>
  <c r="Z33" i="4" s="1"/>
  <c r="AB33" i="4" s="1"/>
  <c r="AC33" i="4" s="1"/>
  <c r="Z4" i="4"/>
  <c r="Z3" i="4"/>
  <c r="Z5" i="4"/>
  <c r="T2" i="7"/>
  <c r="X2" i="8" s="1"/>
  <c r="Z2" i="8" s="1"/>
  <c r="AB2" i="8" s="1"/>
  <c r="AC2" i="8" s="1"/>
  <c r="F34" i="7"/>
  <c r="AB3" i="4" l="1"/>
  <c r="AC3" i="4" s="1"/>
  <c r="AB4" i="4"/>
  <c r="AC4" i="4" s="1"/>
  <c r="AB5" i="4"/>
  <c r="AC5" i="4" s="1"/>
  <c r="E34" i="7"/>
  <c r="H53" i="7" s="1"/>
  <c r="F32" i="15"/>
  <c r="T2" i="15"/>
  <c r="X2" i="16" s="1"/>
  <c r="Z2" i="16" s="1"/>
  <c r="AB2" i="16" s="1"/>
  <c r="AC2" i="16" s="1"/>
  <c r="E32" i="15" l="1"/>
  <c r="H37" i="15" s="1"/>
  <c r="H51" i="15" l="1"/>
</calcChain>
</file>

<file path=xl/sharedStrings.xml><?xml version="1.0" encoding="utf-8"?>
<sst xmlns="http://schemas.openxmlformats.org/spreadsheetml/2006/main" count="2829" uniqueCount="342">
  <si>
    <t>Nama</t>
  </si>
  <si>
    <t>No. Tamrin</t>
  </si>
  <si>
    <t>No. Stambuk</t>
  </si>
  <si>
    <t xml:space="preserve">تفسير الجلالين  </t>
  </si>
  <si>
    <t>رياض الصالحين</t>
  </si>
  <si>
    <t>فتح المعين</t>
  </si>
  <si>
    <t xml:space="preserve">الخط \ الإملاء </t>
  </si>
  <si>
    <t xml:space="preserve">قراءة الكتب </t>
  </si>
  <si>
    <t xml:space="preserve">المحافظة </t>
  </si>
  <si>
    <t xml:space="preserve">الأخلاق </t>
  </si>
  <si>
    <t>جمل أرقام الدرجات الدراسية</t>
  </si>
  <si>
    <t>بإذن</t>
  </si>
  <si>
    <t>بغيره</t>
  </si>
  <si>
    <t>JML Siswi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</si>
  <si>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</si>
  <si>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</si>
  <si>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</si>
  <si>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</si>
  <si>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</si>
  <si>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</si>
  <si>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</si>
  <si>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</si>
  <si>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</si>
  <si>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</si>
  <si>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</si>
  <si>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</si>
  <si>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</si>
  <si>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</si>
  <si>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</si>
  <si>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</si>
  <si>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</si>
  <si>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</si>
  <si>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</si>
  <si>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</si>
  <si>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</si>
  <si>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</si>
  <si>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</si>
  <si>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</si>
  <si>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</si>
  <si>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</si>
  <si>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</si>
  <si>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</si>
  <si>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</si>
  <si>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</si>
  <si>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</si>
  <si>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</si>
  <si>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</si>
  <si>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</si>
  <si>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</si>
  <si>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NILAI  'AM</t>
  </si>
  <si>
    <t>NILAI 'AM</t>
  </si>
  <si>
    <t>إتمام الدراية</t>
  </si>
  <si>
    <t>كفاية العوام</t>
  </si>
  <si>
    <t>تسهيل الطرقات</t>
  </si>
  <si>
    <t>عدة الفارض</t>
  </si>
  <si>
    <t>الفية ابن مالك</t>
  </si>
  <si>
    <t>-</t>
  </si>
  <si>
    <r>
      <t>بداية الهداية</t>
    </r>
    <r>
      <rPr>
        <sz val="15"/>
        <color rgb="FF0000FF"/>
        <rFont val="KFGQPC Uthman Taha Naskh"/>
        <charset val="178"/>
      </rPr>
      <t xml:space="preserve"> </t>
    </r>
  </si>
  <si>
    <t>SEMESTER I</t>
  </si>
  <si>
    <t>semester II</t>
  </si>
  <si>
    <t>Jumlah</t>
  </si>
  <si>
    <t>pelajaran SI &amp; S II</t>
  </si>
  <si>
    <t>rata-rata</t>
  </si>
  <si>
    <t xml:space="preserve"> niai prestasi</t>
  </si>
  <si>
    <t>36</t>
  </si>
  <si>
    <t>37</t>
  </si>
  <si>
    <t>38</t>
  </si>
  <si>
    <t>S1</t>
  </si>
  <si>
    <t>S2</t>
  </si>
  <si>
    <t>JUMLAH IDZNI</t>
  </si>
  <si>
    <t>S 1</t>
  </si>
  <si>
    <t>S 2</t>
  </si>
  <si>
    <t>JUMLAH BIGHOIRIHI</t>
  </si>
  <si>
    <t>مبادئ قواعد الفقهية</t>
  </si>
  <si>
    <t>المتوسط الأول</t>
  </si>
  <si>
    <t>AINA NUR LAELY</t>
  </si>
  <si>
    <t>AMARATUS SAIDA</t>
  </si>
  <si>
    <t>ANJALI ISNA HUSNAWATI</t>
  </si>
  <si>
    <t>DAILLATS TSOORAYA</t>
  </si>
  <si>
    <t>DEWI NUR AZIZAH</t>
  </si>
  <si>
    <t>DINA YULIANA SARI</t>
  </si>
  <si>
    <t>FARWAH FATIMAH FARZANI</t>
  </si>
  <si>
    <t>FATIN KHAMAMA</t>
  </si>
  <si>
    <t>FIKRIYA NAJITAMA</t>
  </si>
  <si>
    <t>FINA HIKMATUL MAULA</t>
  </si>
  <si>
    <t>FIRDA AYU NUR AMALIA</t>
  </si>
  <si>
    <t>FUTIKHATUL JANNAH</t>
  </si>
  <si>
    <t>HANIFAH KAFFA ARIFAH</t>
  </si>
  <si>
    <t>KHOIRUNISA</t>
  </si>
  <si>
    <t>LIA WAFIQOTUL MAULA</t>
  </si>
  <si>
    <t>MUMAYIZAH</t>
  </si>
  <si>
    <t>NASYWA NAZWA</t>
  </si>
  <si>
    <t>NIRMALA</t>
  </si>
  <si>
    <t>NUR FADILAH</t>
  </si>
  <si>
    <t>PASYA TIFANI</t>
  </si>
  <si>
    <t>QURROTUL AINI</t>
  </si>
  <si>
    <t>RETA PUTRI AMALIA</t>
  </si>
  <si>
    <t>ROYDHOTUL MAGHFIROH</t>
  </si>
  <si>
    <t>SAILYN NAJA</t>
  </si>
  <si>
    <t>SALAMAH NAILUL MUNA</t>
  </si>
  <si>
    <t>SOFWI SAIDATIL UKHROWIYAH</t>
  </si>
  <si>
    <t>VIERA ADELIA PUTRI</t>
  </si>
  <si>
    <t>VINA AEINUL MAWADAH</t>
  </si>
  <si>
    <t>ZAHWA FARADISA LA’LA’AL HAQ AL-ANIZA</t>
  </si>
  <si>
    <t>AINUN NISA</t>
  </si>
  <si>
    <t>ALLENTHA SHEYNA LUNAURA Y. P.</t>
  </si>
  <si>
    <t>BINTI MARDLOTILLAH</t>
  </si>
  <si>
    <t>CHANINA KAMELIA MAHFUDZOTUSSALAMAH</t>
  </si>
  <si>
    <t>DHOU'UHA YUDHI'U FALABIQOH</t>
  </si>
  <si>
    <t>EFI ZULIYANI</t>
  </si>
  <si>
    <t>FARICHA NAJLA NADIA</t>
  </si>
  <si>
    <t>HANIN ATIQOTUR RIF'AH SHODIQ</t>
  </si>
  <si>
    <t>HUMAIRO' ALMUFIDAH</t>
  </si>
  <si>
    <t>INDAH ASHLIHAH AZMIROTUSSALAMAH</t>
  </si>
  <si>
    <t>ISNIATUN</t>
  </si>
  <si>
    <t>LAURA NASIKA FATMA PADANGENG WULAN</t>
  </si>
  <si>
    <t>LIYAL HUSNA WAZIYADA</t>
  </si>
  <si>
    <t>MAHBUBATUL JANAH</t>
  </si>
  <si>
    <t>MAISAROH</t>
  </si>
  <si>
    <t>MEI NANGIMAH</t>
  </si>
  <si>
    <t>MINKKA QISTHY AL HIMNA</t>
  </si>
  <si>
    <t>NAFIATUD DAROINI</t>
  </si>
  <si>
    <t>NAILUN NAJAH ALJADIDAH</t>
  </si>
  <si>
    <t>NIDA RAHMA KHASANI</t>
  </si>
  <si>
    <t>NIHLAH SALIMAH FIDDAROIN</t>
  </si>
  <si>
    <t>RIZKA TOYYIBAH</t>
  </si>
  <si>
    <t>SAKINATUL AWIDDAH</t>
  </si>
  <si>
    <t>SALSA RONA ANDIRA</t>
  </si>
  <si>
    <t>SINTA ULWIYATUL HASANAH</t>
  </si>
  <si>
    <t>TAFRIJJIYYAH HISLAMI PUTRI</t>
  </si>
  <si>
    <t>TITIK KUSUMAWATI</t>
  </si>
  <si>
    <t>TSAABITA A'MALUNA ZAHRO'</t>
  </si>
  <si>
    <t>VENITA FITRIANI</t>
  </si>
  <si>
    <t>YESICCA YAHYA ALVIA</t>
  </si>
  <si>
    <t>ZAHROTUL ASHFIA</t>
  </si>
  <si>
    <t>TUTI ALAWIYAH</t>
  </si>
  <si>
    <t>AFIDATUL MUNAWAROH</t>
  </si>
  <si>
    <t>ARINA PUTRI AISYAH</t>
  </si>
  <si>
    <t>DWI NOVI ARINI</t>
  </si>
  <si>
    <t>FATHINA RAMADHANI</t>
  </si>
  <si>
    <t>FAZA KAUTSARA</t>
  </si>
  <si>
    <t>FAZA NAYYIROTUT THOYYIBAH AL-FAIQOH</t>
  </si>
  <si>
    <t>HARTI MINAWATI</t>
  </si>
  <si>
    <t>HILYATUL AULIYA</t>
  </si>
  <si>
    <t>JUMROTUL KHASANAH</t>
  </si>
  <si>
    <t>KHADIJAH AZZAHRA</t>
  </si>
  <si>
    <t>LINAILI SYAUQIYATU ZAHRO</t>
  </si>
  <si>
    <t>LITA RAHMA AULIA</t>
  </si>
  <si>
    <t>MAEMUNAH RIZKY AMALIA</t>
  </si>
  <si>
    <t>NAFIAH RS.</t>
  </si>
  <si>
    <t>NIDATUL QOLBIYYAH</t>
  </si>
  <si>
    <t>NIRAHAYU</t>
  </si>
  <si>
    <t>NUR HIDAYATUL KHASANAH</t>
  </si>
  <si>
    <t>NUZLAH FITRIYANI</t>
  </si>
  <si>
    <t>PUTRI FAJRI HIDAYAH</t>
  </si>
  <si>
    <t>RAISYA PUTRI FADLILAH</t>
  </si>
  <si>
    <t>REVA FAHRA AISYYAH</t>
  </si>
  <si>
    <t>RINA OKTAVIANI</t>
  </si>
  <si>
    <t>RIZMA NOVITA RAHMA</t>
  </si>
  <si>
    <t>SASKIA NAYLA FAUZIYAH</t>
  </si>
  <si>
    <t>SILVY FATIYYA MAUDIDA</t>
  </si>
  <si>
    <t>UMI KULTSUM</t>
  </si>
  <si>
    <t>UMMU NAFISAH SALMA</t>
  </si>
  <si>
    <t>VIA HIKMATUL MAULA</t>
  </si>
  <si>
    <t>VINA HIMMATUL QUDSIYAH</t>
  </si>
  <si>
    <t>ZAHRA ALFIYATUNNISA</t>
  </si>
  <si>
    <t>ZIANA DEWI AISYAH</t>
  </si>
  <si>
    <t>ZILDA KHAFYANA SARI MUNAZAH</t>
  </si>
  <si>
    <t>INDAH CAHYAWATI</t>
  </si>
  <si>
    <t>NAZILATUR ROKHMAH</t>
  </si>
  <si>
    <t>ABIDAH SYAKIRAH</t>
  </si>
  <si>
    <t>AISA DAFA AZALIA</t>
  </si>
  <si>
    <t>ARIFATUL KHUSNA</t>
  </si>
  <si>
    <t>ATINA MAHSUNAH</t>
  </si>
  <si>
    <t>DEWI FANIDA CAROLLINA</t>
  </si>
  <si>
    <t>DWYKA FIRDANDHA TUNGGA WIJAYA</t>
  </si>
  <si>
    <t>FATIHATU DINIYAH</t>
  </si>
  <si>
    <t>GHINA NABILA</t>
  </si>
  <si>
    <t>ILYA AISYAH ROWI</t>
  </si>
  <si>
    <t>JINANI FIRDAUSHIYAH</t>
  </si>
  <si>
    <t>KEYSHA FATIMAH ATHAYAL ILAH</t>
  </si>
  <si>
    <t>KHOEROTIN BARIROH</t>
  </si>
  <si>
    <t>LUTFI HIDAYATUS SHOLIHAH</t>
  </si>
  <si>
    <t>MASFIATUL AULIA</t>
  </si>
  <si>
    <t>NAIL AL AMAL</t>
  </si>
  <si>
    <t>NAILA FATHIMAH AZZAHRO</t>
  </si>
  <si>
    <t>NAILLA SALSABILA FIRDAUSHI</t>
  </si>
  <si>
    <t>NAYLIZZULFA</t>
  </si>
  <si>
    <t>NENENG SAYYIDATUN HUMAIROH</t>
  </si>
  <si>
    <t>PUTRI NAJWA AQILA</t>
  </si>
  <si>
    <t>PUTRINDA AYU BERLIANI</t>
  </si>
  <si>
    <t>RAIHANAH</t>
  </si>
  <si>
    <t>REVA ARDIANA FADILAH</t>
  </si>
  <si>
    <t>SA'IDAH FIDDAROINI</t>
  </si>
  <si>
    <t>SIFA MA'RIFATUL HASNA</t>
  </si>
  <si>
    <t>SITI ASIAH</t>
  </si>
  <si>
    <t>SITI ZIRAN NURFATWA</t>
  </si>
  <si>
    <t>ULFA ZAHROTUL 'ADNA</t>
  </si>
  <si>
    <t>YULIDA MAHARANI</t>
  </si>
  <si>
    <t>ZAHARA MAULIDIA SURATMAN PUTRI</t>
  </si>
  <si>
    <t>DUWI BAKDIYATUL MUALIFAH</t>
  </si>
  <si>
    <t>OKTA FADILA</t>
  </si>
  <si>
    <t>DEWI FATMAWATI</t>
  </si>
  <si>
    <t>DIAH AYU ROSITA</t>
  </si>
  <si>
    <t>DITYA KHAILILA KHUSNA</t>
  </si>
  <si>
    <t>ELZA ALVIN NUR AMALIA</t>
  </si>
  <si>
    <t>ENI SUPRIATI NINGSIH</t>
  </si>
  <si>
    <t>FATHIMAH AL BATUL</t>
  </si>
  <si>
    <t>HANUM MASRUROH</t>
  </si>
  <si>
    <t>HASUNAH</t>
  </si>
  <si>
    <t>JESI LESTARI</t>
  </si>
  <si>
    <t>KIFA YATUT TAUBAH</t>
  </si>
  <si>
    <t>LUTFIA AZZAHRA</t>
  </si>
  <si>
    <t>MACHYA MAMLUATUL 'AZA</t>
  </si>
  <si>
    <t>MARYAM</t>
  </si>
  <si>
    <t>MAULA SAIDAH AYYAMI</t>
  </si>
  <si>
    <t>MU'MINATUL AZIZAH</t>
  </si>
  <si>
    <t>NAFISA NAJWA FIMA FILLAH</t>
  </si>
  <si>
    <t>NAILA ALFA FAUZA</t>
  </si>
  <si>
    <t>NAJUA ZASKIA</t>
  </si>
  <si>
    <t>NIDA QOTHRUNNADA</t>
  </si>
  <si>
    <t>NUR WARDAH FAUZIYAH</t>
  </si>
  <si>
    <t>NURINDRA HANUM RAMADHANI</t>
  </si>
  <si>
    <t>QUMI LAILATAZ ZULFA</t>
  </si>
  <si>
    <t>QURROTA A'YUN</t>
  </si>
  <si>
    <t>RIFDA ISMATUL AZIZAH</t>
  </si>
  <si>
    <t>RIZQI DAIMATUL KHUSNA</t>
  </si>
  <si>
    <t>ROFIQOH ANISA ZAHRA</t>
  </si>
  <si>
    <t>SAFIRA SALSABILA</t>
  </si>
  <si>
    <t>SHOFIYATUL MUHSINAH</t>
  </si>
  <si>
    <t>TAQIATUL ALIYAH</t>
  </si>
  <si>
    <t>TSUAIBATUL ASLAMIYAH</t>
  </si>
  <si>
    <t>TSUROYYAH</t>
  </si>
  <si>
    <t>ALIYAH MIFTAHUL ULUM</t>
  </si>
  <si>
    <t>AMNA VADILLA</t>
  </si>
  <si>
    <t>AULA ZIANA ABIDAH</t>
  </si>
  <si>
    <t>AZIZAH ISTIKHOMAH</t>
  </si>
  <si>
    <t>AZKA AZKIA</t>
  </si>
  <si>
    <t>BIKI ETHMANNA QOLBY</t>
  </si>
  <si>
    <t>CHASYIFA ANNUKHBA</t>
  </si>
  <si>
    <t>DINDA ANISATUL MUBAYYINAH</t>
  </si>
  <si>
    <t>FADHILA KHASANAH</t>
  </si>
  <si>
    <t>FATIMAH AZZAHRO</t>
  </si>
  <si>
    <t>ISMA FATIYAH</t>
  </si>
  <si>
    <t>LISSARI NABILLA</t>
  </si>
  <si>
    <t>LU'LUIL HILDA MUNAYYA</t>
  </si>
  <si>
    <t>LUBNA MISKA SHOLIHAH</t>
  </si>
  <si>
    <t>MADINATUL MUKARROMAH</t>
  </si>
  <si>
    <t>MAULIDIA TASYA RAFIKA</t>
  </si>
  <si>
    <t>MILADIATUS SA'ADAH</t>
  </si>
  <si>
    <t>MUTIARA NUR AZIZAH</t>
  </si>
  <si>
    <t>NAILIL FITROH</t>
  </si>
  <si>
    <t>NOOR FATHIA WARDANIA</t>
  </si>
  <si>
    <t>NUR LAILATUL MAFRISKA</t>
  </si>
  <si>
    <t>RIMA IZZULMILA</t>
  </si>
  <si>
    <t>RIRA ADELIA SAPUTRI</t>
  </si>
  <si>
    <t>SALMA NUR JANNAH</t>
  </si>
  <si>
    <t>SHERLINA CAHYA NINGRUM</t>
  </si>
  <si>
    <t>SITI MALIKATUROHMAH</t>
  </si>
  <si>
    <t>SURINAH</t>
  </si>
  <si>
    <t>SYAKIRA GHINA FALIHA</t>
  </si>
  <si>
    <t>ZAHRO' NAILUL ULYA</t>
  </si>
  <si>
    <t>ZULFA HAFIFAH</t>
  </si>
  <si>
    <t>ROUDLOTUL FIRDAUSIL HUSNA</t>
  </si>
  <si>
    <t>AISYATUL FIRDAUSY</t>
  </si>
  <si>
    <t>ALFA PUTRI AZZAHRA</t>
  </si>
  <si>
    <t>AMALIA NADLILAH</t>
  </si>
  <si>
    <t>ANNISA 'ULFATUN NAHDIYAH</t>
  </si>
  <si>
    <t>ANNISA NIDAUL HUSNA</t>
  </si>
  <si>
    <t>AULIA NAFAIDA</t>
  </si>
  <si>
    <t>DARISSALMA</t>
  </si>
  <si>
    <t>DEWI NAYLA AZIZATUR ROHMAH</t>
  </si>
  <si>
    <t>DWI TRI MULYANI</t>
  </si>
  <si>
    <t>GHINAYA AFANI KHOLIDIA</t>
  </si>
  <si>
    <t>KAMALA SAFIRUL ARWA</t>
  </si>
  <si>
    <t>KURNIA DWITA HAPSARI</t>
  </si>
  <si>
    <t>LU'LUATUL AZIZAH</t>
  </si>
  <si>
    <t>LUM'ATUNNISRINA</t>
  </si>
  <si>
    <t>NABILA NAILI ALVI KAROMAH</t>
  </si>
  <si>
    <t>NADYA IZZATUL MAULA SALSABILA</t>
  </si>
  <si>
    <t>NAELA AENAN NABILAH</t>
  </si>
  <si>
    <t>NAJWA DAROIN</t>
  </si>
  <si>
    <t>KHASNA NILNAL MUNA THOHA PUTRI</t>
  </si>
  <si>
    <t>PUTRI INDAH WANTI</t>
  </si>
  <si>
    <t>RAHMAWATI</t>
  </si>
  <si>
    <t>RINI NUR UTAMI</t>
  </si>
  <si>
    <t>SHERLIA TUS SYAHRONI</t>
  </si>
  <si>
    <t>SINTA ROHMATAL MAULA</t>
  </si>
  <si>
    <t>SITI CHUSNAYAINI</t>
  </si>
  <si>
    <t>SITI LUTFIAH</t>
  </si>
  <si>
    <t>WILDA AZKA FIKRIYAH</t>
  </si>
  <si>
    <t>YUSRO SYIFA NUR MAHAMIDAH</t>
  </si>
  <si>
    <t>ZINATUL HAYATI</t>
  </si>
  <si>
    <t>ARIN AGUSTIN</t>
  </si>
  <si>
    <t>ATI LINURIL BAROKAH</t>
  </si>
  <si>
    <t>BARLANTI KHODIJAH ALINNASLA</t>
  </si>
  <si>
    <t>CHUBI SYAQILA</t>
  </si>
  <si>
    <t>EKAWATI</t>
  </si>
  <si>
    <t>EVI YUNIARTI</t>
  </si>
  <si>
    <t>HALWA MAYLA SAPNA ROBB</t>
  </si>
  <si>
    <t>HIMATUL AZIZAH</t>
  </si>
  <si>
    <t>KHOIRUN NISA</t>
  </si>
  <si>
    <t>KHUSNA DIANA FITRI</t>
  </si>
  <si>
    <t>LIA AMALIYA</t>
  </si>
  <si>
    <t>MAYLAN QUDSY</t>
  </si>
  <si>
    <t>MELANI NAFISAH SAMAS</t>
  </si>
  <si>
    <t>MILHAH ‘AZIZAH</t>
  </si>
  <si>
    <t>NAFI'ATIL 'AQILAH</t>
  </si>
  <si>
    <t>NALA ROHMATAL IZZAH</t>
  </si>
  <si>
    <t>NGABIDATUL MAHMUDAH</t>
  </si>
  <si>
    <t>NUR AENI</t>
  </si>
  <si>
    <t>NUR INDAH ROSYIDAH</t>
  </si>
  <si>
    <t>NUR ROHMAH</t>
  </si>
  <si>
    <t>NURIS SABIILA</t>
  </si>
  <si>
    <t>NURUL AZIZAH SIREGAR</t>
  </si>
  <si>
    <t>REIFINA MAHWA MERNISI</t>
  </si>
  <si>
    <t>ROIHANATUL JANNAH</t>
  </si>
  <si>
    <t>SAILIN NIHLAH</t>
  </si>
  <si>
    <t>SALSA SOFIA</t>
  </si>
  <si>
    <t>SITI MAFRUROH</t>
  </si>
  <si>
    <t>SYIVAUR ROHMAH</t>
  </si>
  <si>
    <t>TZAMARATUL QOLBUNA ALIA MAYSARAH</t>
  </si>
  <si>
    <t>ULFI ZAHROTUL 'ADNI</t>
  </si>
  <si>
    <t>VIKA MAHYA MAFAZA</t>
  </si>
  <si>
    <t>JESICA BARBERA AISYAH PADANGENG ALAM</t>
  </si>
  <si>
    <t>nilai akhlaq turun 3 karna tidak izin 17</t>
  </si>
  <si>
    <t xml:space="preserve">NILAI A'M </t>
  </si>
  <si>
    <t xml:space="preserve">KET: HER2 AN </t>
  </si>
  <si>
    <t xml:space="preserve">ket. Her ujian </t>
  </si>
  <si>
    <t xml:space="preserve">stb kosong </t>
  </si>
  <si>
    <t>2538</t>
  </si>
  <si>
    <t xml:space="preserve">SIT MELEBIHI BATAS </t>
  </si>
  <si>
    <t>PROBLEMATIC</t>
  </si>
  <si>
    <t>HER2 AN</t>
  </si>
  <si>
    <t>PRESTASI BEDA DENGAN BPK</t>
  </si>
  <si>
    <t>PRESTASI BEDA DENGAN BAPAKNYA</t>
  </si>
  <si>
    <t>HER2AN</t>
  </si>
  <si>
    <t xml:space="preserve">izin lebih 5 hari </t>
  </si>
  <si>
    <t>nilai am msh beda</t>
  </si>
  <si>
    <t>prestasi beda</t>
  </si>
  <si>
    <t>AHLAK BLM DITURUNI</t>
  </si>
  <si>
    <t>المتوسط الثانى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</si>
</sst>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[$-2000000]0"/>
  </numFmts>
  <fonts count="30" x14ac:knownFonts="1">
    <font>
      <sz val="11"/>
      <color theme="1"/>
      <name val="Calibri"/>
      <family val="2"/>
      <scheme val="minor"/>
    </font>
    <font>
      <sz val="16"/>
      <color theme="1"/>
      <name val="KFGQPC Uthman Taha Naskh"/>
      <charset val="178"/>
    </font>
    <font>
      <sz val="12"/>
      <color theme="1"/>
      <name val="Calibri"/>
      <family val="2"/>
      <scheme val="minor"/>
    </font>
    <font>
      <b/>
      <sz val="16"/>
      <color theme="1"/>
      <name val="KFGQPC Uthman Taha Naskh"/>
      <charset val="178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5"/>
      <color theme="1"/>
      <name val="KFGQPC Uthman Taha Naskh"/>
      <charset val="178"/>
    </font>
    <font>
      <sz val="15"/>
      <color rgb="FF0000FF"/>
      <name val="KFGQPC Uthman Taha Naskh"/>
      <charset val="178"/>
    </font>
    <font>
      <sz val="8"/>
      <name val="Calibri"/>
      <family val="2"/>
      <scheme val="minor"/>
    </font>
    <font>
      <sz val="16"/>
      <name val="KFGQPC Uthman Taha Naskh"/>
      <charset val="178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4"/>
      <name val="Times New Roman"/>
      <family val="1"/>
    </font>
    <font>
      <sz val="12"/>
      <name val="Calibri"/>
      <family val="2"/>
      <scheme val="minor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rgb="FF7030A0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KFGQPC Uthman Taha Naskh"/>
      <charset val="178"/>
    </font>
    <font>
      <sz val="20"/>
      <name val="Times New Roman"/>
      <family val="1"/>
    </font>
    <font>
      <sz val="12"/>
      <color rgb="FFFF0000"/>
      <name val="Calibri"/>
      <family val="2"/>
      <scheme val="minor"/>
    </font>
    <font>
      <sz val="16"/>
      <color rgb="FFFF0000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1DCF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FBE9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6882E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9663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4">
    <xf numFmtId="0" fontId="0" fillId="0" borderId="0" xfId="0"/>
    <xf numFmtId="0" fontId="2" fillId="0" borderId="1" xfId="0" applyFont="1" applyBorder="1"/>
    <xf numFmtId="0" fontId="0" fillId="0" borderId="1" xfId="0" applyBorder="1"/>
    <xf numFmtId="165" fontId="1" fillId="0" borderId="1" xfId="0" applyNumberFormat="1" applyFont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 wrapText="1" readingOrder="2"/>
    </xf>
    <xf numFmtId="165" fontId="3" fillId="4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left" vertical="center"/>
    </xf>
    <xf numFmtId="165" fontId="1" fillId="5" borderId="1" xfId="0" applyNumberFormat="1" applyFont="1" applyFill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4" fillId="0" borderId="1" xfId="0" quotePrefix="1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 readingOrder="2"/>
    </xf>
    <xf numFmtId="165" fontId="6" fillId="4" borderId="3" xfId="0" applyNumberFormat="1" applyFont="1" applyFill="1" applyBorder="1" applyAlignment="1">
      <alignment horizontal="center" vertical="center" wrapText="1" readingOrder="2"/>
    </xf>
    <xf numFmtId="165" fontId="6" fillId="2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1" fillId="7" borderId="1" xfId="0" quotePrefix="1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 readingOrder="2"/>
    </xf>
    <xf numFmtId="165" fontId="1" fillId="0" borderId="6" xfId="0" applyNumberFormat="1" applyFont="1" applyBorder="1" applyAlignment="1">
      <alignment horizontal="center" vertical="center"/>
    </xf>
    <xf numFmtId="165" fontId="1" fillId="3" borderId="6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 readingOrder="2"/>
    </xf>
    <xf numFmtId="0" fontId="4" fillId="0" borderId="2" xfId="0" applyFont="1" applyBorder="1" applyAlignment="1">
      <alignment vertical="center"/>
    </xf>
    <xf numFmtId="0" fontId="4" fillId="0" borderId="2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9" fillId="4" borderId="1" xfId="0" applyNumberFormat="1" applyFont="1" applyFill="1" applyBorder="1" applyAlignment="1">
      <alignment horizontal="center" vertical="center" wrapText="1" readingOrder="2"/>
    </xf>
    <xf numFmtId="165" fontId="9" fillId="6" borderId="1" xfId="0" quotePrefix="1" applyNumberFormat="1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0" fillId="0" borderId="0" xfId="0" applyFont="1"/>
    <xf numFmtId="165" fontId="12" fillId="9" borderId="1" xfId="0" applyNumberFormat="1" applyFont="1" applyFill="1" applyBorder="1" applyAlignment="1">
      <alignment horizontal="center" vertical="center" wrapText="1" readingOrder="2"/>
    </xf>
    <xf numFmtId="0" fontId="12" fillId="9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5" fontId="9" fillId="2" borderId="1" xfId="0" applyNumberFormat="1" applyFont="1" applyFill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/>
    </xf>
    <xf numFmtId="0" fontId="4" fillId="10" borderId="2" xfId="0" quotePrefix="1" applyFont="1" applyFill="1" applyBorder="1" applyAlignment="1">
      <alignment horizontal="center" vertical="center" wrapText="1"/>
    </xf>
    <xf numFmtId="0" fontId="2" fillId="10" borderId="1" xfId="0" applyFont="1" applyFill="1" applyBorder="1"/>
    <xf numFmtId="165" fontId="2" fillId="10" borderId="1" xfId="0" applyNumberFormat="1" applyFont="1" applyFill="1" applyBorder="1" applyAlignment="1">
      <alignment horizontal="center" vertical="center"/>
    </xf>
    <xf numFmtId="165" fontId="2" fillId="10" borderId="1" xfId="0" applyNumberFormat="1" applyFont="1" applyFill="1" applyBorder="1" applyAlignment="1">
      <alignment horizontal="center"/>
    </xf>
    <xf numFmtId="0" fontId="0" fillId="10" borderId="1" xfId="0" applyFill="1" applyBorder="1"/>
    <xf numFmtId="165" fontId="1" fillId="0" borderId="6" xfId="0" quotePrefix="1" applyNumberFormat="1" applyFont="1" applyBorder="1" applyAlignment="1">
      <alignment horizontal="center" vertical="center"/>
    </xf>
    <xf numFmtId="165" fontId="1" fillId="3" borderId="1" xfId="0" quotePrefix="1" applyNumberFormat="1" applyFont="1" applyFill="1" applyBorder="1" applyAlignment="1">
      <alignment horizontal="center" vertical="center"/>
    </xf>
    <xf numFmtId="0" fontId="15" fillId="0" borderId="1" xfId="0" quotePrefix="1" applyFont="1" applyBorder="1" applyAlignment="1" applyProtection="1">
      <alignment horizontal="left" vertical="center"/>
      <protection locked="0"/>
    </xf>
    <xf numFmtId="0" fontId="15" fillId="0" borderId="1" xfId="0" quotePrefix="1" applyFont="1" applyBorder="1"/>
    <xf numFmtId="0" fontId="15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wrapText="1"/>
    </xf>
    <xf numFmtId="0" fontId="15" fillId="0" borderId="3" xfId="0" applyFont="1" applyBorder="1" applyAlignment="1">
      <alignment vertical="center" wrapText="1"/>
    </xf>
    <xf numFmtId="0" fontId="15" fillId="0" borderId="3" xfId="0" applyFont="1" applyBorder="1" applyAlignment="1">
      <alignment vertical="center"/>
    </xf>
    <xf numFmtId="0" fontId="15" fillId="0" borderId="1" xfId="0" quotePrefix="1" applyFont="1" applyBorder="1" applyAlignment="1">
      <alignment horizontal="left" wrapText="1"/>
    </xf>
    <xf numFmtId="0" fontId="16" fillId="0" borderId="3" xfId="0" applyFont="1" applyBorder="1" applyAlignment="1">
      <alignment vertical="center" wrapText="1"/>
    </xf>
    <xf numFmtId="49" fontId="15" fillId="2" borderId="3" xfId="0" applyNumberFormat="1" applyFont="1" applyFill="1" applyBorder="1" applyAlignment="1" applyProtection="1">
      <alignment horizontal="left" vertical="center"/>
      <protection locked="0"/>
    </xf>
    <xf numFmtId="0" fontId="16" fillId="11" borderId="3" xfId="0" applyFont="1" applyFill="1" applyBorder="1" applyAlignment="1">
      <alignment wrapText="1"/>
    </xf>
    <xf numFmtId="0" fontId="17" fillId="0" borderId="3" xfId="0" applyFont="1" applyBorder="1" applyAlignment="1">
      <alignment horizontal="left" vertical="center" wrapText="1"/>
    </xf>
    <xf numFmtId="0" fontId="15" fillId="0" borderId="7" xfId="0" applyFont="1" applyBorder="1" applyAlignment="1">
      <alignment vertical="center" wrapText="1"/>
    </xf>
    <xf numFmtId="0" fontId="15" fillId="10" borderId="1" xfId="0" quotePrefix="1" applyFont="1" applyFill="1" applyBorder="1" applyAlignment="1" applyProtection="1">
      <alignment horizontal="left" vertical="center"/>
      <protection locked="0"/>
    </xf>
    <xf numFmtId="0" fontId="5" fillId="4" borderId="1" xfId="0" applyFont="1" applyFill="1" applyBorder="1" applyAlignment="1">
      <alignment horizontal="left" vertical="center"/>
    </xf>
    <xf numFmtId="0" fontId="4" fillId="0" borderId="2" xfId="0" quotePrefix="1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10" borderId="2" xfId="0" quotePrefix="1" applyFont="1" applyFill="1" applyBorder="1" applyAlignment="1">
      <alignment horizontal="left" vertical="center" wrapText="1"/>
    </xf>
    <xf numFmtId="0" fontId="15" fillId="10" borderId="1" xfId="0" quotePrefix="1" applyFont="1" applyFill="1" applyBorder="1" applyAlignment="1" applyProtection="1">
      <alignment vertical="center"/>
      <protection locked="0"/>
    </xf>
    <xf numFmtId="0" fontId="15" fillId="10" borderId="1" xfId="0" quotePrefix="1" applyFont="1" applyFill="1" applyBorder="1" applyAlignment="1">
      <alignment horizontal="left" vertical="center" wrapText="1"/>
    </xf>
    <xf numFmtId="0" fontId="21" fillId="10" borderId="1" xfId="0" quotePrefix="1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4" fontId="22" fillId="0" borderId="1" xfId="0" quotePrefix="1" applyNumberFormat="1" applyFont="1" applyBorder="1" applyAlignment="1">
      <alignment horizontal="center" vertical="center"/>
    </xf>
    <xf numFmtId="0" fontId="24" fillId="0" borderId="0" xfId="0" applyFont="1"/>
    <xf numFmtId="0" fontId="25" fillId="0" borderId="0" xfId="0" applyFont="1"/>
    <xf numFmtId="165" fontId="26" fillId="2" borderId="1" xfId="0" applyNumberFormat="1" applyFont="1" applyFill="1" applyBorder="1" applyAlignment="1">
      <alignment horizontal="center" vertical="center"/>
    </xf>
    <xf numFmtId="0" fontId="19" fillId="0" borderId="1" xfId="0" quotePrefix="1" applyFont="1" applyBorder="1" applyAlignment="1" applyProtection="1">
      <alignment horizontal="left" vertical="center"/>
      <protection locked="0"/>
    </xf>
    <xf numFmtId="165" fontId="1" fillId="12" borderId="1" xfId="0" applyNumberFormat="1" applyFont="1" applyFill="1" applyBorder="1" applyAlignment="1">
      <alignment horizontal="center" vertical="center"/>
    </xf>
    <xf numFmtId="0" fontId="0" fillId="12" borderId="1" xfId="0" applyFill="1" applyBorder="1"/>
    <xf numFmtId="165" fontId="2" fillId="12" borderId="1" xfId="0" applyNumberFormat="1" applyFont="1" applyFill="1" applyBorder="1" applyAlignment="1">
      <alignment horizontal="center" vertical="center"/>
    </xf>
    <xf numFmtId="165" fontId="2" fillId="12" borderId="1" xfId="0" applyNumberFormat="1" applyFont="1" applyFill="1" applyBorder="1" applyAlignment="1">
      <alignment horizontal="center"/>
    </xf>
    <xf numFmtId="0" fontId="2" fillId="12" borderId="1" xfId="0" applyFont="1" applyFill="1" applyBorder="1"/>
    <xf numFmtId="165" fontId="1" fillId="13" borderId="1" xfId="0" applyNumberFormat="1" applyFont="1" applyFill="1" applyBorder="1" applyAlignment="1">
      <alignment horizontal="center" vertical="center"/>
    </xf>
    <xf numFmtId="165" fontId="9" fillId="13" borderId="1" xfId="0" quotePrefix="1" applyNumberFormat="1" applyFont="1" applyFill="1" applyBorder="1" applyAlignment="1">
      <alignment horizontal="center" vertical="center"/>
    </xf>
    <xf numFmtId="0" fontId="2" fillId="13" borderId="1" xfId="0" applyFont="1" applyFill="1" applyBorder="1"/>
    <xf numFmtId="165" fontId="2" fillId="13" borderId="1" xfId="0" applyNumberFormat="1" applyFont="1" applyFill="1" applyBorder="1" applyAlignment="1">
      <alignment horizontal="center" vertical="center"/>
    </xf>
    <xf numFmtId="165" fontId="2" fillId="13" borderId="1" xfId="0" applyNumberFormat="1" applyFont="1" applyFill="1" applyBorder="1" applyAlignment="1">
      <alignment horizontal="center"/>
    </xf>
    <xf numFmtId="0" fontId="15" fillId="14" borderId="1" xfId="0" quotePrefix="1" applyFont="1" applyFill="1" applyBorder="1" applyAlignment="1">
      <alignment horizontal="left" wrapText="1"/>
    </xf>
    <xf numFmtId="164" fontId="4" fillId="14" borderId="1" xfId="0" quotePrefix="1" applyNumberFormat="1" applyFont="1" applyFill="1" applyBorder="1" applyAlignment="1">
      <alignment horizontal="center" vertical="center"/>
    </xf>
    <xf numFmtId="165" fontId="1" fillId="14" borderId="1" xfId="0" applyNumberFormat="1" applyFont="1" applyFill="1" applyBorder="1" applyAlignment="1">
      <alignment horizontal="center" vertical="center"/>
    </xf>
    <xf numFmtId="165" fontId="9" fillId="14" borderId="1" xfId="0" quotePrefix="1" applyNumberFormat="1" applyFont="1" applyFill="1" applyBorder="1" applyAlignment="1">
      <alignment horizontal="center" vertical="center"/>
    </xf>
    <xf numFmtId="0" fontId="2" fillId="14" borderId="1" xfId="0" applyFont="1" applyFill="1" applyBorder="1"/>
    <xf numFmtId="165" fontId="1" fillId="15" borderId="1" xfId="0" applyNumberFormat="1" applyFont="1" applyFill="1" applyBorder="1" applyAlignment="1">
      <alignment horizontal="center" vertical="center"/>
    </xf>
    <xf numFmtId="165" fontId="9" fillId="15" borderId="1" xfId="0" quotePrefix="1" applyNumberFormat="1" applyFont="1" applyFill="1" applyBorder="1" applyAlignment="1">
      <alignment horizontal="center" vertical="center"/>
    </xf>
    <xf numFmtId="0" fontId="2" fillId="15" borderId="1" xfId="0" applyFont="1" applyFill="1" applyBorder="1"/>
    <xf numFmtId="165" fontId="2" fillId="15" borderId="1" xfId="0" applyNumberFormat="1" applyFont="1" applyFill="1" applyBorder="1" applyAlignment="1">
      <alignment horizontal="center" vertical="center"/>
    </xf>
    <xf numFmtId="165" fontId="2" fillId="15" borderId="1" xfId="0" applyNumberFormat="1" applyFont="1" applyFill="1" applyBorder="1" applyAlignment="1">
      <alignment horizont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9" borderId="1" xfId="0" applyFill="1" applyBorder="1"/>
    <xf numFmtId="165" fontId="2" fillId="9" borderId="1" xfId="0" applyNumberFormat="1" applyFont="1" applyFill="1" applyBorder="1" applyAlignment="1">
      <alignment horizontal="center" vertical="center"/>
    </xf>
    <xf numFmtId="165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/>
    <xf numFmtId="0" fontId="0" fillId="14" borderId="1" xfId="0" applyFill="1" applyBorder="1"/>
    <xf numFmtId="0" fontId="15" fillId="9" borderId="1" xfId="0" quotePrefix="1" applyFont="1" applyFill="1" applyBorder="1" applyAlignment="1">
      <alignment horizontal="left" wrapText="1"/>
    </xf>
    <xf numFmtId="0" fontId="4" fillId="9" borderId="2" xfId="0" applyFont="1" applyFill="1" applyBorder="1" applyAlignment="1">
      <alignment vertical="center"/>
    </xf>
    <xf numFmtId="0" fontId="15" fillId="9" borderId="1" xfId="0" applyFont="1" applyFill="1" applyBorder="1" applyAlignment="1">
      <alignment horizontal="left" wrapText="1"/>
    </xf>
    <xf numFmtId="0" fontId="19" fillId="0" borderId="8" xfId="0" applyFont="1" applyBorder="1" applyAlignment="1">
      <alignment vertical="center" wrapText="1"/>
    </xf>
    <xf numFmtId="0" fontId="19" fillId="0" borderId="9" xfId="0" applyFont="1" applyBorder="1" applyAlignment="1">
      <alignment vertical="center" wrapText="1"/>
    </xf>
    <xf numFmtId="0" fontId="19" fillId="0" borderId="8" xfId="0" applyFont="1" applyBorder="1" applyAlignment="1">
      <alignment horizontal="justify" vertical="center" wrapText="1"/>
    </xf>
    <xf numFmtId="0" fontId="19" fillId="0" borderId="8" xfId="0" quotePrefix="1" applyFont="1" applyBorder="1" applyAlignment="1">
      <alignment vertical="center" wrapText="1"/>
    </xf>
    <xf numFmtId="0" fontId="19" fillId="0" borderId="9" xfId="0" quotePrefix="1" applyFont="1" applyBorder="1" applyAlignment="1">
      <alignment vertical="center" wrapText="1"/>
    </xf>
    <xf numFmtId="0" fontId="19" fillId="0" borderId="0" xfId="0" applyFont="1"/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1" fillId="10" borderId="1" xfId="0" quotePrefix="1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left" vertical="center" wrapText="1"/>
    </xf>
    <xf numFmtId="0" fontId="21" fillId="0" borderId="2" xfId="0" quotePrefix="1" applyFont="1" applyBorder="1" applyAlignment="1">
      <alignment horizontal="left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2" xfId="0" quotePrefix="1" applyFont="1" applyBorder="1" applyAlignment="1">
      <alignment horizontal="center" vertical="center" wrapText="1"/>
    </xf>
    <xf numFmtId="0" fontId="19" fillId="14" borderId="9" xfId="0" applyFont="1" applyFill="1" applyBorder="1" applyAlignment="1">
      <alignment vertical="center" wrapText="1"/>
    </xf>
    <xf numFmtId="0" fontId="21" fillId="14" borderId="1" xfId="0" quotePrefix="1" applyFont="1" applyFill="1" applyBorder="1" applyAlignment="1">
      <alignment horizontal="center" vertical="center" wrapText="1"/>
    </xf>
    <xf numFmtId="0" fontId="19" fillId="13" borderId="9" xfId="0" applyFont="1" applyFill="1" applyBorder="1" applyAlignment="1">
      <alignment vertical="center" wrapText="1"/>
    </xf>
    <xf numFmtId="0" fontId="21" fillId="13" borderId="1" xfId="0" quotePrefix="1" applyFont="1" applyFill="1" applyBorder="1" applyAlignment="1">
      <alignment horizontal="left" vertical="center" wrapText="1"/>
    </xf>
    <xf numFmtId="165" fontId="1" fillId="13" borderId="0" xfId="0" applyNumberFormat="1" applyFont="1" applyFill="1" applyAlignment="1">
      <alignment horizontal="center" vertical="center"/>
    </xf>
    <xf numFmtId="165" fontId="9" fillId="16" borderId="1" xfId="0" quotePrefix="1" applyNumberFormat="1" applyFont="1" applyFill="1" applyBorder="1" applyAlignment="1">
      <alignment horizontal="center" vertical="center"/>
    </xf>
    <xf numFmtId="0" fontId="15" fillId="14" borderId="1" xfId="0" quotePrefix="1" applyFont="1" applyFill="1" applyBorder="1" applyAlignment="1">
      <alignment horizontal="left" vertical="center" wrapText="1"/>
    </xf>
    <xf numFmtId="0" fontId="19" fillId="11" borderId="9" xfId="0" applyFont="1" applyFill="1" applyBorder="1" applyAlignment="1">
      <alignment vertical="center" wrapText="1"/>
    </xf>
    <xf numFmtId="0" fontId="22" fillId="14" borderId="1" xfId="0" applyFont="1" applyFill="1" applyBorder="1" applyAlignment="1">
      <alignment horizontal="center" vertical="center"/>
    </xf>
    <xf numFmtId="165" fontId="1" fillId="10" borderId="0" xfId="0" applyNumberFormat="1" applyFont="1" applyFill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9" fillId="10" borderId="9" xfId="0" applyFont="1" applyFill="1" applyBorder="1" applyAlignment="1">
      <alignment vertical="center" wrapText="1"/>
    </xf>
    <xf numFmtId="164" fontId="4" fillId="10" borderId="1" xfId="0" quotePrefix="1" applyNumberFormat="1" applyFont="1" applyFill="1" applyBorder="1" applyAlignment="1">
      <alignment horizontal="center" vertical="center"/>
    </xf>
    <xf numFmtId="165" fontId="1" fillId="10" borderId="1" xfId="0" applyNumberFormat="1" applyFont="1" applyFill="1" applyBorder="1" applyAlignment="1">
      <alignment horizontal="center" vertical="center"/>
    </xf>
    <xf numFmtId="165" fontId="9" fillId="10" borderId="1" xfId="0" quotePrefix="1" applyNumberFormat="1" applyFont="1" applyFill="1" applyBorder="1" applyAlignment="1">
      <alignment horizontal="center" vertical="center"/>
    </xf>
    <xf numFmtId="0" fontId="20" fillId="10" borderId="9" xfId="0" applyFont="1" applyFill="1" applyBorder="1" applyAlignment="1">
      <alignment horizontal="center" vertical="center" wrapText="1"/>
    </xf>
    <xf numFmtId="0" fontId="15" fillId="13" borderId="1" xfId="0" quotePrefix="1" applyFont="1" applyFill="1" applyBorder="1" applyAlignment="1" applyProtection="1">
      <alignment horizontal="left" vertical="center"/>
      <protection locked="0"/>
    </xf>
    <xf numFmtId="0" fontId="19" fillId="13" borderId="8" xfId="0" applyFont="1" applyFill="1" applyBorder="1" applyAlignment="1">
      <alignment vertical="center" wrapText="1"/>
    </xf>
    <xf numFmtId="165" fontId="1" fillId="13" borderId="6" xfId="0" applyNumberFormat="1" applyFont="1" applyFill="1" applyBorder="1" applyAlignment="1">
      <alignment horizontal="center" vertical="center"/>
    </xf>
    <xf numFmtId="165" fontId="1" fillId="13" borderId="6" xfId="0" quotePrefix="1" applyNumberFormat="1" applyFont="1" applyFill="1" applyBorder="1" applyAlignment="1">
      <alignment horizontal="center" vertical="center"/>
    </xf>
    <xf numFmtId="0" fontId="20" fillId="13" borderId="9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0" fontId="27" fillId="10" borderId="1" xfId="0" quotePrefix="1" applyFont="1" applyFill="1" applyBorder="1" applyAlignment="1">
      <alignment horizontal="left" vertical="center" wrapText="1"/>
    </xf>
    <xf numFmtId="0" fontId="15" fillId="17" borderId="1" xfId="0" quotePrefix="1" applyFont="1" applyFill="1" applyBorder="1" applyAlignment="1" applyProtection="1">
      <alignment horizontal="left" vertical="center"/>
      <protection locked="0"/>
    </xf>
    <xf numFmtId="0" fontId="19" fillId="17" borderId="8" xfId="0" applyFont="1" applyFill="1" applyBorder="1" applyAlignment="1">
      <alignment vertical="center" wrapText="1"/>
    </xf>
    <xf numFmtId="0" fontId="21" fillId="17" borderId="1" xfId="0" quotePrefix="1" applyFont="1" applyFill="1" applyBorder="1" applyAlignment="1">
      <alignment horizontal="left" vertical="center" wrapText="1"/>
    </xf>
    <xf numFmtId="164" fontId="4" fillId="17" borderId="1" xfId="0" quotePrefix="1" applyNumberFormat="1" applyFont="1" applyFill="1" applyBorder="1" applyAlignment="1">
      <alignment horizontal="center" vertical="center"/>
    </xf>
    <xf numFmtId="165" fontId="1" fillId="17" borderId="1" xfId="0" applyNumberFormat="1" applyFont="1" applyFill="1" applyBorder="1" applyAlignment="1">
      <alignment horizontal="center" vertical="center"/>
    </xf>
    <xf numFmtId="165" fontId="1" fillId="17" borderId="6" xfId="0" applyNumberFormat="1" applyFont="1" applyFill="1" applyBorder="1" applyAlignment="1">
      <alignment horizontal="center" vertical="center"/>
    </xf>
    <xf numFmtId="165" fontId="9" fillId="17" borderId="1" xfId="0" quotePrefix="1" applyNumberFormat="1" applyFont="1" applyFill="1" applyBorder="1" applyAlignment="1">
      <alignment horizontal="center" vertical="center"/>
    </xf>
    <xf numFmtId="0" fontId="2" fillId="17" borderId="1" xfId="0" applyFont="1" applyFill="1" applyBorder="1"/>
    <xf numFmtId="0" fontId="19" fillId="17" borderId="9" xfId="0" applyFont="1" applyFill="1" applyBorder="1" applyAlignment="1">
      <alignment vertical="center" wrapText="1"/>
    </xf>
    <xf numFmtId="0" fontId="21" fillId="17" borderId="1" xfId="0" quotePrefix="1" applyFont="1" applyFill="1" applyBorder="1" applyAlignment="1">
      <alignment horizontal="center" vertical="center" wrapText="1"/>
    </xf>
    <xf numFmtId="0" fontId="18" fillId="17" borderId="9" xfId="0" applyFont="1" applyFill="1" applyBorder="1" applyAlignment="1">
      <alignment horizontal="justify" vertical="center" wrapText="1"/>
    </xf>
    <xf numFmtId="165" fontId="1" fillId="17" borderId="6" xfId="0" quotePrefix="1" applyNumberFormat="1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left" vertical="center" wrapText="1"/>
    </xf>
    <xf numFmtId="0" fontId="20" fillId="17" borderId="8" xfId="0" applyFont="1" applyFill="1" applyBorder="1" applyAlignment="1">
      <alignment horizontal="center" vertical="center" wrapText="1"/>
    </xf>
    <xf numFmtId="0" fontId="20" fillId="17" borderId="9" xfId="0" applyFont="1" applyFill="1" applyBorder="1" applyAlignment="1">
      <alignment horizontal="center" vertical="center" wrapText="1"/>
    </xf>
    <xf numFmtId="0" fontId="0" fillId="17" borderId="1" xfId="0" applyFill="1" applyBorder="1"/>
    <xf numFmtId="0" fontId="15" fillId="17" borderId="1" xfId="0" quotePrefix="1" applyFont="1" applyFill="1" applyBorder="1" applyAlignment="1" applyProtection="1">
      <alignment vertical="center"/>
      <protection locked="0"/>
    </xf>
    <xf numFmtId="0" fontId="15" fillId="18" borderId="1" xfId="0" quotePrefix="1" applyFont="1" applyFill="1" applyBorder="1" applyAlignment="1" applyProtection="1">
      <alignment vertical="center"/>
      <protection locked="0"/>
    </xf>
    <xf numFmtId="0" fontId="21" fillId="18" borderId="1" xfId="0" quotePrefix="1" applyFont="1" applyFill="1" applyBorder="1" applyAlignment="1">
      <alignment horizontal="center" vertical="center" wrapText="1"/>
    </xf>
    <xf numFmtId="164" fontId="4" fillId="18" borderId="1" xfId="0" quotePrefix="1" applyNumberFormat="1" applyFont="1" applyFill="1" applyBorder="1" applyAlignment="1">
      <alignment horizontal="center" vertical="center"/>
    </xf>
    <xf numFmtId="165" fontId="1" fillId="18" borderId="1" xfId="0" applyNumberFormat="1" applyFont="1" applyFill="1" applyBorder="1" applyAlignment="1">
      <alignment horizontal="center" vertical="center"/>
    </xf>
    <xf numFmtId="165" fontId="9" fillId="18" borderId="1" xfId="0" quotePrefix="1" applyNumberFormat="1" applyFont="1" applyFill="1" applyBorder="1" applyAlignment="1">
      <alignment horizontal="center" vertical="center"/>
    </xf>
    <xf numFmtId="0" fontId="2" fillId="18" borderId="1" xfId="0" applyFont="1" applyFill="1" applyBorder="1"/>
    <xf numFmtId="0" fontId="19" fillId="17" borderId="0" xfId="0" applyFont="1" applyFill="1"/>
    <xf numFmtId="0" fontId="15" fillId="17" borderId="1" xfId="0" quotePrefix="1" applyFont="1" applyFill="1" applyBorder="1" applyAlignment="1">
      <alignment horizontal="left" vertical="center" wrapText="1"/>
    </xf>
    <xf numFmtId="164" fontId="22" fillId="17" borderId="1" xfId="0" quotePrefix="1" applyNumberFormat="1" applyFont="1" applyFill="1" applyBorder="1" applyAlignment="1">
      <alignment horizontal="center" vertical="center"/>
    </xf>
    <xf numFmtId="0" fontId="16" fillId="19" borderId="1" xfId="0" quotePrefix="1" applyFont="1" applyFill="1" applyBorder="1" applyAlignment="1" applyProtection="1">
      <alignment horizontal="left" vertical="center"/>
      <protection locked="0"/>
    </xf>
    <xf numFmtId="0" fontId="29" fillId="19" borderId="1" xfId="0" quotePrefix="1" applyFont="1" applyFill="1" applyBorder="1" applyAlignment="1">
      <alignment horizontal="left" vertical="center" wrapText="1"/>
    </xf>
    <xf numFmtId="164" fontId="29" fillId="19" borderId="1" xfId="0" quotePrefix="1" applyNumberFormat="1" applyFont="1" applyFill="1" applyBorder="1" applyAlignment="1">
      <alignment horizontal="center" vertical="center"/>
    </xf>
    <xf numFmtId="165" fontId="26" fillId="19" borderId="1" xfId="0" applyNumberFormat="1" applyFont="1" applyFill="1" applyBorder="1" applyAlignment="1">
      <alignment horizontal="center" vertical="center"/>
    </xf>
    <xf numFmtId="165" fontId="26" fillId="19" borderId="1" xfId="0" quotePrefix="1" applyNumberFormat="1" applyFont="1" applyFill="1" applyBorder="1" applyAlignment="1">
      <alignment horizontal="center" vertical="center"/>
    </xf>
    <xf numFmtId="0" fontId="28" fillId="19" borderId="1" xfId="0" applyFont="1" applyFill="1" applyBorder="1"/>
    <xf numFmtId="0" fontId="15" fillId="19" borderId="9" xfId="0" applyFont="1" applyFill="1" applyBorder="1" applyAlignment="1">
      <alignment vertical="center" wrapText="1"/>
    </xf>
    <xf numFmtId="0" fontId="22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19" fillId="20" borderId="8" xfId="0" applyFont="1" applyFill="1" applyBorder="1" applyAlignment="1">
      <alignment vertical="center" wrapText="1"/>
    </xf>
    <xf numFmtId="0" fontId="21" fillId="17" borderId="2" xfId="0" quotePrefix="1" applyFont="1" applyFill="1" applyBorder="1" applyAlignment="1">
      <alignment horizontal="left" vertical="center" wrapText="1"/>
    </xf>
    <xf numFmtId="0" fontId="21" fillId="17" borderId="2" xfId="0" quotePrefix="1" applyFont="1" applyFill="1" applyBorder="1" applyAlignment="1">
      <alignment horizontal="center" vertical="center" wrapText="1"/>
    </xf>
    <xf numFmtId="0" fontId="15" fillId="17" borderId="1" xfId="0" quotePrefix="1" applyFont="1" applyFill="1" applyBorder="1" applyAlignment="1">
      <alignment horizontal="left" wrapText="1"/>
    </xf>
    <xf numFmtId="0" fontId="21" fillId="17" borderId="2" xfId="0" applyFont="1" applyFill="1" applyBorder="1" applyAlignment="1">
      <alignment horizontal="center" vertical="center" wrapText="1"/>
    </xf>
    <xf numFmtId="0" fontId="19" fillId="17" borderId="9" xfId="0" quotePrefix="1" applyFont="1" applyFill="1" applyBorder="1" applyAlignment="1">
      <alignment vertical="center" wrapText="1"/>
    </xf>
    <xf numFmtId="164" fontId="22" fillId="10" borderId="1" xfId="0" quotePrefix="1" applyNumberFormat="1" applyFont="1" applyFill="1" applyBorder="1" applyAlignment="1">
      <alignment horizontal="center" vertical="center"/>
    </xf>
    <xf numFmtId="0" fontId="19" fillId="10" borderId="0" xfId="0" applyFont="1" applyFill="1"/>
    <xf numFmtId="0" fontId="15" fillId="10" borderId="1" xfId="0" quotePrefix="1" applyFont="1" applyFill="1" applyBorder="1" applyAlignment="1">
      <alignment horizontal="left" wrapText="1"/>
    </xf>
    <xf numFmtId="0" fontId="21" fillId="10" borderId="2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/>
    </xf>
    <xf numFmtId="164" fontId="4" fillId="0" borderId="1" xfId="0" quotePrefix="1" applyNumberFormat="1" applyFont="1" applyBorder="1" applyAlignment="1">
      <alignment horizontal="center"/>
    </xf>
    <xf numFmtId="0" fontId="19" fillId="0" borderId="8" xfId="0" quotePrefix="1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9" fillId="14" borderId="8" xfId="0" quotePrefix="1" applyFont="1" applyFill="1" applyBorder="1" applyAlignment="1">
      <alignment horizontal="center" wrapText="1"/>
    </xf>
    <xf numFmtId="0" fontId="21" fillId="10" borderId="2" xfId="0" quotePrefix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/>
    </xf>
    <xf numFmtId="0" fontId="15" fillId="10" borderId="1" xfId="0" quotePrefix="1" applyFont="1" applyFill="1" applyBorder="1" applyAlignment="1">
      <alignment horizontal="center" vertical="center" wrapText="1"/>
    </xf>
    <xf numFmtId="164" fontId="4" fillId="21" borderId="1" xfId="0" quotePrefix="1" applyNumberFormat="1" applyFont="1" applyFill="1" applyBorder="1" applyAlignment="1">
      <alignment horizontal="center" vertical="center"/>
    </xf>
    <xf numFmtId="165" fontId="1" fillId="21" borderId="1" xfId="0" applyNumberFormat="1" applyFont="1" applyFill="1" applyBorder="1" applyAlignment="1">
      <alignment horizontal="center" vertical="center"/>
    </xf>
    <xf numFmtId="165" fontId="9" fillId="21" borderId="1" xfId="0" quotePrefix="1" applyNumberFormat="1" applyFont="1" applyFill="1" applyBorder="1" applyAlignment="1">
      <alignment horizontal="center" vertical="center"/>
    </xf>
    <xf numFmtId="0" fontId="2" fillId="21" borderId="1" xfId="0" applyFont="1" applyFill="1" applyBorder="1"/>
    <xf numFmtId="165" fontId="2" fillId="21" borderId="1" xfId="0" applyNumberFormat="1" applyFont="1" applyFill="1" applyBorder="1" applyAlignment="1">
      <alignment horizontal="center" vertical="center"/>
    </xf>
    <xf numFmtId="165" fontId="2" fillId="21" borderId="1" xfId="0" applyNumberFormat="1" applyFont="1" applyFill="1" applyBorder="1" applyAlignment="1">
      <alignment horizontal="center"/>
    </xf>
    <xf numFmtId="0" fontId="4" fillId="21" borderId="1" xfId="0" applyFont="1" applyFill="1" applyBorder="1" applyAlignment="1">
      <alignment horizontal="center" vertical="center"/>
    </xf>
    <xf numFmtId="0" fontId="4" fillId="21" borderId="2" xfId="0" quotePrefix="1" applyFont="1" applyFill="1" applyBorder="1" applyAlignment="1">
      <alignment horizontal="center" vertical="center" wrapText="1"/>
    </xf>
    <xf numFmtId="0" fontId="19" fillId="21" borderId="0" xfId="0" applyFont="1" applyFill="1"/>
    <xf numFmtId="0" fontId="21" fillId="21" borderId="1" xfId="0" quotePrefix="1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vertical="center"/>
    </xf>
    <xf numFmtId="0" fontId="4" fillId="22" borderId="2" xfId="0" quotePrefix="1" applyFont="1" applyFill="1" applyBorder="1" applyAlignment="1">
      <alignment horizontal="center" vertical="center" wrapText="1"/>
    </xf>
    <xf numFmtId="0" fontId="4" fillId="22" borderId="2" xfId="0" quotePrefix="1" applyFont="1" applyFill="1" applyBorder="1" applyAlignment="1">
      <alignment horizontal="left" vertical="center" wrapText="1"/>
    </xf>
    <xf numFmtId="164" fontId="4" fillId="22" borderId="1" xfId="0" quotePrefix="1" applyNumberFormat="1" applyFont="1" applyFill="1" applyBorder="1" applyAlignment="1">
      <alignment horizontal="center" vertical="center"/>
    </xf>
    <xf numFmtId="165" fontId="1" fillId="22" borderId="1" xfId="0" applyNumberFormat="1" applyFont="1" applyFill="1" applyBorder="1" applyAlignment="1">
      <alignment horizontal="center" vertical="center"/>
    </xf>
    <xf numFmtId="165" fontId="1" fillId="22" borderId="6" xfId="0" applyNumberFormat="1" applyFont="1" applyFill="1" applyBorder="1" applyAlignment="1">
      <alignment horizontal="center" vertical="center"/>
    </xf>
    <xf numFmtId="165" fontId="9" fillId="22" borderId="1" xfId="0" quotePrefix="1" applyNumberFormat="1" applyFont="1" applyFill="1" applyBorder="1" applyAlignment="1">
      <alignment horizontal="center" vertical="center"/>
    </xf>
    <xf numFmtId="0" fontId="2" fillId="22" borderId="1" xfId="0" applyFont="1" applyFill="1" applyBorder="1"/>
    <xf numFmtId="165" fontId="2" fillId="22" borderId="1" xfId="0" applyNumberFormat="1" applyFont="1" applyFill="1" applyBorder="1" applyAlignment="1">
      <alignment horizontal="center" vertical="center"/>
    </xf>
    <xf numFmtId="165" fontId="2" fillId="22" borderId="1" xfId="0" applyNumberFormat="1" applyFont="1" applyFill="1" applyBorder="1" applyAlignment="1">
      <alignment horizontal="center"/>
    </xf>
    <xf numFmtId="165" fontId="1" fillId="10" borderId="6" xfId="0" applyNumberFormat="1" applyFont="1" applyFill="1" applyBorder="1" applyAlignment="1">
      <alignment horizontal="center" vertical="center"/>
    </xf>
    <xf numFmtId="0" fontId="4" fillId="21" borderId="2" xfId="0" quotePrefix="1" applyFont="1" applyFill="1" applyBorder="1" applyAlignment="1">
      <alignment horizontal="left" vertical="center" wrapText="1"/>
    </xf>
    <xf numFmtId="165" fontId="1" fillId="21" borderId="6" xfId="0" applyNumberFormat="1" applyFont="1" applyFill="1" applyBorder="1" applyAlignment="1">
      <alignment horizontal="center" vertical="center"/>
    </xf>
    <xf numFmtId="165" fontId="1" fillId="21" borderId="0" xfId="0" applyNumberFormat="1" applyFont="1" applyFill="1" applyAlignment="1">
      <alignment horizontal="center" vertical="center"/>
    </xf>
    <xf numFmtId="165" fontId="1" fillId="22" borderId="0" xfId="0" applyNumberFormat="1" applyFont="1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0" xfId="0" applyFill="1"/>
    <xf numFmtId="0" fontId="0" fillId="10" borderId="0" xfId="0" applyFill="1" applyAlignment="1">
      <alignment horizontal="center" vertical="center"/>
    </xf>
    <xf numFmtId="0" fontId="19" fillId="10" borderId="8" xfId="0" quotePrefix="1" applyFont="1" applyFill="1" applyBorder="1" applyAlignment="1">
      <alignment horizontal="center" wrapText="1"/>
    </xf>
    <xf numFmtId="0" fontId="19" fillId="10" borderId="8" xfId="0" applyFont="1" applyFill="1" applyBorder="1" applyAlignment="1">
      <alignment vertical="center" wrapText="1"/>
    </xf>
    <xf numFmtId="0" fontId="21" fillId="10" borderId="2" xfId="0" quotePrefix="1" applyFont="1" applyFill="1" applyBorder="1" applyAlignment="1">
      <alignment horizontal="left" vertical="center" wrapText="1"/>
    </xf>
    <xf numFmtId="0" fontId="19" fillId="10" borderId="8" xfId="0" applyFont="1" applyFill="1" applyBorder="1" applyAlignment="1">
      <alignment horizontal="justify" vertical="center" wrapText="1"/>
    </xf>
    <xf numFmtId="0" fontId="0" fillId="2" borderId="1" xfId="0" applyFill="1" applyBorder="1"/>
    <xf numFmtId="0" fontId="15" fillId="21" borderId="1" xfId="0" quotePrefix="1" applyFont="1" applyFill="1" applyBorder="1" applyAlignment="1">
      <alignment horizontal="left" wrapText="1"/>
    </xf>
    <xf numFmtId="0" fontId="4" fillId="21" borderId="2" xfId="0" applyFont="1" applyFill="1" applyBorder="1" applyAlignment="1">
      <alignment vertical="center"/>
    </xf>
    <xf numFmtId="0" fontId="15" fillId="21" borderId="1" xfId="0" applyFont="1" applyFill="1" applyBorder="1" applyAlignment="1">
      <alignment horizontal="left" wrapText="1"/>
    </xf>
    <xf numFmtId="165" fontId="6" fillId="14" borderId="0" xfId="0" applyNumberFormat="1" applyFont="1" applyFill="1" applyAlignment="1">
      <alignment horizontal="center" vertical="center"/>
    </xf>
    <xf numFmtId="0" fontId="15" fillId="23" borderId="1" xfId="0" quotePrefix="1" applyFont="1" applyFill="1" applyBorder="1" applyAlignment="1">
      <alignment horizontal="left" wrapText="1"/>
    </xf>
    <xf numFmtId="0" fontId="4" fillId="23" borderId="2" xfId="0" applyFont="1" applyFill="1" applyBorder="1" applyAlignment="1">
      <alignment vertical="center"/>
    </xf>
    <xf numFmtId="0" fontId="15" fillId="23" borderId="1" xfId="0" applyFont="1" applyFill="1" applyBorder="1" applyAlignment="1">
      <alignment horizontal="left" wrapText="1"/>
    </xf>
    <xf numFmtId="165" fontId="1" fillId="23" borderId="1" xfId="0" applyNumberFormat="1" applyFont="1" applyFill="1" applyBorder="1" applyAlignment="1">
      <alignment horizontal="center" vertical="center"/>
    </xf>
    <xf numFmtId="165" fontId="9" fillId="23" borderId="1" xfId="0" quotePrefix="1" applyNumberFormat="1" applyFont="1" applyFill="1" applyBorder="1" applyAlignment="1">
      <alignment horizontal="center" vertical="center"/>
    </xf>
    <xf numFmtId="0" fontId="0" fillId="23" borderId="1" xfId="0" applyFill="1" applyBorder="1"/>
    <xf numFmtId="165" fontId="2" fillId="23" borderId="1" xfId="0" applyNumberFormat="1" applyFont="1" applyFill="1" applyBorder="1" applyAlignment="1">
      <alignment horizontal="center" vertical="center"/>
    </xf>
    <xf numFmtId="165" fontId="2" fillId="23" borderId="1" xfId="0" applyNumberFormat="1" applyFont="1" applyFill="1" applyBorder="1" applyAlignment="1">
      <alignment horizontal="center"/>
    </xf>
    <xf numFmtId="0" fontId="2" fillId="23" borderId="1" xfId="0" applyFont="1" applyFill="1" applyBorder="1"/>
    <xf numFmtId="0" fontId="4" fillId="23" borderId="1" xfId="0" applyFont="1" applyFill="1" applyBorder="1" applyAlignment="1">
      <alignment horizontal="center" vertical="center"/>
    </xf>
    <xf numFmtId="0" fontId="0" fillId="21" borderId="1" xfId="0" applyFill="1" applyBorder="1"/>
    <xf numFmtId="0" fontId="4" fillId="10" borderId="1" xfId="0" applyFont="1" applyFill="1" applyBorder="1" applyAlignment="1">
      <alignment horizontal="center" vertical="center"/>
    </xf>
    <xf numFmtId="165" fontId="1" fillId="24" borderId="1" xfId="0" applyNumberFormat="1" applyFont="1" applyFill="1" applyBorder="1" applyAlignment="1">
      <alignment horizontal="center" vertical="center"/>
    </xf>
    <xf numFmtId="165" fontId="6" fillId="10" borderId="0" xfId="0" applyNumberFormat="1" applyFont="1" applyFill="1" applyAlignment="1">
      <alignment horizontal="center" vertical="center"/>
    </xf>
    <xf numFmtId="165" fontId="1" fillId="25" borderId="1" xfId="0" applyNumberFormat="1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13" fillId="10" borderId="2" xfId="0" quotePrefix="1" applyFont="1" applyFill="1" applyBorder="1" applyAlignment="1">
      <alignment horizontal="center" vertical="center" wrapText="1"/>
    </xf>
    <xf numFmtId="0" fontId="10" fillId="10" borderId="1" xfId="0" applyFont="1" applyFill="1" applyBorder="1"/>
    <xf numFmtId="165" fontId="14" fillId="10" borderId="1" xfId="0" applyNumberFormat="1" applyFont="1" applyFill="1" applyBorder="1" applyAlignment="1">
      <alignment horizontal="center" vertical="center"/>
    </xf>
    <xf numFmtId="165" fontId="14" fillId="10" borderId="1" xfId="0" applyNumberFormat="1" applyFont="1" applyFill="1" applyBorder="1" applyAlignment="1">
      <alignment horizontal="center"/>
    </xf>
    <xf numFmtId="0" fontId="14" fillId="10" borderId="1" xfId="0" applyFont="1" applyFill="1" applyBorder="1"/>
    <xf numFmtId="0" fontId="19" fillId="10" borderId="9" xfId="0" applyFont="1" applyFill="1" applyBorder="1" applyAlignment="1">
      <alignment horizontal="justify" vertical="center" wrapText="1"/>
    </xf>
    <xf numFmtId="165" fontId="3" fillId="2" borderId="1" xfId="0" applyNumberFormat="1" applyFont="1" applyFill="1" applyBorder="1" applyAlignment="1">
      <alignment horizontal="center" vertical="center"/>
    </xf>
    <xf numFmtId="165" fontId="9" fillId="16" borderId="1" xfId="0" applyNumberFormat="1" applyFont="1" applyFill="1" applyBorder="1" applyAlignment="1">
      <alignment horizontal="center" vertical="center" wrapText="1" readingOrder="2"/>
    </xf>
    <xf numFmtId="0" fontId="0" fillId="16" borderId="0" xfId="0" applyFill="1"/>
    <xf numFmtId="165" fontId="9" fillId="16" borderId="0" xfId="0" applyNumberFormat="1" applyFont="1" applyFill="1" applyAlignment="1">
      <alignment horizontal="center" vertical="center"/>
    </xf>
    <xf numFmtId="0" fontId="10" fillId="16" borderId="0" xfId="0" applyFont="1" applyFill="1"/>
    <xf numFmtId="165" fontId="0" fillId="10" borderId="1" xfId="0" applyNumberFormat="1" applyFill="1" applyBorder="1" applyAlignment="1">
      <alignment horizontal="center" vertical="center"/>
    </xf>
    <xf numFmtId="0" fontId="0" fillId="8" borderId="1" xfId="0" applyFill="1" applyBorder="1"/>
    <xf numFmtId="165" fontId="1" fillId="26" borderId="1" xfId="0" applyNumberFormat="1" applyFont="1" applyFill="1" applyBorder="1" applyAlignment="1">
      <alignment horizontal="center" vertical="center"/>
    </xf>
    <xf numFmtId="164" fontId="4" fillId="10" borderId="1" xfId="0" quotePrefix="1" applyNumberFormat="1" applyFont="1" applyFill="1" applyBorder="1" applyAlignment="1">
      <alignment horizontal="center"/>
    </xf>
  </cellXfs>
  <cellStyles count="1">
    <cellStyle name="Normal" xfId="0" builtinId="0"/>
  </cellStyles>
  <dxfs count="8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996633"/>
      <color rgb="FF31DCF3"/>
      <color rgb="FFA19F4F"/>
      <color rgb="FFDFBE9D"/>
      <color rgb="FF00CCFF"/>
      <color rgb="FFFFCCFF"/>
      <color rgb="FFF6882E"/>
      <color rgb="FFCC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HIN%20RAPOT%2025-26\NIS%20AZQILA.xlsx" TargetMode="External"/><Relationship Id="rId1" Type="http://schemas.openxmlformats.org/officeDocument/2006/relationships/externalLinkPath" Target="/CHIN%20RAPOT%2025-26/NIS%20AZQI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 ALIYAH A"/>
      <sheetName val="1 ALIYAH B"/>
      <sheetName val="1 ALIYAH C"/>
      <sheetName val="1 ALIYAH D"/>
      <sheetName val="1 ALIYAH F"/>
      <sheetName val="1 ALIYAH E"/>
      <sheetName val="1 ALIYAH G"/>
      <sheetName val="1 ALIYAH H"/>
      <sheetName val="1 ALY A"/>
      <sheetName val="1 ALY B"/>
      <sheetName val="1 ALY C"/>
      <sheetName val="1 ALY D"/>
      <sheetName val="1 ALY F"/>
      <sheetName val="1 ALY E"/>
      <sheetName val="1 ALY G"/>
      <sheetName val="1 ALY H"/>
    </sheetNames>
    <sheetDataSet>
      <sheetData sheetId="0" refreshError="1"/>
      <sheetData sheetId="1" refreshError="1"/>
      <sheetData sheetId="2" refreshError="1"/>
      <sheetData sheetId="3">
        <row r="17">
          <cell r="C17">
            <v>2768</v>
          </cell>
          <cell r="D17" t="str">
            <v>16</v>
          </cell>
          <cell r="E17" t="str">
            <v>٧</v>
          </cell>
        </row>
        <row r="18">
          <cell r="C18">
            <v>2769</v>
          </cell>
          <cell r="D18" t="str">
            <v>17</v>
          </cell>
          <cell r="E18" t="str">
            <v>٧</v>
          </cell>
        </row>
        <row r="19">
          <cell r="C19">
            <v>2770</v>
          </cell>
          <cell r="D19" t="str">
            <v>18</v>
          </cell>
          <cell r="E19" t="str">
            <v>٩</v>
          </cell>
        </row>
        <row r="20">
          <cell r="C20">
            <v>2772</v>
          </cell>
          <cell r="D20" t="str">
            <v>20</v>
          </cell>
          <cell r="E20" t="str">
            <v>٧</v>
          </cell>
        </row>
        <row r="21">
          <cell r="C21">
            <v>2773</v>
          </cell>
          <cell r="D21" t="str">
            <v>21</v>
          </cell>
          <cell r="E21" t="str">
            <v>٩</v>
          </cell>
        </row>
        <row r="22">
          <cell r="C22">
            <v>2774</v>
          </cell>
          <cell r="D22" t="str">
            <v>22</v>
          </cell>
          <cell r="E22" t="str">
            <v>٨</v>
          </cell>
        </row>
        <row r="23">
          <cell r="C23">
            <v>2697</v>
          </cell>
          <cell r="D23" t="str">
            <v>23</v>
          </cell>
          <cell r="E23" t="str">
            <v>٦</v>
          </cell>
        </row>
        <row r="24">
          <cell r="C24">
            <v>2775</v>
          </cell>
          <cell r="D24" t="str">
            <v>24</v>
          </cell>
          <cell r="E24" t="str">
            <v>٩</v>
          </cell>
        </row>
        <row r="25">
          <cell r="C25">
            <v>2776</v>
          </cell>
          <cell r="D25" t="str">
            <v>25</v>
          </cell>
          <cell r="E25" t="str">
            <v>٧</v>
          </cell>
        </row>
        <row r="26">
          <cell r="C26">
            <v>2777</v>
          </cell>
          <cell r="D26" t="str">
            <v>26</v>
          </cell>
          <cell r="E26" t="str">
            <v>٧</v>
          </cell>
        </row>
        <row r="27">
          <cell r="C27">
            <v>2778</v>
          </cell>
          <cell r="D27" t="str">
            <v>27</v>
          </cell>
          <cell r="E27" t="str">
            <v>٦</v>
          </cell>
        </row>
        <row r="28">
          <cell r="C28">
            <v>2779</v>
          </cell>
          <cell r="D28" t="str">
            <v>28</v>
          </cell>
          <cell r="E28" t="str">
            <v>٧</v>
          </cell>
        </row>
        <row r="29">
          <cell r="C29">
            <v>2780</v>
          </cell>
          <cell r="D29" t="str">
            <v>29</v>
          </cell>
          <cell r="E29" t="str">
            <v>٩</v>
          </cell>
        </row>
        <row r="30">
          <cell r="C30">
            <v>2781</v>
          </cell>
          <cell r="D30" t="str">
            <v>30</v>
          </cell>
          <cell r="E30" t="str">
            <v>٩</v>
          </cell>
        </row>
        <row r="31">
          <cell r="C31">
            <v>2782</v>
          </cell>
          <cell r="D31" t="str">
            <v>31</v>
          </cell>
          <cell r="E31" t="str">
            <v>٩</v>
          </cell>
        </row>
        <row r="32">
          <cell r="C32">
            <v>2783</v>
          </cell>
          <cell r="D32" t="str">
            <v>32</v>
          </cell>
          <cell r="E32" t="str">
            <v>٩</v>
          </cell>
        </row>
        <row r="33">
          <cell r="C33">
            <v>2784</v>
          </cell>
          <cell r="D33" t="str">
            <v>33</v>
          </cell>
          <cell r="E33" t="str">
            <v>٦</v>
          </cell>
        </row>
        <row r="34">
          <cell r="C34">
            <v>2785</v>
          </cell>
          <cell r="D34" t="str">
            <v>34</v>
          </cell>
          <cell r="E34" t="str">
            <v>٦</v>
          </cell>
        </row>
        <row r="35">
          <cell r="C35">
            <v>2786</v>
          </cell>
          <cell r="D35" t="str">
            <v>35</v>
          </cell>
          <cell r="E35" t="str">
            <v>٧</v>
          </cell>
        </row>
        <row r="36">
          <cell r="C36">
            <v>2787</v>
          </cell>
          <cell r="D36" t="str">
            <v>36</v>
          </cell>
          <cell r="E36" t="str">
            <v>٨</v>
          </cell>
        </row>
        <row r="37">
          <cell r="E37" t="str">
            <v>٢٦٧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V437"/>
  <sheetViews>
    <sheetView topLeftCell="A10" zoomScale="73" zoomScaleNormal="73" workbookViewId="0">
      <selection activeCell="U27" sqref="U27"/>
    </sheetView>
  </sheetViews>
  <sheetFormatPr defaultRowHeight="15" customHeight="1" x14ac:dyDescent="0.25"/>
  <cols>
    <col min="1" max="1" width="14.85546875" style="35" customWidth="1"/>
    <col min="2" max="2" width="32.42578125" style="7" customWidth="1"/>
    <col min="3" max="3" width="16.85546875" style="7" customWidth="1"/>
    <col min="4" max="4" width="14.85546875" style="7" customWidth="1"/>
    <col min="5" max="5" width="17.7109375" style="3" customWidth="1"/>
    <col min="6" max="6" width="7.42578125" style="5" customWidth="1"/>
    <col min="7" max="8" width="17.7109375" style="5" customWidth="1"/>
    <col min="9" max="9" width="17.7109375" style="25" customWidth="1"/>
    <col min="10" max="14" width="17.7109375" style="5" customWidth="1"/>
    <col min="15" max="15" width="17.7109375" style="25" customWidth="1"/>
    <col min="16" max="19" width="17.7109375" style="5" customWidth="1"/>
    <col min="20" max="20" width="29.42578125" style="6" customWidth="1"/>
    <col min="21" max="22" width="8.7109375" style="45" customWidth="1"/>
  </cols>
  <sheetData>
    <row r="1" spans="1:22" s="20" customFormat="1" ht="25.15" customHeight="1" thickBot="1" x14ac:dyDescent="0.3">
      <c r="A1" s="34" t="s">
        <v>1</v>
      </c>
      <c r="B1" s="11" t="s">
        <v>0</v>
      </c>
      <c r="C1" s="11" t="s">
        <v>2</v>
      </c>
      <c r="D1" s="11" t="s">
        <v>13</v>
      </c>
      <c r="E1" s="39" t="s">
        <v>3</v>
      </c>
      <c r="F1" s="36"/>
      <c r="G1" s="21" t="s">
        <v>51</v>
      </c>
      <c r="H1" s="21" t="s">
        <v>4</v>
      </c>
      <c r="I1" s="22" t="s">
        <v>52</v>
      </c>
      <c r="J1" s="21" t="s">
        <v>5</v>
      </c>
      <c r="K1" s="21" t="s">
        <v>53</v>
      </c>
      <c r="L1" s="21" t="s">
        <v>73</v>
      </c>
      <c r="M1" s="21" t="s">
        <v>54</v>
      </c>
      <c r="N1" s="21" t="s">
        <v>55</v>
      </c>
      <c r="O1" s="22" t="s">
        <v>57</v>
      </c>
      <c r="P1" s="12" t="s">
        <v>6</v>
      </c>
      <c r="Q1" s="12" t="s">
        <v>7</v>
      </c>
      <c r="R1" s="12" t="s">
        <v>8</v>
      </c>
      <c r="S1" s="12" t="s">
        <v>9</v>
      </c>
      <c r="T1" s="13" t="s">
        <v>10</v>
      </c>
      <c r="U1" s="43" t="s">
        <v>11</v>
      </c>
      <c r="V1" s="43" t="s">
        <v>12</v>
      </c>
    </row>
    <row r="2" spans="1:22" s="1" customFormat="1" ht="25.15" customHeight="1" thickBot="1" x14ac:dyDescent="0.3">
      <c r="A2" s="65" t="s">
        <v>14</v>
      </c>
      <c r="B2" s="123" t="s">
        <v>75</v>
      </c>
      <c r="C2" s="85">
        <v>2788</v>
      </c>
      <c r="D2" s="19" t="s">
        <v>14</v>
      </c>
      <c r="E2" s="3" t="str">
        <f>TEXT(F2,"[$-2000000]0")</f>
        <v>٥</v>
      </c>
      <c r="F2" s="37">
        <v>5</v>
      </c>
      <c r="G2" s="37">
        <v>5</v>
      </c>
      <c r="H2" s="37">
        <v>7</v>
      </c>
      <c r="I2" s="37">
        <v>6</v>
      </c>
      <c r="J2" s="37">
        <v>6</v>
      </c>
      <c r="K2" s="37">
        <v>6</v>
      </c>
      <c r="L2" s="37" t="s">
        <v>56</v>
      </c>
      <c r="M2" s="37">
        <v>7</v>
      </c>
      <c r="N2" s="37">
        <v>7</v>
      </c>
      <c r="O2" s="37">
        <v>6</v>
      </c>
      <c r="P2" s="37">
        <v>7</v>
      </c>
      <c r="Q2" s="37">
        <v>7</v>
      </c>
      <c r="R2" s="37">
        <v>8</v>
      </c>
      <c r="S2" s="37">
        <v>8</v>
      </c>
      <c r="T2" s="4">
        <f>SUM(E2:S2)</f>
        <v>85</v>
      </c>
      <c r="U2" s="44">
        <v>1</v>
      </c>
      <c r="V2" s="44" t="s">
        <v>56</v>
      </c>
    </row>
    <row r="3" spans="1:22" s="1" customFormat="1" ht="25.15" customHeight="1" thickBot="1" x14ac:dyDescent="0.3">
      <c r="A3" s="65" t="s">
        <v>15</v>
      </c>
      <c r="B3" s="124" t="s">
        <v>76</v>
      </c>
      <c r="C3" s="85">
        <v>2725</v>
      </c>
      <c r="D3" s="19" t="s">
        <v>15</v>
      </c>
      <c r="E3" s="3" t="str">
        <f t="shared" ref="E3:E5" si="0">TEXT(F3,"[$-2000000]0")</f>
        <v>٩</v>
      </c>
      <c r="F3" s="37">
        <v>9</v>
      </c>
      <c r="G3" s="37">
        <v>6</v>
      </c>
      <c r="H3" s="37">
        <v>8</v>
      </c>
      <c r="I3" s="37">
        <v>9</v>
      </c>
      <c r="J3" s="37">
        <v>9</v>
      </c>
      <c r="K3" s="37">
        <v>9</v>
      </c>
      <c r="L3" s="37" t="s">
        <v>56</v>
      </c>
      <c r="M3" s="37">
        <v>8</v>
      </c>
      <c r="N3" s="37">
        <v>6</v>
      </c>
      <c r="O3" s="37">
        <v>9</v>
      </c>
      <c r="P3" s="37">
        <v>8</v>
      </c>
      <c r="Q3" s="37">
        <v>8</v>
      </c>
      <c r="R3" s="37">
        <v>8</v>
      </c>
      <c r="S3" s="37">
        <v>8</v>
      </c>
      <c r="T3" s="4">
        <f t="shared" ref="T3:T31" si="1">SUM(E3:S3)</f>
        <v>105</v>
      </c>
      <c r="U3" s="44" t="s">
        <v>56</v>
      </c>
      <c r="V3" s="44">
        <v>1</v>
      </c>
    </row>
    <row r="4" spans="1:22" s="1" customFormat="1" ht="25.15" customHeight="1" thickBot="1" x14ac:dyDescent="0.3">
      <c r="A4" s="65" t="s">
        <v>16</v>
      </c>
      <c r="B4" s="124" t="s">
        <v>77</v>
      </c>
      <c r="C4" s="85">
        <v>2885</v>
      </c>
      <c r="D4" s="19" t="s">
        <v>16</v>
      </c>
      <c r="E4" s="3" t="str">
        <f t="shared" si="0"/>
        <v>٧</v>
      </c>
      <c r="F4" s="37">
        <v>7</v>
      </c>
      <c r="G4" s="37">
        <v>9</v>
      </c>
      <c r="H4" s="37">
        <v>8</v>
      </c>
      <c r="I4" s="37">
        <v>7</v>
      </c>
      <c r="J4" s="37">
        <v>9</v>
      </c>
      <c r="K4" s="37">
        <v>7</v>
      </c>
      <c r="L4" s="37" t="s">
        <v>56</v>
      </c>
      <c r="M4" s="37">
        <v>9</v>
      </c>
      <c r="N4" s="37">
        <v>8</v>
      </c>
      <c r="O4" s="37">
        <v>6</v>
      </c>
      <c r="P4" s="37">
        <v>8</v>
      </c>
      <c r="Q4" s="37">
        <v>8</v>
      </c>
      <c r="R4" s="37">
        <v>8</v>
      </c>
      <c r="S4" s="37">
        <v>8</v>
      </c>
      <c r="T4" s="4">
        <f t="shared" si="1"/>
        <v>102</v>
      </c>
      <c r="U4" s="44" t="s">
        <v>56</v>
      </c>
      <c r="V4" s="44" t="s">
        <v>56</v>
      </c>
    </row>
    <row r="5" spans="1:22" s="1" customFormat="1" ht="25.15" customHeight="1" thickBot="1" x14ac:dyDescent="0.3">
      <c r="A5" s="65" t="s">
        <v>17</v>
      </c>
      <c r="B5" s="124" t="s">
        <v>78</v>
      </c>
      <c r="C5" s="132">
        <v>2653</v>
      </c>
      <c r="D5" s="19" t="s">
        <v>17</v>
      </c>
      <c r="E5" s="3" t="str">
        <f t="shared" si="0"/>
        <v>٩</v>
      </c>
      <c r="F5" s="37">
        <v>9</v>
      </c>
      <c r="G5" s="37">
        <v>9</v>
      </c>
      <c r="H5" s="37">
        <v>9</v>
      </c>
      <c r="I5" s="37">
        <v>9</v>
      </c>
      <c r="J5" s="37">
        <v>9</v>
      </c>
      <c r="K5" s="37">
        <v>9</v>
      </c>
      <c r="L5" s="37" t="s">
        <v>56</v>
      </c>
      <c r="M5" s="37">
        <v>9</v>
      </c>
      <c r="N5" s="37">
        <v>9</v>
      </c>
      <c r="O5" s="37">
        <v>9</v>
      </c>
      <c r="P5" s="37">
        <v>8</v>
      </c>
      <c r="Q5" s="37">
        <v>8</v>
      </c>
      <c r="R5" s="37">
        <v>8</v>
      </c>
      <c r="S5" s="37">
        <v>8</v>
      </c>
      <c r="T5" s="4">
        <f t="shared" si="1"/>
        <v>113</v>
      </c>
      <c r="U5" s="44" t="s">
        <v>56</v>
      </c>
      <c r="V5" s="44" t="s">
        <v>56</v>
      </c>
    </row>
    <row r="6" spans="1:22" s="1" customFormat="1" ht="25.15" customHeight="1" thickBot="1" x14ac:dyDescent="0.3">
      <c r="A6" s="65" t="s">
        <v>18</v>
      </c>
      <c r="B6" s="123" t="s">
        <v>79</v>
      </c>
      <c r="C6" s="85">
        <v>2822</v>
      </c>
      <c r="D6" s="19" t="s">
        <v>18</v>
      </c>
      <c r="E6" s="3" t="str">
        <f t="shared" ref="E6:E32" si="2">TEXT(F6,"[$-2000000]0")</f>
        <v>٦</v>
      </c>
      <c r="F6" s="37">
        <v>6</v>
      </c>
      <c r="G6" s="37">
        <v>6</v>
      </c>
      <c r="H6" s="37">
        <v>7</v>
      </c>
      <c r="I6" s="37">
        <v>5</v>
      </c>
      <c r="J6" s="37">
        <v>5</v>
      </c>
      <c r="K6" s="37">
        <v>6</v>
      </c>
      <c r="L6" s="37" t="s">
        <v>56</v>
      </c>
      <c r="M6" s="37">
        <v>5</v>
      </c>
      <c r="N6" s="37">
        <v>6</v>
      </c>
      <c r="O6" s="37">
        <v>7</v>
      </c>
      <c r="P6" s="37">
        <v>8</v>
      </c>
      <c r="Q6" s="37">
        <v>7</v>
      </c>
      <c r="R6" s="37">
        <v>8</v>
      </c>
      <c r="S6" s="37">
        <v>8</v>
      </c>
      <c r="T6" s="4">
        <f t="shared" si="1"/>
        <v>84</v>
      </c>
      <c r="U6" s="44" t="s">
        <v>56</v>
      </c>
      <c r="V6" s="44">
        <v>1</v>
      </c>
    </row>
    <row r="7" spans="1:22" s="168" customFormat="1" ht="25.15" customHeight="1" thickBot="1" x14ac:dyDescent="0.3">
      <c r="A7" s="161" t="s">
        <v>19</v>
      </c>
      <c r="B7" s="162" t="s">
        <v>80</v>
      </c>
      <c r="C7" s="163">
        <v>2855</v>
      </c>
      <c r="D7" s="164" t="s">
        <v>19</v>
      </c>
      <c r="E7" s="165" t="str">
        <f t="shared" si="2"/>
        <v>٦</v>
      </c>
      <c r="F7" s="166">
        <v>6</v>
      </c>
      <c r="G7" s="166">
        <v>5</v>
      </c>
      <c r="H7" s="166">
        <v>6</v>
      </c>
      <c r="I7" s="166">
        <v>6</v>
      </c>
      <c r="J7" s="166">
        <v>5</v>
      </c>
      <c r="K7" s="166">
        <v>5</v>
      </c>
      <c r="L7" s="166" t="s">
        <v>56</v>
      </c>
      <c r="M7" s="166">
        <v>8</v>
      </c>
      <c r="N7" s="166">
        <v>5</v>
      </c>
      <c r="O7" s="166">
        <v>7</v>
      </c>
      <c r="P7" s="166">
        <v>8</v>
      </c>
      <c r="Q7" s="166">
        <v>7</v>
      </c>
      <c r="R7" s="166">
        <v>8</v>
      </c>
      <c r="S7" s="166">
        <v>8</v>
      </c>
      <c r="T7" s="165">
        <f t="shared" si="1"/>
        <v>84</v>
      </c>
      <c r="U7" s="167">
        <v>1</v>
      </c>
      <c r="V7" s="167" t="s">
        <v>56</v>
      </c>
    </row>
    <row r="8" spans="1:22" s="1" customFormat="1" ht="25.15" customHeight="1" thickBot="1" x14ac:dyDescent="0.3">
      <c r="A8" s="65" t="s">
        <v>20</v>
      </c>
      <c r="B8" s="124" t="s">
        <v>81</v>
      </c>
      <c r="C8" s="85">
        <v>2889</v>
      </c>
      <c r="D8" s="19" t="s">
        <v>20</v>
      </c>
      <c r="E8" s="3" t="str">
        <f t="shared" si="2"/>
        <v>٨</v>
      </c>
      <c r="F8" s="37">
        <v>8</v>
      </c>
      <c r="G8" s="37">
        <v>9</v>
      </c>
      <c r="H8" s="37">
        <v>9</v>
      </c>
      <c r="I8" s="37">
        <v>9</v>
      </c>
      <c r="J8" s="37">
        <v>9</v>
      </c>
      <c r="K8" s="37">
        <v>9</v>
      </c>
      <c r="L8" s="37" t="s">
        <v>56</v>
      </c>
      <c r="M8" s="37">
        <v>6</v>
      </c>
      <c r="N8" s="37">
        <v>9</v>
      </c>
      <c r="O8" s="37">
        <v>9</v>
      </c>
      <c r="P8" s="37">
        <v>8</v>
      </c>
      <c r="Q8" s="37">
        <v>8</v>
      </c>
      <c r="R8" s="37">
        <v>8</v>
      </c>
      <c r="S8" s="37">
        <v>8</v>
      </c>
      <c r="T8" s="4">
        <f t="shared" si="1"/>
        <v>109</v>
      </c>
      <c r="U8" s="44">
        <v>4</v>
      </c>
      <c r="V8" s="44" t="s">
        <v>56</v>
      </c>
    </row>
    <row r="9" spans="1:22" s="1" customFormat="1" ht="25.15" customHeight="1" thickBot="1" x14ac:dyDescent="0.3">
      <c r="A9" s="65" t="s">
        <v>21</v>
      </c>
      <c r="B9" s="124" t="s">
        <v>82</v>
      </c>
      <c r="C9" s="85">
        <v>2692</v>
      </c>
      <c r="D9" s="19" t="s">
        <v>21</v>
      </c>
      <c r="E9" s="3" t="str">
        <f t="shared" si="2"/>
        <v>٩</v>
      </c>
      <c r="F9" s="37">
        <v>9</v>
      </c>
      <c r="G9" s="37">
        <v>9</v>
      </c>
      <c r="H9" s="37">
        <v>9</v>
      </c>
      <c r="I9" s="37">
        <v>9</v>
      </c>
      <c r="J9" s="37">
        <v>9</v>
      </c>
      <c r="K9" s="37">
        <v>9</v>
      </c>
      <c r="L9" s="37" t="s">
        <v>56</v>
      </c>
      <c r="M9" s="37">
        <v>9</v>
      </c>
      <c r="N9" s="37">
        <v>9</v>
      </c>
      <c r="O9" s="37">
        <v>9</v>
      </c>
      <c r="P9" s="37">
        <v>8</v>
      </c>
      <c r="Q9" s="37">
        <v>8</v>
      </c>
      <c r="R9" s="37">
        <v>8</v>
      </c>
      <c r="S9" s="37">
        <v>7</v>
      </c>
      <c r="T9" s="4">
        <f t="shared" si="1"/>
        <v>112</v>
      </c>
      <c r="U9" s="44" t="s">
        <v>56</v>
      </c>
      <c r="V9" s="44" t="s">
        <v>56</v>
      </c>
    </row>
    <row r="10" spans="1:22" s="168" customFormat="1" ht="25.15" customHeight="1" thickBot="1" x14ac:dyDescent="0.3">
      <c r="A10" s="161" t="s">
        <v>22</v>
      </c>
      <c r="B10" s="169" t="s">
        <v>83</v>
      </c>
      <c r="C10" s="170">
        <v>2654</v>
      </c>
      <c r="D10" s="164" t="s">
        <v>22</v>
      </c>
      <c r="E10" s="165" t="str">
        <f t="shared" si="2"/>
        <v>٦</v>
      </c>
      <c r="F10" s="166">
        <v>6</v>
      </c>
      <c r="G10" s="166">
        <v>5</v>
      </c>
      <c r="H10" s="166">
        <v>6</v>
      </c>
      <c r="I10" s="166">
        <v>5</v>
      </c>
      <c r="J10" s="166">
        <v>5</v>
      </c>
      <c r="K10" s="166">
        <v>6</v>
      </c>
      <c r="L10" s="166" t="s">
        <v>56</v>
      </c>
      <c r="M10" s="166">
        <v>5</v>
      </c>
      <c r="N10" s="166">
        <v>6</v>
      </c>
      <c r="O10" s="166">
        <v>6</v>
      </c>
      <c r="P10" s="166">
        <v>7</v>
      </c>
      <c r="Q10" s="166">
        <v>7</v>
      </c>
      <c r="R10" s="166">
        <v>7</v>
      </c>
      <c r="S10" s="166">
        <v>8</v>
      </c>
      <c r="T10" s="165">
        <f t="shared" si="1"/>
        <v>79</v>
      </c>
      <c r="U10" s="167">
        <v>2</v>
      </c>
      <c r="V10" s="167" t="s">
        <v>56</v>
      </c>
    </row>
    <row r="11" spans="1:22" s="1" customFormat="1" ht="25.15" customHeight="1" thickBot="1" x14ac:dyDescent="0.3">
      <c r="A11" s="65" t="s">
        <v>23</v>
      </c>
      <c r="B11" s="124" t="s">
        <v>84</v>
      </c>
      <c r="C11" s="85">
        <v>2732</v>
      </c>
      <c r="D11" s="19" t="s">
        <v>23</v>
      </c>
      <c r="E11" s="3" t="str">
        <f t="shared" si="2"/>
        <v>٩</v>
      </c>
      <c r="F11" s="37">
        <v>9</v>
      </c>
      <c r="G11" s="37">
        <v>7</v>
      </c>
      <c r="H11" s="37">
        <v>9</v>
      </c>
      <c r="I11" s="37">
        <v>7</v>
      </c>
      <c r="J11" s="37">
        <v>9</v>
      </c>
      <c r="K11" s="37">
        <v>9</v>
      </c>
      <c r="L11" s="37" t="s">
        <v>56</v>
      </c>
      <c r="M11" s="37">
        <v>8</v>
      </c>
      <c r="N11" s="37">
        <v>8</v>
      </c>
      <c r="O11" s="37">
        <v>9</v>
      </c>
      <c r="P11" s="37">
        <v>8</v>
      </c>
      <c r="Q11" s="37">
        <v>8</v>
      </c>
      <c r="R11" s="37">
        <v>8</v>
      </c>
      <c r="S11" s="37">
        <v>8</v>
      </c>
      <c r="T11" s="4">
        <f t="shared" si="1"/>
        <v>107</v>
      </c>
      <c r="U11" s="44" t="s">
        <v>56</v>
      </c>
      <c r="V11" s="44" t="s">
        <v>56</v>
      </c>
    </row>
    <row r="12" spans="1:22" s="168" customFormat="1" ht="25.15" customHeight="1" thickBot="1" x14ac:dyDescent="0.3">
      <c r="A12" s="161" t="s">
        <v>24</v>
      </c>
      <c r="B12" s="171" t="s">
        <v>85</v>
      </c>
      <c r="C12" s="163">
        <v>2859</v>
      </c>
      <c r="D12" s="164" t="s">
        <v>24</v>
      </c>
      <c r="E12" s="165" t="str">
        <f t="shared" si="2"/>
        <v>٦</v>
      </c>
      <c r="F12" s="166">
        <v>6</v>
      </c>
      <c r="G12" s="166">
        <v>5</v>
      </c>
      <c r="H12" s="166">
        <v>7</v>
      </c>
      <c r="I12" s="166">
        <v>5</v>
      </c>
      <c r="J12" s="166">
        <v>5</v>
      </c>
      <c r="K12" s="166">
        <v>7</v>
      </c>
      <c r="L12" s="166" t="s">
        <v>56</v>
      </c>
      <c r="M12" s="166">
        <v>5</v>
      </c>
      <c r="N12" s="166">
        <v>7</v>
      </c>
      <c r="O12" s="166">
        <v>5</v>
      </c>
      <c r="P12" s="166">
        <v>7</v>
      </c>
      <c r="Q12" s="166">
        <v>7</v>
      </c>
      <c r="R12" s="166">
        <v>7</v>
      </c>
      <c r="S12" s="166">
        <v>8</v>
      </c>
      <c r="T12" s="165">
        <f t="shared" si="1"/>
        <v>81</v>
      </c>
      <c r="U12" s="167">
        <v>2</v>
      </c>
      <c r="V12" s="167" t="s">
        <v>56</v>
      </c>
    </row>
    <row r="13" spans="1:22" s="1" customFormat="1" ht="25.15" customHeight="1" thickBot="1" x14ac:dyDescent="0.3">
      <c r="A13" s="65" t="s">
        <v>25</v>
      </c>
      <c r="B13" s="123" t="s">
        <v>86</v>
      </c>
      <c r="C13" s="85">
        <v>2890</v>
      </c>
      <c r="D13" s="19" t="s">
        <v>25</v>
      </c>
      <c r="E13" s="3" t="str">
        <f t="shared" si="2"/>
        <v>٥</v>
      </c>
      <c r="F13" s="37">
        <v>5</v>
      </c>
      <c r="G13" s="37">
        <v>5</v>
      </c>
      <c r="H13" s="37">
        <v>6</v>
      </c>
      <c r="I13" s="37">
        <v>5</v>
      </c>
      <c r="J13" s="37">
        <v>5</v>
      </c>
      <c r="K13" s="37">
        <v>5</v>
      </c>
      <c r="L13" s="37" t="s">
        <v>56</v>
      </c>
      <c r="M13" s="37">
        <v>6</v>
      </c>
      <c r="N13" s="37">
        <v>6</v>
      </c>
      <c r="O13" s="37">
        <v>6</v>
      </c>
      <c r="P13" s="37">
        <v>8</v>
      </c>
      <c r="Q13" s="37">
        <v>7</v>
      </c>
      <c r="R13" s="37">
        <v>7</v>
      </c>
      <c r="S13" s="37">
        <v>8</v>
      </c>
      <c r="T13" s="4">
        <f t="shared" si="1"/>
        <v>79</v>
      </c>
      <c r="U13" s="44" t="s">
        <v>56</v>
      </c>
      <c r="V13" s="44" t="s">
        <v>56</v>
      </c>
    </row>
    <row r="14" spans="1:22" s="1" customFormat="1" ht="25.15" customHeight="1" thickBot="1" x14ac:dyDescent="0.3">
      <c r="A14" s="65" t="s">
        <v>26</v>
      </c>
      <c r="B14" s="124" t="s">
        <v>87</v>
      </c>
      <c r="C14" s="85">
        <v>2891</v>
      </c>
      <c r="D14" s="19" t="s">
        <v>26</v>
      </c>
      <c r="E14" s="3" t="str">
        <f t="shared" si="2"/>
        <v>٥</v>
      </c>
      <c r="F14" s="37">
        <v>5</v>
      </c>
      <c r="G14" s="37">
        <v>6</v>
      </c>
      <c r="H14" s="37">
        <v>7</v>
      </c>
      <c r="I14" s="37">
        <v>5</v>
      </c>
      <c r="J14" s="37">
        <v>5</v>
      </c>
      <c r="K14" s="37">
        <v>5</v>
      </c>
      <c r="L14" s="37" t="s">
        <v>56</v>
      </c>
      <c r="M14" s="37">
        <v>6</v>
      </c>
      <c r="N14" s="37">
        <v>5</v>
      </c>
      <c r="O14" s="37">
        <v>5</v>
      </c>
      <c r="P14" s="37">
        <v>7</v>
      </c>
      <c r="Q14" s="37">
        <v>7</v>
      </c>
      <c r="R14" s="37">
        <v>7</v>
      </c>
      <c r="S14" s="37">
        <v>8</v>
      </c>
      <c r="T14" s="4">
        <f t="shared" si="1"/>
        <v>78</v>
      </c>
      <c r="U14" s="44" t="s">
        <v>56</v>
      </c>
      <c r="V14" s="44">
        <v>2</v>
      </c>
    </row>
    <row r="15" spans="1:22" s="168" customFormat="1" ht="25.15" customHeight="1" thickBot="1" x14ac:dyDescent="0.3">
      <c r="A15" s="161" t="s">
        <v>27</v>
      </c>
      <c r="B15" s="162" t="s">
        <v>324</v>
      </c>
      <c r="C15" s="170">
        <v>2657</v>
      </c>
      <c r="D15" s="164" t="s">
        <v>27</v>
      </c>
      <c r="E15" s="165" t="str">
        <f t="shared" si="2"/>
        <v>٩</v>
      </c>
      <c r="F15" s="166">
        <v>9</v>
      </c>
      <c r="G15" s="166">
        <v>8</v>
      </c>
      <c r="H15" s="166">
        <v>8</v>
      </c>
      <c r="I15" s="166">
        <v>9</v>
      </c>
      <c r="J15" s="166">
        <v>8</v>
      </c>
      <c r="K15" s="166">
        <v>9</v>
      </c>
      <c r="L15" s="166" t="s">
        <v>56</v>
      </c>
      <c r="M15" s="166">
        <v>9</v>
      </c>
      <c r="N15" s="166">
        <v>9</v>
      </c>
      <c r="O15" s="166">
        <v>8</v>
      </c>
      <c r="P15" s="166">
        <v>8</v>
      </c>
      <c r="Q15" s="166">
        <v>8</v>
      </c>
      <c r="R15" s="166">
        <v>8</v>
      </c>
      <c r="S15" s="166">
        <v>8</v>
      </c>
      <c r="T15" s="165">
        <f t="shared" si="1"/>
        <v>109</v>
      </c>
      <c r="U15" s="167">
        <v>3</v>
      </c>
      <c r="V15" s="167" t="s">
        <v>56</v>
      </c>
    </row>
    <row r="16" spans="1:22" s="1" customFormat="1" ht="25.15" customHeight="1" thickBot="1" x14ac:dyDescent="0.3">
      <c r="A16" s="65" t="s">
        <v>28</v>
      </c>
      <c r="B16" s="123" t="s">
        <v>88</v>
      </c>
      <c r="C16" s="85">
        <v>2765</v>
      </c>
      <c r="D16" s="19" t="s">
        <v>28</v>
      </c>
      <c r="E16" s="3" t="str">
        <f t="shared" si="2"/>
        <v>٦</v>
      </c>
      <c r="F16" s="37">
        <v>6</v>
      </c>
      <c r="G16" s="37">
        <v>5</v>
      </c>
      <c r="H16" s="37">
        <v>6</v>
      </c>
      <c r="I16" s="37">
        <v>5</v>
      </c>
      <c r="J16" s="37">
        <v>5</v>
      </c>
      <c r="K16" s="37">
        <v>5</v>
      </c>
      <c r="L16" s="37" t="s">
        <v>56</v>
      </c>
      <c r="M16" s="37">
        <v>5</v>
      </c>
      <c r="N16" s="37">
        <v>7</v>
      </c>
      <c r="O16" s="37">
        <v>7</v>
      </c>
      <c r="P16" s="37">
        <v>7</v>
      </c>
      <c r="Q16" s="37">
        <v>8</v>
      </c>
      <c r="R16" s="37">
        <v>8</v>
      </c>
      <c r="S16" s="37">
        <v>8</v>
      </c>
      <c r="T16" s="4">
        <f t="shared" si="1"/>
        <v>82</v>
      </c>
      <c r="U16" s="44" t="s">
        <v>56</v>
      </c>
      <c r="V16" s="44" t="s">
        <v>56</v>
      </c>
    </row>
    <row r="17" spans="1:22" s="1" customFormat="1" ht="25.15" customHeight="1" thickBot="1" x14ac:dyDescent="0.3">
      <c r="A17" s="65" t="s">
        <v>29</v>
      </c>
      <c r="B17" s="123" t="s">
        <v>89</v>
      </c>
      <c r="C17" s="85">
        <v>2699</v>
      </c>
      <c r="D17" s="19" t="s">
        <v>29</v>
      </c>
      <c r="E17" s="3" t="str">
        <f t="shared" si="2"/>
        <v>٩</v>
      </c>
      <c r="F17" s="37">
        <v>9</v>
      </c>
      <c r="G17" s="37">
        <v>9</v>
      </c>
      <c r="H17" s="37">
        <v>9</v>
      </c>
      <c r="I17" s="37">
        <v>8</v>
      </c>
      <c r="J17" s="37">
        <v>8</v>
      </c>
      <c r="K17" s="37">
        <v>9</v>
      </c>
      <c r="L17" s="37" t="s">
        <v>56</v>
      </c>
      <c r="M17" s="37">
        <v>8</v>
      </c>
      <c r="N17" s="37">
        <v>9</v>
      </c>
      <c r="O17" s="37">
        <v>8</v>
      </c>
      <c r="P17" s="37">
        <v>8</v>
      </c>
      <c r="Q17" s="37">
        <v>8</v>
      </c>
      <c r="R17" s="37">
        <v>8</v>
      </c>
      <c r="S17" s="37">
        <v>8</v>
      </c>
      <c r="T17" s="4">
        <f t="shared" si="1"/>
        <v>109</v>
      </c>
      <c r="U17" s="44" t="s">
        <v>56</v>
      </c>
      <c r="V17" s="44" t="s">
        <v>56</v>
      </c>
    </row>
    <row r="18" spans="1:22" s="1" customFormat="1" ht="25.15" customHeight="1" thickBot="1" x14ac:dyDescent="0.3">
      <c r="A18" s="65" t="s">
        <v>30</v>
      </c>
      <c r="B18" s="123" t="s">
        <v>90</v>
      </c>
      <c r="C18" s="85">
        <v>2872</v>
      </c>
      <c r="D18" s="19" t="s">
        <v>30</v>
      </c>
      <c r="E18" s="3" t="str">
        <f t="shared" si="2"/>
        <v>٦</v>
      </c>
      <c r="F18" s="37">
        <v>6</v>
      </c>
      <c r="G18" s="37">
        <v>7</v>
      </c>
      <c r="H18" s="37">
        <v>8</v>
      </c>
      <c r="I18" s="37">
        <v>5</v>
      </c>
      <c r="J18" s="37">
        <v>6</v>
      </c>
      <c r="K18" s="37">
        <v>7</v>
      </c>
      <c r="L18" s="37" t="s">
        <v>56</v>
      </c>
      <c r="M18" s="37">
        <v>7</v>
      </c>
      <c r="N18" s="37">
        <v>9</v>
      </c>
      <c r="O18" s="37">
        <v>8</v>
      </c>
      <c r="P18" s="37">
        <v>8</v>
      </c>
      <c r="Q18" s="37">
        <v>8</v>
      </c>
      <c r="R18" s="37">
        <v>8</v>
      </c>
      <c r="S18" s="37">
        <v>8</v>
      </c>
      <c r="T18" s="4">
        <f t="shared" si="1"/>
        <v>95</v>
      </c>
      <c r="U18" s="44" t="s">
        <v>56</v>
      </c>
      <c r="V18" s="44" t="s">
        <v>56</v>
      </c>
    </row>
    <row r="19" spans="1:22" s="168" customFormat="1" ht="25.15" customHeight="1" thickBot="1" x14ac:dyDescent="0.3">
      <c r="A19" s="161" t="s">
        <v>31</v>
      </c>
      <c r="B19" s="169" t="s">
        <v>91</v>
      </c>
      <c r="C19" s="163">
        <v>2837</v>
      </c>
      <c r="D19" s="164" t="s">
        <v>31</v>
      </c>
      <c r="E19" s="165" t="str">
        <f t="shared" si="2"/>
        <v>٧</v>
      </c>
      <c r="F19" s="166">
        <v>7</v>
      </c>
      <c r="G19" s="166">
        <v>5</v>
      </c>
      <c r="H19" s="166">
        <v>7</v>
      </c>
      <c r="I19" s="166">
        <v>6</v>
      </c>
      <c r="J19" s="166">
        <v>9</v>
      </c>
      <c r="K19" s="166">
        <v>5</v>
      </c>
      <c r="L19" s="166" t="s">
        <v>56</v>
      </c>
      <c r="M19" s="166">
        <v>8</v>
      </c>
      <c r="N19" s="166">
        <v>5</v>
      </c>
      <c r="O19" s="166">
        <v>5</v>
      </c>
      <c r="P19" s="166">
        <v>8</v>
      </c>
      <c r="Q19" s="166">
        <v>7</v>
      </c>
      <c r="R19" s="166">
        <v>8</v>
      </c>
      <c r="S19" s="166">
        <v>8</v>
      </c>
      <c r="T19" s="165">
        <f t="shared" si="1"/>
        <v>88</v>
      </c>
      <c r="U19" s="167">
        <v>1</v>
      </c>
      <c r="V19" s="167" t="s">
        <v>56</v>
      </c>
    </row>
    <row r="20" spans="1:22" s="1" customFormat="1" ht="25.15" customHeight="1" thickBot="1" x14ac:dyDescent="0.3">
      <c r="A20" s="65" t="s">
        <v>32</v>
      </c>
      <c r="B20" s="124" t="s">
        <v>92</v>
      </c>
      <c r="C20" s="85">
        <v>2901</v>
      </c>
      <c r="D20" s="19" t="s">
        <v>32</v>
      </c>
      <c r="E20" s="3" t="str">
        <f t="shared" si="2"/>
        <v>٩</v>
      </c>
      <c r="F20" s="37">
        <v>9</v>
      </c>
      <c r="G20" s="37">
        <v>6</v>
      </c>
      <c r="H20" s="37">
        <v>9</v>
      </c>
      <c r="I20" s="37">
        <v>6</v>
      </c>
      <c r="J20" s="37">
        <v>6</v>
      </c>
      <c r="K20" s="37">
        <v>6</v>
      </c>
      <c r="L20" s="37" t="s">
        <v>56</v>
      </c>
      <c r="M20" s="37">
        <v>7</v>
      </c>
      <c r="N20" s="37">
        <v>6</v>
      </c>
      <c r="O20" s="37">
        <v>6</v>
      </c>
      <c r="P20" s="37">
        <v>8</v>
      </c>
      <c r="Q20" s="37">
        <v>8</v>
      </c>
      <c r="R20" s="37">
        <v>8</v>
      </c>
      <c r="S20" s="37">
        <v>8</v>
      </c>
      <c r="T20" s="4">
        <f t="shared" si="1"/>
        <v>93</v>
      </c>
      <c r="U20" s="44" t="s">
        <v>56</v>
      </c>
      <c r="V20" s="44">
        <v>1</v>
      </c>
    </row>
    <row r="21" spans="1:22" s="1" customFormat="1" ht="25.15" customHeight="1" thickBot="1" x14ac:dyDescent="0.3">
      <c r="A21" s="65" t="s">
        <v>33</v>
      </c>
      <c r="B21" s="124" t="s">
        <v>93</v>
      </c>
      <c r="C21" s="85">
        <v>2697</v>
      </c>
      <c r="D21" s="19" t="s">
        <v>33</v>
      </c>
      <c r="E21" s="3" t="str">
        <f t="shared" si="2"/>
        <v>٥</v>
      </c>
      <c r="F21" s="37">
        <v>5</v>
      </c>
      <c r="G21" s="37">
        <v>5</v>
      </c>
      <c r="H21" s="37">
        <v>5</v>
      </c>
      <c r="I21" s="37">
        <v>5</v>
      </c>
      <c r="J21" s="37">
        <v>5</v>
      </c>
      <c r="K21" s="37">
        <v>6</v>
      </c>
      <c r="L21" s="37" t="s">
        <v>56</v>
      </c>
      <c r="M21" s="37">
        <v>5</v>
      </c>
      <c r="N21" s="37">
        <v>5</v>
      </c>
      <c r="O21" s="37">
        <v>6</v>
      </c>
      <c r="P21" s="37">
        <v>8</v>
      </c>
      <c r="Q21" s="37">
        <v>8</v>
      </c>
      <c r="R21" s="37">
        <v>8</v>
      </c>
      <c r="S21" s="37">
        <v>8</v>
      </c>
      <c r="T21" s="4">
        <f t="shared" si="1"/>
        <v>79</v>
      </c>
      <c r="U21" s="44" t="s">
        <v>56</v>
      </c>
      <c r="V21" s="44" t="s">
        <v>56</v>
      </c>
    </row>
    <row r="22" spans="1:22" s="1" customFormat="1" ht="25.15" customHeight="1" thickBot="1" x14ac:dyDescent="0.3">
      <c r="A22" s="65" t="s">
        <v>34</v>
      </c>
      <c r="B22" s="124" t="s">
        <v>94</v>
      </c>
      <c r="C22" s="132">
        <v>2670</v>
      </c>
      <c r="D22" s="19" t="s">
        <v>34</v>
      </c>
      <c r="E22" s="3" t="str">
        <f t="shared" si="2"/>
        <v>٧</v>
      </c>
      <c r="F22" s="37">
        <v>7</v>
      </c>
      <c r="G22" s="37">
        <v>6</v>
      </c>
      <c r="H22" s="37">
        <v>8</v>
      </c>
      <c r="I22" s="37">
        <v>6</v>
      </c>
      <c r="J22" s="37">
        <v>6</v>
      </c>
      <c r="K22" s="37">
        <v>8</v>
      </c>
      <c r="L22" s="37" t="s">
        <v>56</v>
      </c>
      <c r="M22" s="37">
        <v>6</v>
      </c>
      <c r="N22" s="37">
        <v>6</v>
      </c>
      <c r="O22" s="37">
        <v>8</v>
      </c>
      <c r="P22" s="37">
        <v>8</v>
      </c>
      <c r="Q22" s="37">
        <v>7</v>
      </c>
      <c r="R22" s="37">
        <v>7</v>
      </c>
      <c r="S22" s="37">
        <v>8</v>
      </c>
      <c r="T22" s="4">
        <f t="shared" si="1"/>
        <v>91</v>
      </c>
      <c r="U22" s="44" t="s">
        <v>56</v>
      </c>
      <c r="V22" s="44" t="s">
        <v>56</v>
      </c>
    </row>
    <row r="23" spans="1:22" s="1" customFormat="1" ht="25.15" customHeight="1" thickBot="1" x14ac:dyDescent="0.3">
      <c r="A23" s="65" t="s">
        <v>35</v>
      </c>
      <c r="B23" s="124" t="s">
        <v>95</v>
      </c>
      <c r="C23" s="85">
        <v>2779</v>
      </c>
      <c r="D23" s="19" t="s">
        <v>35</v>
      </c>
      <c r="E23" s="3" t="str">
        <f t="shared" si="2"/>
        <v>٧</v>
      </c>
      <c r="F23" s="37">
        <v>7</v>
      </c>
      <c r="G23" s="37">
        <v>6</v>
      </c>
      <c r="H23" s="37">
        <v>7</v>
      </c>
      <c r="I23" s="37">
        <v>6</v>
      </c>
      <c r="J23" s="37">
        <v>5</v>
      </c>
      <c r="K23" s="37">
        <v>5</v>
      </c>
      <c r="L23" s="37" t="s">
        <v>56</v>
      </c>
      <c r="M23" s="37">
        <v>6</v>
      </c>
      <c r="N23" s="37">
        <v>5</v>
      </c>
      <c r="O23" s="37">
        <v>7</v>
      </c>
      <c r="P23" s="37">
        <v>8</v>
      </c>
      <c r="Q23" s="37">
        <v>7</v>
      </c>
      <c r="R23" s="37">
        <v>8</v>
      </c>
      <c r="S23" s="37">
        <v>8</v>
      </c>
      <c r="T23" s="4">
        <f t="shared" si="1"/>
        <v>85</v>
      </c>
      <c r="U23" s="44" t="s">
        <v>56</v>
      </c>
      <c r="V23" s="44">
        <v>1</v>
      </c>
    </row>
    <row r="24" spans="1:22" s="1" customFormat="1" ht="25.15" customHeight="1" thickBot="1" x14ac:dyDescent="0.3">
      <c r="A24" s="65" t="s">
        <v>36</v>
      </c>
      <c r="B24" s="124" t="s">
        <v>96</v>
      </c>
      <c r="C24" s="132">
        <v>2674</v>
      </c>
      <c r="D24" s="19" t="s">
        <v>36</v>
      </c>
      <c r="E24" s="3" t="str">
        <f t="shared" si="2"/>
        <v>٥</v>
      </c>
      <c r="F24" s="37">
        <v>5</v>
      </c>
      <c r="G24" s="37">
        <v>5</v>
      </c>
      <c r="H24" s="37">
        <v>5</v>
      </c>
      <c r="I24" s="37">
        <v>5</v>
      </c>
      <c r="J24" s="37">
        <v>4</v>
      </c>
      <c r="K24" s="37">
        <v>4</v>
      </c>
      <c r="L24" s="37" t="s">
        <v>56</v>
      </c>
      <c r="M24" s="37">
        <v>5</v>
      </c>
      <c r="N24" s="37">
        <v>5</v>
      </c>
      <c r="O24" s="37">
        <v>5</v>
      </c>
      <c r="P24" s="37">
        <v>7</v>
      </c>
      <c r="Q24" s="37">
        <v>7</v>
      </c>
      <c r="R24" s="37">
        <v>7</v>
      </c>
      <c r="S24" s="37">
        <v>8</v>
      </c>
      <c r="T24" s="4">
        <f t="shared" si="1"/>
        <v>72</v>
      </c>
      <c r="U24" s="44" t="s">
        <v>56</v>
      </c>
      <c r="V24" s="44" t="s">
        <v>56</v>
      </c>
    </row>
    <row r="25" spans="1:22" s="1" customFormat="1" ht="25.15" customHeight="1" thickBot="1" x14ac:dyDescent="0.3">
      <c r="A25" s="65" t="s">
        <v>37</v>
      </c>
      <c r="B25" s="124" t="s">
        <v>97</v>
      </c>
      <c r="C25" s="132">
        <v>2675</v>
      </c>
      <c r="D25" s="19" t="s">
        <v>37</v>
      </c>
      <c r="E25" s="3" t="str">
        <f t="shared" si="2"/>
        <v>٥</v>
      </c>
      <c r="F25" s="37">
        <v>5</v>
      </c>
      <c r="G25" s="37">
        <v>8</v>
      </c>
      <c r="H25" s="37">
        <v>7</v>
      </c>
      <c r="I25" s="37">
        <v>6</v>
      </c>
      <c r="J25" s="37">
        <v>7</v>
      </c>
      <c r="K25" s="37">
        <v>6</v>
      </c>
      <c r="L25" s="37" t="s">
        <v>56</v>
      </c>
      <c r="M25" s="37">
        <v>7</v>
      </c>
      <c r="N25" s="37">
        <v>6</v>
      </c>
      <c r="O25" s="37">
        <v>8</v>
      </c>
      <c r="P25" s="37">
        <v>7</v>
      </c>
      <c r="Q25" s="37">
        <v>7</v>
      </c>
      <c r="R25" s="37">
        <v>7</v>
      </c>
      <c r="S25" s="37">
        <v>7</v>
      </c>
      <c r="T25" s="4">
        <f t="shared" si="1"/>
        <v>88</v>
      </c>
      <c r="U25" s="44" t="s">
        <v>56</v>
      </c>
      <c r="V25" s="44" t="s">
        <v>56</v>
      </c>
    </row>
    <row r="26" spans="1:22" s="1" customFormat="1" ht="25.15" customHeight="1" thickBot="1" x14ac:dyDescent="0.3">
      <c r="A26" s="65" t="s">
        <v>38</v>
      </c>
      <c r="B26" s="124" t="s">
        <v>98</v>
      </c>
      <c r="C26" s="85">
        <v>2748</v>
      </c>
      <c r="D26" s="19" t="s">
        <v>38</v>
      </c>
      <c r="E26" s="3" t="str">
        <f t="shared" si="2"/>
        <v>٨</v>
      </c>
      <c r="F26" s="37">
        <v>8</v>
      </c>
      <c r="G26" s="37">
        <v>6</v>
      </c>
      <c r="H26" s="37">
        <v>9</v>
      </c>
      <c r="I26" s="37">
        <v>7</v>
      </c>
      <c r="J26" s="37">
        <v>7</v>
      </c>
      <c r="K26" s="37">
        <v>5</v>
      </c>
      <c r="L26" s="37" t="s">
        <v>56</v>
      </c>
      <c r="M26" s="37">
        <v>9</v>
      </c>
      <c r="N26" s="37">
        <v>8</v>
      </c>
      <c r="O26" s="37">
        <v>6</v>
      </c>
      <c r="P26" s="37">
        <v>8</v>
      </c>
      <c r="Q26" s="37">
        <v>8</v>
      </c>
      <c r="R26" s="37">
        <v>8</v>
      </c>
      <c r="S26" s="37">
        <v>8</v>
      </c>
      <c r="T26" s="4">
        <f t="shared" si="1"/>
        <v>97</v>
      </c>
      <c r="U26" s="44" t="s">
        <v>56</v>
      </c>
      <c r="V26" s="44" t="s">
        <v>56</v>
      </c>
    </row>
    <row r="27" spans="1:22" s="168" customFormat="1" ht="25.15" customHeight="1" thickBot="1" x14ac:dyDescent="0.3">
      <c r="A27" s="161" t="s">
        <v>39</v>
      </c>
      <c r="B27" s="162" t="s">
        <v>99</v>
      </c>
      <c r="C27" s="170">
        <v>2677</v>
      </c>
      <c r="D27" s="164" t="s">
        <v>39</v>
      </c>
      <c r="E27" s="165" t="str">
        <f t="shared" si="2"/>
        <v>٩</v>
      </c>
      <c r="F27" s="166">
        <v>9</v>
      </c>
      <c r="G27" s="166">
        <v>9</v>
      </c>
      <c r="H27" s="166">
        <v>9</v>
      </c>
      <c r="I27" s="166">
        <v>9</v>
      </c>
      <c r="J27" s="166">
        <v>9</v>
      </c>
      <c r="K27" s="166">
        <v>9</v>
      </c>
      <c r="L27" s="166" t="s">
        <v>56</v>
      </c>
      <c r="M27" s="166">
        <v>9</v>
      </c>
      <c r="N27" s="166">
        <v>9</v>
      </c>
      <c r="O27" s="166">
        <v>9</v>
      </c>
      <c r="P27" s="166">
        <v>8</v>
      </c>
      <c r="Q27" s="166">
        <v>8</v>
      </c>
      <c r="R27" s="166">
        <v>8</v>
      </c>
      <c r="S27" s="166">
        <v>8</v>
      </c>
      <c r="T27" s="165">
        <f t="shared" si="1"/>
        <v>113</v>
      </c>
      <c r="U27" s="167">
        <v>8</v>
      </c>
      <c r="V27" s="167" t="s">
        <v>56</v>
      </c>
    </row>
    <row r="28" spans="1:22" s="2" customFormat="1" ht="25.15" customHeight="1" thickBot="1" x14ac:dyDescent="0.3">
      <c r="A28" s="65" t="s">
        <v>40</v>
      </c>
      <c r="B28" s="124" t="s">
        <v>100</v>
      </c>
      <c r="C28" s="85">
        <v>2848</v>
      </c>
      <c r="D28" s="19" t="s">
        <v>40</v>
      </c>
      <c r="E28" s="3" t="str">
        <f t="shared" si="2"/>
        <v>٨</v>
      </c>
      <c r="F28" s="37">
        <v>8</v>
      </c>
      <c r="G28" s="37">
        <v>7</v>
      </c>
      <c r="H28" s="37">
        <v>9</v>
      </c>
      <c r="I28" s="37">
        <v>6</v>
      </c>
      <c r="J28" s="37">
        <v>6</v>
      </c>
      <c r="K28" s="37">
        <v>6</v>
      </c>
      <c r="L28" s="37" t="s">
        <v>56</v>
      </c>
      <c r="M28" s="37">
        <v>8</v>
      </c>
      <c r="N28" s="37">
        <v>7</v>
      </c>
      <c r="O28" s="37">
        <v>7</v>
      </c>
      <c r="P28" s="37">
        <v>8</v>
      </c>
      <c r="Q28" s="37">
        <v>8</v>
      </c>
      <c r="R28" s="37">
        <v>8</v>
      </c>
      <c r="S28" s="37">
        <v>8</v>
      </c>
      <c r="T28" s="4">
        <f t="shared" si="1"/>
        <v>96</v>
      </c>
      <c r="U28" s="44" t="s">
        <v>56</v>
      </c>
      <c r="V28" s="44" t="s">
        <v>56</v>
      </c>
    </row>
    <row r="29" spans="1:22" s="2" customFormat="1" ht="25.15" customHeight="1" thickBot="1" x14ac:dyDescent="0.3">
      <c r="A29" s="65" t="s">
        <v>41</v>
      </c>
      <c r="B29" s="124" t="s">
        <v>101</v>
      </c>
      <c r="C29" s="85">
        <v>2714</v>
      </c>
      <c r="D29" s="19" t="s">
        <v>41</v>
      </c>
      <c r="E29" s="3" t="str">
        <f t="shared" si="2"/>
        <v>٩</v>
      </c>
      <c r="F29" s="37">
        <v>9</v>
      </c>
      <c r="G29" s="37">
        <v>7</v>
      </c>
      <c r="H29" s="37">
        <v>8</v>
      </c>
      <c r="I29" s="37">
        <v>9</v>
      </c>
      <c r="J29" s="37">
        <v>8</v>
      </c>
      <c r="K29" s="37">
        <v>8</v>
      </c>
      <c r="L29" s="37" t="s">
        <v>56</v>
      </c>
      <c r="M29" s="37">
        <v>9</v>
      </c>
      <c r="N29" s="37">
        <v>8</v>
      </c>
      <c r="O29" s="37">
        <v>6</v>
      </c>
      <c r="P29" s="37">
        <v>8</v>
      </c>
      <c r="Q29" s="37">
        <v>8</v>
      </c>
      <c r="R29" s="37">
        <v>8</v>
      </c>
      <c r="S29" s="37">
        <v>8</v>
      </c>
      <c r="T29" s="4">
        <f t="shared" si="1"/>
        <v>104</v>
      </c>
      <c r="U29" s="44" t="s">
        <v>56</v>
      </c>
      <c r="V29" s="44" t="s">
        <v>56</v>
      </c>
    </row>
    <row r="30" spans="1:22" s="2" customFormat="1" ht="25.15" customHeight="1" thickBot="1" x14ac:dyDescent="0.3">
      <c r="A30" s="65" t="s">
        <v>42</v>
      </c>
      <c r="B30" s="124" t="s">
        <v>102</v>
      </c>
      <c r="C30" s="85">
        <v>2716</v>
      </c>
      <c r="D30" s="19" t="s">
        <v>42</v>
      </c>
      <c r="E30" s="3" t="str">
        <f t="shared" si="2"/>
        <v>٥</v>
      </c>
      <c r="F30" s="37">
        <v>5</v>
      </c>
      <c r="G30" s="37">
        <v>7</v>
      </c>
      <c r="H30" s="37">
        <v>7</v>
      </c>
      <c r="I30" s="37">
        <v>5</v>
      </c>
      <c r="J30" s="37">
        <v>5</v>
      </c>
      <c r="K30" s="37">
        <v>5</v>
      </c>
      <c r="L30" s="37" t="s">
        <v>56</v>
      </c>
      <c r="M30" s="37">
        <v>6</v>
      </c>
      <c r="N30" s="37">
        <v>5</v>
      </c>
      <c r="O30" s="37">
        <v>6</v>
      </c>
      <c r="P30" s="37">
        <v>8</v>
      </c>
      <c r="Q30" s="37">
        <v>7</v>
      </c>
      <c r="R30" s="37">
        <v>8</v>
      </c>
      <c r="S30" s="37">
        <v>8</v>
      </c>
      <c r="T30" s="4">
        <f t="shared" si="1"/>
        <v>82</v>
      </c>
      <c r="U30" s="44" t="s">
        <v>56</v>
      </c>
      <c r="V30" s="44" t="s">
        <v>56</v>
      </c>
    </row>
    <row r="31" spans="1:22" s="2" customFormat="1" ht="25.15" customHeight="1" thickBot="1" x14ac:dyDescent="0.3">
      <c r="A31" s="65" t="s">
        <v>43</v>
      </c>
      <c r="B31" s="124" t="s">
        <v>103</v>
      </c>
      <c r="C31" s="85">
        <v>2916</v>
      </c>
      <c r="D31" s="19" t="s">
        <v>43</v>
      </c>
      <c r="E31" s="3" t="str">
        <f t="shared" si="2"/>
        <v>٩</v>
      </c>
      <c r="F31" s="37">
        <v>9</v>
      </c>
      <c r="G31" s="37">
        <v>9</v>
      </c>
      <c r="H31" s="37">
        <v>9</v>
      </c>
      <c r="I31" s="37">
        <v>9</v>
      </c>
      <c r="J31" s="37">
        <v>8</v>
      </c>
      <c r="K31" s="37">
        <v>9</v>
      </c>
      <c r="L31" s="37" t="s">
        <v>56</v>
      </c>
      <c r="M31" s="37">
        <v>8</v>
      </c>
      <c r="N31" s="37">
        <v>9</v>
      </c>
      <c r="O31" s="37">
        <v>9</v>
      </c>
      <c r="P31" s="37">
        <v>8</v>
      </c>
      <c r="Q31" s="37">
        <v>8</v>
      </c>
      <c r="R31" s="37">
        <v>8</v>
      </c>
      <c r="S31" s="37">
        <v>8</v>
      </c>
      <c r="T31" s="4">
        <f t="shared" si="1"/>
        <v>111</v>
      </c>
      <c r="U31" s="44">
        <v>1</v>
      </c>
      <c r="V31" s="44">
        <v>2</v>
      </c>
    </row>
    <row r="32" spans="1:22" s="9" customFormat="1" ht="25.15" customHeight="1" x14ac:dyDescent="0.25">
      <c r="A32" s="65"/>
      <c r="B32" s="10" t="s">
        <v>50</v>
      </c>
      <c r="C32" s="7"/>
      <c r="D32" s="7"/>
      <c r="E32" s="3" t="str">
        <f t="shared" si="2"/>
        <v>٢١٣</v>
      </c>
      <c r="F32" s="38">
        <f t="shared" ref="F32:K32" si="3">SUM(F2:F31)</f>
        <v>213</v>
      </c>
      <c r="G32" s="8">
        <f t="shared" si="3"/>
        <v>201</v>
      </c>
      <c r="H32" s="8">
        <f t="shared" si="3"/>
        <v>228</v>
      </c>
      <c r="I32" s="24">
        <f t="shared" si="3"/>
        <v>199</v>
      </c>
      <c r="J32" s="8">
        <f t="shared" si="3"/>
        <v>202</v>
      </c>
      <c r="K32" s="8">
        <f t="shared" si="3"/>
        <v>204</v>
      </c>
      <c r="L32" s="63" t="s">
        <v>56</v>
      </c>
      <c r="M32" s="8">
        <f t="shared" ref="M32:S32" si="4">SUM(M2:M31)</f>
        <v>213</v>
      </c>
      <c r="N32" s="8">
        <f t="shared" si="4"/>
        <v>209</v>
      </c>
      <c r="O32" s="24">
        <f t="shared" si="4"/>
        <v>212</v>
      </c>
      <c r="P32" s="8">
        <f t="shared" si="4"/>
        <v>233</v>
      </c>
      <c r="Q32" s="8">
        <f t="shared" si="4"/>
        <v>227</v>
      </c>
      <c r="R32" s="8">
        <f t="shared" si="4"/>
        <v>233</v>
      </c>
      <c r="S32" s="8">
        <f t="shared" si="4"/>
        <v>238</v>
      </c>
      <c r="T32" s="4">
        <f t="shared" ref="T32" si="5">SUM(E32:S32)</f>
        <v>2812</v>
      </c>
      <c r="U32" s="44" t="s">
        <v>56</v>
      </c>
      <c r="V32" s="44" t="s">
        <v>56</v>
      </c>
    </row>
    <row r="33" spans="1:22" ht="15" customHeight="1" x14ac:dyDescent="0.25">
      <c r="A33" s="66"/>
      <c r="U33" s="44"/>
      <c r="V33" s="44"/>
    </row>
    <row r="34" spans="1:22" ht="15" customHeight="1" x14ac:dyDescent="0.25">
      <c r="A34" s="65"/>
      <c r="U34" s="44"/>
      <c r="V34" s="44"/>
    </row>
    <row r="35" spans="1:22" s="18" customFormat="1" ht="15" customHeight="1" x14ac:dyDescent="0.25">
      <c r="A35" s="66"/>
      <c r="B35" s="7"/>
      <c r="C35" s="7"/>
      <c r="D35" s="7"/>
      <c r="E35" s="3"/>
      <c r="F35" s="5"/>
      <c r="G35" s="5"/>
      <c r="H35" s="5"/>
      <c r="I35" s="25"/>
      <c r="J35" s="5"/>
      <c r="K35" s="5"/>
      <c r="L35" s="5"/>
      <c r="M35" s="5"/>
      <c r="N35" s="5"/>
      <c r="O35" s="25"/>
      <c r="P35" s="5"/>
      <c r="Q35" s="5"/>
      <c r="R35" s="5"/>
      <c r="S35" s="5"/>
      <c r="T35" s="6"/>
      <c r="U35" s="9"/>
      <c r="V35" s="9"/>
    </row>
    <row r="36" spans="1:22" s="18" customFormat="1" ht="20.25" customHeight="1" x14ac:dyDescent="0.25">
      <c r="A36" s="65"/>
      <c r="B36" s="7"/>
      <c r="C36" s="7"/>
      <c r="D36" s="7"/>
      <c r="E36" s="3"/>
      <c r="F36" s="5"/>
      <c r="G36" s="4"/>
      <c r="H36" s="14" t="s">
        <v>49</v>
      </c>
      <c r="I36" s="23"/>
      <c r="J36" s="5"/>
      <c r="K36" s="5"/>
      <c r="L36" s="5"/>
      <c r="M36" s="5"/>
      <c r="N36" s="5"/>
      <c r="O36" s="25"/>
      <c r="P36" s="5"/>
      <c r="Q36" s="5"/>
      <c r="R36" s="5"/>
      <c r="S36" s="5"/>
      <c r="T36" s="6"/>
      <c r="U36"/>
      <c r="V36"/>
    </row>
    <row r="37" spans="1:22" s="18" customFormat="1" ht="20.25" customHeight="1" x14ac:dyDescent="0.25">
      <c r="A37" s="66"/>
      <c r="B37" s="7"/>
      <c r="C37" s="7"/>
      <c r="D37" s="7"/>
      <c r="E37" s="3"/>
      <c r="F37" s="5"/>
      <c r="G37" s="5"/>
      <c r="H37" s="16">
        <f>E32/D31</f>
        <v>7</v>
      </c>
      <c r="I37" s="25"/>
      <c r="J37" s="5"/>
      <c r="K37" s="5"/>
      <c r="L37" s="5"/>
      <c r="M37" s="5"/>
      <c r="N37" s="5"/>
      <c r="O37" s="25"/>
      <c r="P37" s="5"/>
      <c r="Q37" s="5"/>
      <c r="R37" s="5"/>
      <c r="S37" s="5"/>
      <c r="T37" s="5"/>
      <c r="U37"/>
      <c r="V37"/>
    </row>
    <row r="38" spans="1:22" s="18" customFormat="1" ht="20.25" customHeight="1" x14ac:dyDescent="0.25">
      <c r="A38" s="17"/>
      <c r="B38" s="7"/>
      <c r="C38" s="7"/>
      <c r="D38" s="7"/>
      <c r="E38" s="3"/>
      <c r="F38" s="5"/>
      <c r="G38" s="5"/>
      <c r="H38" s="16">
        <f>G32/D31</f>
        <v>7</v>
      </c>
      <c r="I38" s="25"/>
      <c r="J38" s="5"/>
      <c r="K38" s="5"/>
      <c r="L38" s="5"/>
      <c r="M38" s="5"/>
      <c r="N38" s="5"/>
      <c r="O38" s="25"/>
      <c r="P38" s="5"/>
      <c r="Q38" s="5"/>
      <c r="R38" s="5"/>
      <c r="S38" s="5"/>
      <c r="T38" s="6"/>
      <c r="U38"/>
      <c r="V38"/>
    </row>
    <row r="39" spans="1:22" s="18" customFormat="1" ht="20.25" customHeight="1" x14ac:dyDescent="0.25">
      <c r="A39" s="17"/>
      <c r="B39" s="7"/>
      <c r="C39" s="7"/>
      <c r="D39" s="7"/>
      <c r="E39" s="3"/>
      <c r="F39" s="5"/>
      <c r="G39" s="5"/>
      <c r="H39" s="16">
        <f>H32/D31</f>
        <v>8</v>
      </c>
      <c r="I39" s="25"/>
      <c r="J39" s="5"/>
      <c r="K39" s="5"/>
      <c r="L39" s="5"/>
      <c r="M39" s="5"/>
      <c r="N39" s="5"/>
      <c r="O39" s="25"/>
      <c r="P39" s="5"/>
      <c r="Q39" s="5"/>
      <c r="R39" s="5"/>
      <c r="S39" s="5"/>
      <c r="T39" s="6"/>
      <c r="U39"/>
      <c r="V39"/>
    </row>
    <row r="40" spans="1:22" s="18" customFormat="1" ht="20.25" customHeight="1" x14ac:dyDescent="0.25">
      <c r="A40" s="17"/>
      <c r="B40" s="7"/>
      <c r="C40" s="7"/>
      <c r="D40" s="7"/>
      <c r="E40" s="3"/>
      <c r="F40" s="5"/>
      <c r="G40" s="5"/>
      <c r="H40" s="16">
        <f>I32/D31</f>
        <v>7</v>
      </c>
      <c r="I40" s="25"/>
      <c r="J40" s="5"/>
      <c r="K40" s="5"/>
      <c r="L40" s="5"/>
      <c r="M40" s="5"/>
      <c r="N40" s="5"/>
      <c r="O40" s="25"/>
      <c r="P40" s="5"/>
      <c r="Q40" s="5"/>
      <c r="R40" s="5"/>
      <c r="S40" s="5"/>
      <c r="T40" s="6"/>
      <c r="U40"/>
      <c r="V40"/>
    </row>
    <row r="41" spans="1:22" s="18" customFormat="1" ht="20.25" customHeight="1" x14ac:dyDescent="0.25">
      <c r="A41" s="17"/>
      <c r="B41" s="7"/>
      <c r="C41" s="7"/>
      <c r="D41" s="7"/>
      <c r="E41" s="3"/>
      <c r="F41" s="5"/>
      <c r="G41" s="5"/>
      <c r="H41" s="16">
        <f>J32/D31</f>
        <v>7</v>
      </c>
      <c r="I41" s="25"/>
      <c r="J41" s="5"/>
      <c r="K41" s="5"/>
      <c r="L41" s="5"/>
      <c r="M41" s="5"/>
      <c r="N41" s="5"/>
      <c r="O41" s="25"/>
      <c r="P41" s="5"/>
      <c r="Q41" s="5"/>
      <c r="R41" s="5"/>
      <c r="S41" s="5"/>
      <c r="T41" s="6"/>
      <c r="U41"/>
      <c r="V41"/>
    </row>
    <row r="42" spans="1:22" s="18" customFormat="1" ht="20.25" customHeight="1" x14ac:dyDescent="0.25">
      <c r="A42" s="17"/>
      <c r="B42" s="7"/>
      <c r="C42" s="7"/>
      <c r="D42" s="7"/>
      <c r="E42" s="3"/>
      <c r="F42" s="5"/>
      <c r="G42" s="5"/>
      <c r="H42" s="16">
        <f>K32/D31</f>
        <v>7</v>
      </c>
      <c r="I42" s="25"/>
      <c r="J42" s="5"/>
      <c r="K42" s="5"/>
      <c r="L42" s="5"/>
      <c r="M42" s="5"/>
      <c r="N42" s="5"/>
      <c r="O42" s="25"/>
      <c r="P42" s="5"/>
      <c r="Q42" s="5"/>
      <c r="R42" s="5"/>
      <c r="S42" s="5"/>
      <c r="T42" s="6"/>
      <c r="U42"/>
      <c r="V42"/>
    </row>
    <row r="43" spans="1:22" s="18" customFormat="1" ht="20.25" customHeight="1" x14ac:dyDescent="0.25">
      <c r="A43" s="17"/>
      <c r="B43" s="7"/>
      <c r="C43" s="7"/>
      <c r="D43" s="7"/>
      <c r="E43" s="3"/>
      <c r="F43" s="5"/>
      <c r="G43" s="5"/>
      <c r="H43" s="33" t="s">
        <v>56</v>
      </c>
      <c r="I43" s="25"/>
      <c r="J43" s="5"/>
      <c r="K43" s="5"/>
      <c r="L43" s="5"/>
      <c r="M43" s="5"/>
      <c r="N43" s="5"/>
      <c r="O43" s="25"/>
      <c r="P43" s="5"/>
      <c r="Q43" s="5"/>
      <c r="R43" s="5"/>
      <c r="S43" s="5"/>
      <c r="T43" s="6"/>
      <c r="U43" s="45"/>
      <c r="V43" s="45"/>
    </row>
    <row r="44" spans="1:22" s="18" customFormat="1" ht="20.25" customHeight="1" x14ac:dyDescent="0.25">
      <c r="A44" s="17"/>
      <c r="B44" s="7"/>
      <c r="C44" s="7"/>
      <c r="D44" s="7"/>
      <c r="E44" s="3"/>
      <c r="F44" s="5"/>
      <c r="G44" s="5"/>
      <c r="H44" s="16">
        <f>M32/D31</f>
        <v>7</v>
      </c>
      <c r="I44" s="25"/>
      <c r="J44" s="5"/>
      <c r="K44" s="5"/>
      <c r="L44" s="5"/>
      <c r="M44" s="5"/>
      <c r="N44" s="5"/>
      <c r="O44" s="25"/>
      <c r="P44" s="5"/>
      <c r="Q44" s="5"/>
      <c r="R44" s="5"/>
      <c r="S44" s="5"/>
      <c r="T44" s="6"/>
      <c r="U44" s="45"/>
      <c r="V44" s="45"/>
    </row>
    <row r="45" spans="1:22" s="18" customFormat="1" ht="20.25" customHeight="1" x14ac:dyDescent="0.25">
      <c r="A45" s="17"/>
      <c r="B45" s="7"/>
      <c r="C45" s="7"/>
      <c r="D45" s="7"/>
      <c r="E45" s="3"/>
      <c r="F45" s="5"/>
      <c r="G45" s="5"/>
      <c r="H45" s="16">
        <f>N32/D31</f>
        <v>7</v>
      </c>
      <c r="I45" s="25"/>
      <c r="J45" s="5"/>
      <c r="K45" s="5"/>
      <c r="L45" s="5"/>
      <c r="M45" s="5"/>
      <c r="N45" s="5"/>
      <c r="O45" s="25"/>
      <c r="P45" s="5"/>
      <c r="Q45" s="5"/>
      <c r="R45" s="5"/>
      <c r="S45" s="5"/>
      <c r="T45" s="6"/>
      <c r="U45" s="45"/>
      <c r="V45" s="45"/>
    </row>
    <row r="46" spans="1:22" s="18" customFormat="1" ht="20.25" customHeight="1" x14ac:dyDescent="0.25">
      <c r="A46" s="17"/>
      <c r="B46" s="7"/>
      <c r="C46" s="7"/>
      <c r="D46" s="7"/>
      <c r="E46" s="3"/>
      <c r="F46" s="5"/>
      <c r="G46" s="5"/>
      <c r="H46" s="16">
        <f>O32/D31</f>
        <v>7</v>
      </c>
      <c r="I46" s="25"/>
      <c r="J46" s="5"/>
      <c r="K46" s="5"/>
      <c r="L46" s="5"/>
      <c r="M46" s="5"/>
      <c r="N46" s="5"/>
      <c r="O46" s="25"/>
      <c r="P46" s="5"/>
      <c r="Q46" s="5"/>
      <c r="R46" s="5"/>
      <c r="S46" s="5"/>
      <c r="T46" s="6"/>
      <c r="U46" s="45"/>
      <c r="V46" s="45"/>
    </row>
    <row r="47" spans="1:22" s="18" customFormat="1" ht="20.25" customHeight="1" x14ac:dyDescent="0.25">
      <c r="A47" s="17"/>
      <c r="B47" s="7"/>
      <c r="C47" s="7"/>
      <c r="D47" s="7"/>
      <c r="E47" s="3"/>
      <c r="F47" s="5"/>
      <c r="G47" s="5"/>
      <c r="H47" s="16">
        <f>P32/D31</f>
        <v>8</v>
      </c>
      <c r="I47" s="25"/>
      <c r="J47" s="5"/>
      <c r="K47" s="5"/>
      <c r="L47" s="5"/>
      <c r="M47" s="5"/>
      <c r="N47" s="5"/>
      <c r="O47" s="25"/>
      <c r="P47" s="5"/>
      <c r="Q47" s="5"/>
      <c r="R47" s="5"/>
      <c r="S47" s="5"/>
      <c r="T47" s="6"/>
      <c r="U47" s="45"/>
      <c r="V47" s="45"/>
    </row>
    <row r="48" spans="1:22" s="18" customFormat="1" ht="20.25" customHeight="1" x14ac:dyDescent="0.25">
      <c r="A48" s="17"/>
      <c r="B48" s="7"/>
      <c r="C48" s="7"/>
      <c r="D48" s="7"/>
      <c r="E48" s="3"/>
      <c r="F48" s="5"/>
      <c r="G48" s="5"/>
      <c r="H48" s="16">
        <f>Q32/D31</f>
        <v>8</v>
      </c>
      <c r="I48" s="25"/>
      <c r="J48" s="5"/>
      <c r="K48" s="5"/>
      <c r="L48" s="5"/>
      <c r="M48" s="5"/>
      <c r="N48" s="5"/>
      <c r="O48" s="25"/>
      <c r="P48" s="5"/>
      <c r="Q48" s="5"/>
      <c r="R48" s="5"/>
      <c r="S48" s="5"/>
      <c r="T48" s="6"/>
      <c r="U48" s="45"/>
      <c r="V48" s="45"/>
    </row>
    <row r="49" spans="1:22" s="18" customFormat="1" ht="20.25" customHeight="1" x14ac:dyDescent="0.25">
      <c r="A49" s="17"/>
      <c r="B49" s="7"/>
      <c r="C49" s="7"/>
      <c r="D49" s="7"/>
      <c r="E49" s="3"/>
      <c r="F49" s="5"/>
      <c r="G49" s="5"/>
      <c r="H49" s="16">
        <f>R32/D31</f>
        <v>8</v>
      </c>
      <c r="I49" s="25"/>
      <c r="J49" s="5"/>
      <c r="K49" s="5"/>
      <c r="L49" s="5"/>
      <c r="M49" s="5"/>
      <c r="N49" s="5"/>
      <c r="O49" s="25"/>
      <c r="P49" s="5"/>
      <c r="Q49" s="5"/>
      <c r="R49" s="5"/>
      <c r="S49" s="5"/>
      <c r="T49" s="6"/>
      <c r="U49" s="45"/>
      <c r="V49" s="45"/>
    </row>
    <row r="50" spans="1:22" s="18" customFormat="1" ht="25.15" customHeight="1" x14ac:dyDescent="0.25">
      <c r="A50" s="17"/>
      <c r="B50" s="7"/>
      <c r="C50" s="7"/>
      <c r="D50" s="7"/>
      <c r="E50" s="3"/>
      <c r="F50" s="5"/>
      <c r="G50" s="5"/>
      <c r="H50" s="16">
        <f>S32/D31</f>
        <v>8</v>
      </c>
      <c r="I50" s="25"/>
      <c r="J50" s="5"/>
      <c r="K50" s="5"/>
      <c r="L50" s="5"/>
      <c r="M50" s="5"/>
      <c r="N50" s="5"/>
      <c r="O50" s="25"/>
      <c r="P50" s="5"/>
      <c r="Q50" s="5"/>
      <c r="R50" s="5"/>
      <c r="S50" s="5"/>
      <c r="T50" s="6"/>
      <c r="U50" s="45"/>
      <c r="V50" s="45"/>
    </row>
    <row r="51" spans="1:22" s="18" customFormat="1" ht="15" customHeight="1" x14ac:dyDescent="0.25">
      <c r="A51" s="17"/>
      <c r="B51" s="7"/>
      <c r="C51" s="7"/>
      <c r="D51" s="7"/>
      <c r="E51" s="3"/>
      <c r="F51" s="5"/>
      <c r="G51" s="5"/>
      <c r="H51" s="15">
        <f>SUM(H37:H50)</f>
        <v>96</v>
      </c>
      <c r="I51" s="25"/>
      <c r="J51" s="5"/>
      <c r="K51" s="5"/>
      <c r="L51" s="5"/>
      <c r="M51" s="5"/>
      <c r="N51" s="5"/>
      <c r="O51" s="25"/>
      <c r="P51" s="5"/>
      <c r="Q51" s="5"/>
      <c r="R51" s="5"/>
      <c r="S51" s="5"/>
      <c r="T51" s="6"/>
      <c r="U51" s="45"/>
      <c r="V51" s="45"/>
    </row>
    <row r="52" spans="1:22" s="18" customFormat="1" ht="15" customHeight="1" x14ac:dyDescent="0.25">
      <c r="A52" s="17"/>
      <c r="B52" s="7"/>
      <c r="C52" s="7"/>
      <c r="D52" s="7"/>
      <c r="E52" s="3"/>
      <c r="F52" s="5"/>
      <c r="G52" s="5"/>
      <c r="H52" s="5"/>
      <c r="I52" s="25"/>
      <c r="J52" s="5"/>
      <c r="K52" s="5"/>
      <c r="L52" s="5"/>
      <c r="M52" s="5"/>
      <c r="N52" s="5"/>
      <c r="O52" s="25"/>
      <c r="P52" s="5"/>
      <c r="Q52" s="5"/>
      <c r="R52" s="5"/>
      <c r="S52" s="5"/>
      <c r="T52" s="6"/>
      <c r="U52" s="45"/>
      <c r="V52" s="45"/>
    </row>
    <row r="53" spans="1:22" s="18" customFormat="1" ht="15" customHeight="1" x14ac:dyDescent="0.25">
      <c r="A53" s="17"/>
      <c r="B53" s="7"/>
      <c r="C53" s="7"/>
      <c r="D53" s="7"/>
      <c r="E53" s="3"/>
      <c r="F53" s="5"/>
      <c r="G53" s="5"/>
      <c r="H53" s="5"/>
      <c r="I53" s="25"/>
      <c r="J53" s="5"/>
      <c r="K53" s="5"/>
      <c r="L53" s="5"/>
      <c r="M53" s="5"/>
      <c r="N53" s="5"/>
      <c r="O53" s="25"/>
      <c r="P53" s="5"/>
      <c r="Q53" s="5"/>
      <c r="R53" s="5"/>
      <c r="S53" s="5"/>
      <c r="T53" s="6"/>
      <c r="U53" s="45"/>
      <c r="V53" s="45"/>
    </row>
    <row r="54" spans="1:22" s="18" customFormat="1" ht="15" customHeight="1" x14ac:dyDescent="0.25">
      <c r="A54" s="17"/>
      <c r="B54" s="7"/>
      <c r="C54" s="7"/>
      <c r="D54" s="7"/>
      <c r="E54" s="3"/>
      <c r="F54" s="5"/>
      <c r="G54" s="5"/>
      <c r="H54" s="5"/>
      <c r="I54" s="25"/>
      <c r="J54" s="5"/>
      <c r="K54" s="5"/>
      <c r="L54" s="5"/>
      <c r="M54" s="5"/>
      <c r="N54" s="5"/>
      <c r="O54" s="25"/>
      <c r="P54" s="5"/>
      <c r="Q54" s="5"/>
      <c r="R54" s="5"/>
      <c r="S54" s="5"/>
      <c r="T54" s="6"/>
      <c r="U54" s="45"/>
      <c r="V54" s="45"/>
    </row>
    <row r="55" spans="1:22" s="18" customFormat="1" ht="15" customHeight="1" x14ac:dyDescent="0.25">
      <c r="A55" s="17"/>
      <c r="B55" s="7"/>
      <c r="C55" s="7"/>
      <c r="D55" s="7"/>
      <c r="E55" s="3"/>
      <c r="F55" s="5"/>
      <c r="G55" s="5"/>
      <c r="H55" s="5"/>
      <c r="I55" s="25"/>
      <c r="J55" s="5"/>
      <c r="K55" s="5"/>
      <c r="L55" s="5"/>
      <c r="M55" s="5"/>
      <c r="N55" s="5"/>
      <c r="O55" s="25"/>
      <c r="P55" s="5"/>
      <c r="Q55" s="5"/>
      <c r="R55" s="5"/>
      <c r="S55" s="5"/>
      <c r="T55" s="6"/>
      <c r="U55" s="45"/>
      <c r="V55" s="45"/>
    </row>
    <row r="56" spans="1:22" s="18" customFormat="1" ht="15" customHeight="1" x14ac:dyDescent="0.25">
      <c r="A56" s="17"/>
      <c r="B56" s="7"/>
      <c r="C56" s="7"/>
      <c r="D56" s="7"/>
      <c r="E56" s="3"/>
      <c r="F56" s="5"/>
      <c r="G56" s="5"/>
      <c r="H56" s="5"/>
      <c r="I56" s="25"/>
      <c r="J56" s="5"/>
      <c r="K56" s="5"/>
      <c r="L56" s="5"/>
      <c r="M56" s="5"/>
      <c r="N56" s="5"/>
      <c r="O56" s="25"/>
      <c r="P56" s="5"/>
      <c r="Q56" s="5"/>
      <c r="R56" s="5"/>
      <c r="S56" s="5"/>
      <c r="T56" s="6"/>
      <c r="U56" s="45"/>
      <c r="V56" s="45"/>
    </row>
    <row r="57" spans="1:22" s="18" customFormat="1" ht="15" customHeight="1" x14ac:dyDescent="0.25">
      <c r="A57" s="17"/>
      <c r="B57" s="7"/>
      <c r="C57" s="7"/>
      <c r="D57" s="7"/>
      <c r="E57" s="3"/>
      <c r="F57" s="5"/>
      <c r="G57" s="5"/>
      <c r="H57" s="5"/>
      <c r="I57" s="25"/>
      <c r="J57" s="5"/>
      <c r="K57" s="5"/>
      <c r="L57" s="5"/>
      <c r="M57" s="5"/>
      <c r="N57" s="5"/>
      <c r="O57" s="25"/>
      <c r="P57" s="5"/>
      <c r="Q57" s="5"/>
      <c r="R57" s="5"/>
      <c r="S57" s="5"/>
      <c r="T57" s="6"/>
      <c r="U57" s="45"/>
      <c r="V57" s="45"/>
    </row>
    <row r="58" spans="1:22" s="18" customFormat="1" ht="15" customHeight="1" x14ac:dyDescent="0.25">
      <c r="A58" s="17"/>
      <c r="B58" s="7"/>
      <c r="C58" s="7"/>
      <c r="D58" s="7"/>
      <c r="E58" s="3"/>
      <c r="F58" s="5"/>
      <c r="G58" s="5"/>
      <c r="H58" s="5"/>
      <c r="I58" s="25"/>
      <c r="J58" s="5"/>
      <c r="K58" s="5"/>
      <c r="L58" s="5"/>
      <c r="M58" s="5"/>
      <c r="N58" s="5"/>
      <c r="O58" s="25"/>
      <c r="P58" s="5"/>
      <c r="Q58" s="5"/>
      <c r="R58" s="5"/>
      <c r="S58" s="5"/>
      <c r="T58" s="6"/>
      <c r="U58" s="45"/>
      <c r="V58" s="45"/>
    </row>
    <row r="59" spans="1:22" s="18" customFormat="1" ht="15" customHeight="1" x14ac:dyDescent="0.25">
      <c r="A59" s="17"/>
      <c r="B59" s="7"/>
      <c r="C59" s="7"/>
      <c r="D59" s="7"/>
      <c r="E59" s="3"/>
      <c r="F59" s="5"/>
      <c r="G59" s="5"/>
      <c r="H59" s="5"/>
      <c r="I59" s="25"/>
      <c r="J59" s="5"/>
      <c r="K59" s="5"/>
      <c r="L59" s="5"/>
      <c r="M59" s="5"/>
      <c r="N59" s="5"/>
      <c r="O59" s="25"/>
      <c r="P59" s="5"/>
      <c r="Q59" s="5"/>
      <c r="R59" s="5"/>
      <c r="S59" s="5"/>
      <c r="T59" s="6"/>
      <c r="U59" s="45"/>
      <c r="V59" s="45"/>
    </row>
    <row r="60" spans="1:22" s="18" customFormat="1" ht="15" customHeight="1" x14ac:dyDescent="0.25">
      <c r="A60" s="17"/>
      <c r="B60" s="7"/>
      <c r="C60" s="7"/>
      <c r="D60" s="7"/>
      <c r="E60" s="3"/>
      <c r="F60" s="5"/>
      <c r="G60" s="5"/>
      <c r="H60" s="5"/>
      <c r="I60" s="25"/>
      <c r="J60" s="5"/>
      <c r="K60" s="5"/>
      <c r="L60" s="5"/>
      <c r="M60" s="5"/>
      <c r="N60" s="5"/>
      <c r="O60" s="25"/>
      <c r="P60" s="5"/>
      <c r="Q60" s="5"/>
      <c r="R60" s="5"/>
      <c r="S60" s="5"/>
      <c r="T60" s="6"/>
      <c r="U60" s="45"/>
      <c r="V60" s="45"/>
    </row>
    <row r="61" spans="1:22" s="18" customFormat="1" ht="15" customHeight="1" x14ac:dyDescent="0.25">
      <c r="A61" s="17"/>
      <c r="B61" s="7"/>
      <c r="C61" s="7"/>
      <c r="D61" s="7"/>
      <c r="E61" s="3"/>
      <c r="F61" s="5"/>
      <c r="G61" s="5"/>
      <c r="H61" s="5"/>
      <c r="I61" s="25"/>
      <c r="J61" s="5"/>
      <c r="K61" s="5"/>
      <c r="L61" s="5"/>
      <c r="M61" s="5"/>
      <c r="N61" s="5"/>
      <c r="O61" s="25"/>
      <c r="P61" s="5"/>
      <c r="Q61" s="5"/>
      <c r="R61" s="5"/>
      <c r="S61" s="5"/>
      <c r="T61" s="6"/>
      <c r="U61" s="45"/>
      <c r="V61" s="45"/>
    </row>
    <row r="62" spans="1:22" s="18" customFormat="1" ht="15" customHeight="1" x14ac:dyDescent="0.25">
      <c r="A62" s="17"/>
      <c r="B62" s="7"/>
      <c r="C62" s="7"/>
      <c r="D62" s="7"/>
      <c r="E62" s="3"/>
      <c r="F62" s="5"/>
      <c r="G62" s="5"/>
      <c r="H62" s="5"/>
      <c r="I62" s="25"/>
      <c r="J62" s="5"/>
      <c r="K62" s="5"/>
      <c r="L62" s="5"/>
      <c r="M62" s="5"/>
      <c r="N62" s="5"/>
      <c r="O62" s="25"/>
      <c r="P62" s="5"/>
      <c r="Q62" s="5"/>
      <c r="R62" s="5"/>
      <c r="S62" s="5"/>
      <c r="T62" s="6"/>
      <c r="U62" s="45"/>
      <c r="V62" s="45"/>
    </row>
    <row r="63" spans="1:22" s="18" customFormat="1" ht="15" customHeight="1" x14ac:dyDescent="0.25">
      <c r="A63" s="17"/>
      <c r="B63" s="7"/>
      <c r="C63" s="7"/>
      <c r="D63" s="7"/>
      <c r="E63" s="3"/>
      <c r="F63" s="5"/>
      <c r="G63" s="5"/>
      <c r="H63" s="5"/>
      <c r="I63" s="25"/>
      <c r="J63" s="5"/>
      <c r="K63" s="5"/>
      <c r="L63" s="5"/>
      <c r="M63" s="5"/>
      <c r="N63" s="5"/>
      <c r="O63" s="25"/>
      <c r="P63" s="5"/>
      <c r="Q63" s="5"/>
      <c r="R63" s="5"/>
      <c r="S63" s="5"/>
      <c r="T63" s="6"/>
      <c r="U63" s="45"/>
      <c r="V63" s="45"/>
    </row>
    <row r="64" spans="1:22" s="18" customFormat="1" ht="15" customHeight="1" x14ac:dyDescent="0.25">
      <c r="A64" s="17"/>
      <c r="B64" s="7"/>
      <c r="C64" s="7"/>
      <c r="D64" s="7"/>
      <c r="E64" s="3"/>
      <c r="F64" s="5"/>
      <c r="G64" s="5"/>
      <c r="H64" s="5"/>
      <c r="I64" s="25"/>
      <c r="J64" s="5"/>
      <c r="K64" s="5"/>
      <c r="L64" s="5"/>
      <c r="M64" s="5"/>
      <c r="N64" s="5"/>
      <c r="O64" s="25"/>
      <c r="P64" s="5"/>
      <c r="Q64" s="5"/>
      <c r="R64" s="5"/>
      <c r="S64" s="5"/>
      <c r="T64" s="6"/>
      <c r="U64" s="45"/>
      <c r="V64" s="45"/>
    </row>
    <row r="65" spans="1:22" s="18" customFormat="1" ht="15" customHeight="1" x14ac:dyDescent="0.25">
      <c r="A65" s="17"/>
      <c r="B65" s="7"/>
      <c r="C65" s="7"/>
      <c r="D65" s="7"/>
      <c r="E65" s="3"/>
      <c r="F65" s="5"/>
      <c r="G65" s="5"/>
      <c r="H65" s="5"/>
      <c r="I65" s="25"/>
      <c r="J65" s="5"/>
      <c r="K65" s="5"/>
      <c r="L65" s="5"/>
      <c r="M65" s="5"/>
      <c r="N65" s="5"/>
      <c r="O65" s="25"/>
      <c r="P65" s="5"/>
      <c r="Q65" s="5"/>
      <c r="R65" s="5"/>
      <c r="S65" s="5"/>
      <c r="T65" s="6"/>
      <c r="U65" s="45"/>
      <c r="V65" s="45"/>
    </row>
    <row r="66" spans="1:22" s="18" customFormat="1" ht="15" customHeight="1" x14ac:dyDescent="0.25">
      <c r="A66" s="17"/>
      <c r="B66" s="7"/>
      <c r="C66" s="7"/>
      <c r="D66" s="7"/>
      <c r="E66" s="3"/>
      <c r="F66" s="5"/>
      <c r="G66" s="5"/>
      <c r="H66" s="5"/>
      <c r="I66" s="25"/>
      <c r="J66" s="5"/>
      <c r="K66" s="5"/>
      <c r="L66" s="5"/>
      <c r="M66" s="5"/>
      <c r="N66" s="5"/>
      <c r="O66" s="25"/>
      <c r="P66" s="5"/>
      <c r="Q66" s="5"/>
      <c r="R66" s="5"/>
      <c r="S66" s="5"/>
      <c r="T66" s="6"/>
      <c r="U66" s="45"/>
      <c r="V66" s="45"/>
    </row>
    <row r="67" spans="1:22" s="18" customFormat="1" ht="15" customHeight="1" x14ac:dyDescent="0.25">
      <c r="A67" s="17"/>
      <c r="B67" s="7"/>
      <c r="C67" s="7"/>
      <c r="D67" s="7"/>
      <c r="E67" s="3"/>
      <c r="F67" s="5"/>
      <c r="G67" s="5"/>
      <c r="H67" s="5"/>
      <c r="I67" s="25"/>
      <c r="J67" s="5"/>
      <c r="K67" s="5"/>
      <c r="L67" s="5"/>
      <c r="M67" s="5"/>
      <c r="N67" s="5"/>
      <c r="O67" s="25"/>
      <c r="P67" s="5"/>
      <c r="Q67" s="5"/>
      <c r="R67" s="5"/>
      <c r="S67" s="5"/>
      <c r="T67" s="6"/>
      <c r="U67" s="45"/>
      <c r="V67" s="45"/>
    </row>
    <row r="68" spans="1:22" s="18" customFormat="1" ht="15" customHeight="1" x14ac:dyDescent="0.25">
      <c r="A68" s="17"/>
      <c r="B68" s="7"/>
      <c r="C68" s="7"/>
      <c r="D68" s="7"/>
      <c r="E68" s="3"/>
      <c r="F68" s="5"/>
      <c r="G68" s="5"/>
      <c r="H68" s="5"/>
      <c r="I68" s="25"/>
      <c r="J68" s="5"/>
      <c r="K68" s="5"/>
      <c r="L68" s="5"/>
      <c r="M68" s="5"/>
      <c r="N68" s="5"/>
      <c r="O68" s="25"/>
      <c r="P68" s="5"/>
      <c r="Q68" s="5"/>
      <c r="R68" s="5"/>
      <c r="S68" s="5"/>
      <c r="T68" s="6"/>
      <c r="U68" s="45"/>
      <c r="V68" s="45"/>
    </row>
    <row r="69" spans="1:22" s="18" customFormat="1" ht="15" customHeight="1" x14ac:dyDescent="0.25">
      <c r="A69" s="17"/>
      <c r="B69" s="7"/>
      <c r="C69" s="7"/>
      <c r="D69" s="7"/>
      <c r="E69" s="3"/>
      <c r="F69" s="5"/>
      <c r="G69" s="5"/>
      <c r="H69" s="5"/>
      <c r="I69" s="25"/>
      <c r="J69" s="5"/>
      <c r="K69" s="5"/>
      <c r="L69" s="5"/>
      <c r="M69" s="5"/>
      <c r="N69" s="5"/>
      <c r="O69" s="25"/>
      <c r="P69" s="5"/>
      <c r="Q69" s="5"/>
      <c r="R69" s="5"/>
      <c r="S69" s="5"/>
      <c r="T69" s="6"/>
      <c r="U69" s="45"/>
      <c r="V69" s="45"/>
    </row>
    <row r="70" spans="1:22" s="18" customFormat="1" ht="15" customHeight="1" x14ac:dyDescent="0.25">
      <c r="A70" s="17"/>
      <c r="B70" s="7"/>
      <c r="C70" s="7"/>
      <c r="D70" s="7"/>
      <c r="E70" s="3"/>
      <c r="F70" s="5"/>
      <c r="G70" s="5"/>
      <c r="H70" s="5"/>
      <c r="I70" s="25"/>
      <c r="J70" s="5"/>
      <c r="K70" s="5"/>
      <c r="L70" s="5"/>
      <c r="M70" s="5"/>
      <c r="N70" s="5"/>
      <c r="O70" s="25"/>
      <c r="P70" s="5"/>
      <c r="Q70" s="5"/>
      <c r="R70" s="5"/>
      <c r="S70" s="5"/>
      <c r="T70" s="6"/>
      <c r="U70" s="45"/>
      <c r="V70" s="45"/>
    </row>
    <row r="71" spans="1:22" s="18" customFormat="1" ht="15" customHeight="1" x14ac:dyDescent="0.25">
      <c r="A71" s="17"/>
      <c r="B71" s="7"/>
      <c r="C71" s="7"/>
      <c r="D71" s="7"/>
      <c r="E71" s="3"/>
      <c r="F71" s="5"/>
      <c r="G71" s="5"/>
      <c r="H71" s="5"/>
      <c r="I71" s="25"/>
      <c r="J71" s="5"/>
      <c r="K71" s="5"/>
      <c r="L71" s="5"/>
      <c r="M71" s="5"/>
      <c r="N71" s="5"/>
      <c r="O71" s="25"/>
      <c r="P71" s="5"/>
      <c r="Q71" s="5"/>
      <c r="R71" s="5"/>
      <c r="S71" s="5"/>
      <c r="T71" s="6"/>
      <c r="U71" s="45"/>
      <c r="V71" s="45"/>
    </row>
    <row r="72" spans="1:22" s="18" customFormat="1" ht="15" customHeight="1" x14ac:dyDescent="0.25">
      <c r="A72" s="17"/>
      <c r="B72" s="7"/>
      <c r="C72" s="7"/>
      <c r="D72" s="7"/>
      <c r="E72" s="3"/>
      <c r="F72" s="5"/>
      <c r="G72" s="5"/>
      <c r="H72" s="5"/>
      <c r="I72" s="25"/>
      <c r="J72" s="5"/>
      <c r="K72" s="5"/>
      <c r="L72" s="5"/>
      <c r="M72" s="5"/>
      <c r="N72" s="5"/>
      <c r="O72" s="25"/>
      <c r="P72" s="5"/>
      <c r="Q72" s="5"/>
      <c r="R72" s="5"/>
      <c r="S72" s="5"/>
      <c r="T72" s="6"/>
      <c r="U72" s="45"/>
      <c r="V72" s="45"/>
    </row>
    <row r="73" spans="1:22" s="18" customFormat="1" ht="15" customHeight="1" x14ac:dyDescent="0.25">
      <c r="A73" s="17"/>
      <c r="B73" s="7"/>
      <c r="C73" s="7"/>
      <c r="D73" s="7"/>
      <c r="E73" s="3"/>
      <c r="F73" s="5"/>
      <c r="G73" s="5"/>
      <c r="H73" s="5"/>
      <c r="I73" s="25"/>
      <c r="J73" s="5"/>
      <c r="K73" s="5"/>
      <c r="L73" s="5"/>
      <c r="M73" s="5"/>
      <c r="N73" s="5"/>
      <c r="O73" s="25"/>
      <c r="P73" s="5"/>
      <c r="Q73" s="5"/>
      <c r="R73" s="5"/>
      <c r="S73" s="5"/>
      <c r="T73" s="6"/>
      <c r="U73" s="45"/>
      <c r="V73" s="45"/>
    </row>
    <row r="74" spans="1:22" s="18" customFormat="1" ht="15" customHeight="1" x14ac:dyDescent="0.25">
      <c r="A74" s="17"/>
      <c r="B74" s="7"/>
      <c r="C74" s="7"/>
      <c r="D74" s="7"/>
      <c r="E74" s="3"/>
      <c r="F74" s="5"/>
      <c r="G74" s="5"/>
      <c r="H74" s="5"/>
      <c r="I74" s="25"/>
      <c r="J74" s="5"/>
      <c r="K74" s="5"/>
      <c r="L74" s="5"/>
      <c r="M74" s="5"/>
      <c r="N74" s="5"/>
      <c r="O74" s="25"/>
      <c r="P74" s="5"/>
      <c r="Q74" s="5"/>
      <c r="R74" s="5"/>
      <c r="S74" s="5"/>
      <c r="T74" s="6"/>
      <c r="U74" s="45"/>
      <c r="V74" s="45"/>
    </row>
    <row r="75" spans="1:22" s="18" customFormat="1" ht="15" customHeight="1" x14ac:dyDescent="0.25">
      <c r="A75" s="17"/>
      <c r="B75" s="7"/>
      <c r="C75" s="7"/>
      <c r="D75" s="7"/>
      <c r="E75" s="3"/>
      <c r="F75" s="5"/>
      <c r="G75" s="5"/>
      <c r="H75" s="5"/>
      <c r="I75" s="25"/>
      <c r="J75" s="5"/>
      <c r="K75" s="5"/>
      <c r="L75" s="5"/>
      <c r="M75" s="5"/>
      <c r="N75" s="5"/>
      <c r="O75" s="25"/>
      <c r="P75" s="5"/>
      <c r="Q75" s="5"/>
      <c r="R75" s="5"/>
      <c r="S75" s="5"/>
      <c r="T75" s="6"/>
      <c r="U75" s="45"/>
      <c r="V75" s="45"/>
    </row>
    <row r="76" spans="1:22" s="18" customFormat="1" ht="15" customHeight="1" x14ac:dyDescent="0.25">
      <c r="A76" s="17"/>
      <c r="B76" s="7"/>
      <c r="C76" s="7"/>
      <c r="D76" s="7"/>
      <c r="E76" s="3"/>
      <c r="F76" s="5"/>
      <c r="G76" s="5"/>
      <c r="H76" s="5"/>
      <c r="I76" s="25"/>
      <c r="J76" s="5"/>
      <c r="K76" s="5"/>
      <c r="L76" s="5"/>
      <c r="M76" s="5"/>
      <c r="N76" s="5"/>
      <c r="O76" s="25"/>
      <c r="P76" s="5"/>
      <c r="Q76" s="5"/>
      <c r="R76" s="5"/>
      <c r="S76" s="5"/>
      <c r="T76" s="6"/>
      <c r="U76" s="45"/>
      <c r="V76" s="45"/>
    </row>
    <row r="77" spans="1:22" ht="15" customHeight="1" x14ac:dyDescent="0.25">
      <c r="A77" s="17"/>
    </row>
    <row r="78" spans="1:22" ht="15" customHeight="1" x14ac:dyDescent="0.25">
      <c r="A78" s="17"/>
    </row>
    <row r="79" spans="1:22" ht="15" customHeight="1" x14ac:dyDescent="0.25">
      <c r="A79" s="17"/>
    </row>
    <row r="80" spans="1:22" ht="15" customHeight="1" x14ac:dyDescent="0.25">
      <c r="A80" s="17"/>
    </row>
    <row r="81" spans="1:22" ht="15" customHeight="1" x14ac:dyDescent="0.25">
      <c r="A81" s="17"/>
    </row>
    <row r="82" spans="1:22" ht="15" customHeight="1" x14ac:dyDescent="0.25">
      <c r="A82" s="17"/>
    </row>
    <row r="83" spans="1:22" ht="15" customHeight="1" x14ac:dyDescent="0.25">
      <c r="A83" s="17"/>
    </row>
    <row r="84" spans="1:22" ht="15" customHeight="1" x14ac:dyDescent="0.25">
      <c r="A84" s="17"/>
    </row>
    <row r="85" spans="1:22" ht="15" customHeight="1" x14ac:dyDescent="0.25">
      <c r="A85" s="17"/>
    </row>
    <row r="86" spans="1:22" ht="15" customHeight="1" x14ac:dyDescent="0.25">
      <c r="A86" s="17"/>
      <c r="G86"/>
      <c r="J86"/>
      <c r="K86"/>
      <c r="L86"/>
      <c r="M86"/>
      <c r="N86"/>
      <c r="P86"/>
      <c r="Q86"/>
      <c r="R86"/>
      <c r="S86"/>
      <c r="T86"/>
    </row>
    <row r="87" spans="1:22" ht="15" customHeight="1" x14ac:dyDescent="0.25">
      <c r="A87" s="17"/>
      <c r="G87"/>
      <c r="H87"/>
      <c r="J87"/>
      <c r="K87"/>
      <c r="L87"/>
      <c r="M87"/>
      <c r="N87"/>
      <c r="P87"/>
      <c r="Q87"/>
      <c r="R87"/>
      <c r="S87"/>
      <c r="T87"/>
    </row>
    <row r="88" spans="1:22" ht="15" customHeight="1" x14ac:dyDescent="0.25">
      <c r="A88" s="17"/>
      <c r="G88"/>
      <c r="H88"/>
      <c r="J88"/>
      <c r="K88"/>
      <c r="L88"/>
      <c r="M88"/>
      <c r="N88"/>
      <c r="P88"/>
      <c r="Q88"/>
      <c r="R88"/>
      <c r="S88"/>
      <c r="T88"/>
    </row>
    <row r="89" spans="1:22" ht="15" customHeight="1" x14ac:dyDescent="0.25">
      <c r="A89" s="17"/>
      <c r="G89"/>
      <c r="H89"/>
      <c r="J89"/>
      <c r="K89"/>
      <c r="L89"/>
      <c r="M89"/>
      <c r="N89"/>
      <c r="P89"/>
      <c r="Q89"/>
      <c r="R89"/>
      <c r="S89"/>
      <c r="T89"/>
    </row>
    <row r="90" spans="1:22" ht="15" customHeight="1" x14ac:dyDescent="0.25">
      <c r="A90" s="17"/>
      <c r="G90"/>
      <c r="H90"/>
      <c r="J90"/>
      <c r="K90"/>
      <c r="L90"/>
      <c r="M90"/>
      <c r="N90"/>
      <c r="P90"/>
      <c r="Q90"/>
      <c r="R90"/>
      <c r="S90"/>
      <c r="T90"/>
    </row>
    <row r="91" spans="1:22" ht="15" customHeight="1" x14ac:dyDescent="0.25">
      <c r="A91" s="17"/>
      <c r="G91"/>
      <c r="H91"/>
      <c r="J91"/>
      <c r="K91"/>
      <c r="L91"/>
      <c r="M91"/>
      <c r="N91"/>
      <c r="P91"/>
      <c r="Q91"/>
      <c r="R91"/>
      <c r="S91"/>
      <c r="T91"/>
    </row>
    <row r="92" spans="1:22" ht="15" customHeight="1" x14ac:dyDescent="0.25">
      <c r="A92" s="17"/>
      <c r="G92"/>
      <c r="H92"/>
      <c r="J92"/>
      <c r="K92"/>
      <c r="L92"/>
      <c r="M92"/>
      <c r="N92"/>
      <c r="P92"/>
      <c r="Q92"/>
      <c r="R92"/>
      <c r="S92"/>
      <c r="T92"/>
    </row>
    <row r="93" spans="1:22" ht="15" customHeight="1" x14ac:dyDescent="0.25">
      <c r="A93" s="17"/>
      <c r="G93"/>
      <c r="H93"/>
      <c r="J93"/>
      <c r="K93"/>
      <c r="L93"/>
      <c r="M93"/>
      <c r="N93"/>
      <c r="P93"/>
      <c r="Q93"/>
      <c r="R93"/>
      <c r="S93"/>
      <c r="T93"/>
    </row>
    <row r="94" spans="1:22" ht="15" customHeight="1" x14ac:dyDescent="0.25">
      <c r="A94" s="17"/>
      <c r="G94"/>
      <c r="H94"/>
      <c r="J94"/>
      <c r="K94"/>
      <c r="L94"/>
      <c r="M94"/>
      <c r="N94"/>
      <c r="P94"/>
      <c r="Q94"/>
      <c r="R94"/>
      <c r="S94"/>
      <c r="T94"/>
    </row>
    <row r="95" spans="1:22" ht="15" customHeight="1" x14ac:dyDescent="0.25">
      <c r="A95" s="17"/>
      <c r="G95"/>
      <c r="H95"/>
      <c r="J95"/>
      <c r="K95"/>
      <c r="L95"/>
      <c r="M95"/>
      <c r="N95"/>
      <c r="P95"/>
      <c r="Q95"/>
      <c r="R95"/>
      <c r="S95"/>
      <c r="T95"/>
    </row>
    <row r="96" spans="1:22" ht="15" customHeight="1" x14ac:dyDescent="0.25">
      <c r="A96" s="17"/>
      <c r="G96"/>
      <c r="H96"/>
      <c r="J96"/>
      <c r="K96"/>
      <c r="L96"/>
      <c r="M96"/>
      <c r="N96"/>
      <c r="P96"/>
      <c r="Q96"/>
      <c r="R96"/>
      <c r="S96"/>
      <c r="T96"/>
      <c r="U96" s="46"/>
      <c r="V96" s="46"/>
    </row>
    <row r="97" spans="1:22" ht="15" customHeight="1" x14ac:dyDescent="0.25">
      <c r="A97" s="17"/>
      <c r="G97"/>
      <c r="H97"/>
      <c r="J97"/>
      <c r="K97"/>
      <c r="L97"/>
      <c r="M97"/>
      <c r="N97"/>
      <c r="P97"/>
      <c r="Q97"/>
      <c r="R97"/>
      <c r="S97"/>
      <c r="T97"/>
      <c r="U97" s="46"/>
      <c r="V97" s="46"/>
    </row>
    <row r="98" spans="1:22" ht="15" customHeight="1" x14ac:dyDescent="0.25">
      <c r="A98" s="17"/>
      <c r="G98"/>
      <c r="H98"/>
      <c r="J98"/>
      <c r="K98"/>
      <c r="L98"/>
      <c r="M98"/>
      <c r="N98"/>
      <c r="P98"/>
      <c r="Q98"/>
      <c r="R98"/>
      <c r="S98"/>
      <c r="T98"/>
      <c r="U98" s="46"/>
      <c r="V98" s="46"/>
    </row>
    <row r="99" spans="1:22" ht="15" customHeight="1" x14ac:dyDescent="0.25">
      <c r="A99" s="17"/>
      <c r="G99"/>
      <c r="H99"/>
      <c r="J99"/>
      <c r="K99"/>
      <c r="L99"/>
      <c r="M99"/>
      <c r="N99"/>
      <c r="P99"/>
      <c r="Q99"/>
      <c r="R99"/>
      <c r="S99"/>
      <c r="T99"/>
      <c r="U99" s="46"/>
      <c r="V99" s="46"/>
    </row>
    <row r="100" spans="1:22" ht="15" customHeight="1" x14ac:dyDescent="0.25">
      <c r="A100" s="17"/>
      <c r="G100"/>
      <c r="H100"/>
      <c r="J100"/>
      <c r="K100"/>
      <c r="L100"/>
      <c r="M100"/>
      <c r="N100"/>
      <c r="P100"/>
      <c r="Q100"/>
      <c r="R100"/>
      <c r="S100"/>
      <c r="T100"/>
      <c r="U100" s="46"/>
      <c r="V100" s="46"/>
    </row>
    <row r="101" spans="1:22" ht="15" customHeight="1" x14ac:dyDescent="0.25">
      <c r="A101" s="17"/>
      <c r="G101"/>
      <c r="H101"/>
      <c r="J101"/>
      <c r="K101"/>
      <c r="L101"/>
      <c r="M101"/>
      <c r="N101"/>
      <c r="P101"/>
      <c r="Q101"/>
      <c r="R101"/>
      <c r="S101"/>
      <c r="T101"/>
      <c r="U101" s="46"/>
      <c r="V101" s="46"/>
    </row>
    <row r="102" spans="1:22" ht="15" customHeight="1" x14ac:dyDescent="0.25">
      <c r="A102" s="17"/>
      <c r="G102"/>
      <c r="H102"/>
      <c r="J102"/>
      <c r="K102"/>
      <c r="L102"/>
      <c r="M102"/>
      <c r="N102"/>
      <c r="P102"/>
      <c r="Q102"/>
      <c r="R102"/>
      <c r="S102"/>
      <c r="T102"/>
      <c r="U102" s="46"/>
      <c r="V102" s="46"/>
    </row>
    <row r="103" spans="1:22" ht="15" customHeight="1" x14ac:dyDescent="0.25">
      <c r="A103" s="17"/>
      <c r="G103"/>
      <c r="H103"/>
      <c r="J103"/>
      <c r="K103"/>
      <c r="L103"/>
      <c r="M103"/>
      <c r="N103"/>
      <c r="P103"/>
      <c r="Q103"/>
      <c r="R103"/>
      <c r="S103"/>
      <c r="T103"/>
      <c r="U103" s="46"/>
      <c r="V103" s="46"/>
    </row>
    <row r="104" spans="1:22" ht="15" customHeight="1" x14ac:dyDescent="0.25">
      <c r="A104" s="17"/>
      <c r="G104"/>
      <c r="H104"/>
      <c r="J104"/>
      <c r="K104"/>
      <c r="L104"/>
      <c r="M104"/>
      <c r="N104"/>
      <c r="P104"/>
      <c r="Q104"/>
      <c r="R104"/>
      <c r="S104"/>
      <c r="T104"/>
      <c r="U104" s="46"/>
      <c r="V104" s="46"/>
    </row>
    <row r="105" spans="1:22" ht="15" customHeight="1" x14ac:dyDescent="0.25">
      <c r="A105" s="17"/>
      <c r="G105"/>
      <c r="H105"/>
      <c r="J105"/>
      <c r="K105"/>
      <c r="L105"/>
      <c r="M105"/>
      <c r="N105"/>
      <c r="P105"/>
      <c r="Q105"/>
      <c r="R105"/>
      <c r="S105"/>
      <c r="T105"/>
      <c r="U105" s="46"/>
      <c r="V105" s="46"/>
    </row>
    <row r="106" spans="1:22" ht="15" customHeight="1" x14ac:dyDescent="0.25">
      <c r="A106" s="17"/>
      <c r="G106"/>
      <c r="H106"/>
      <c r="J106"/>
      <c r="K106"/>
      <c r="L106"/>
      <c r="M106"/>
      <c r="N106"/>
      <c r="P106"/>
      <c r="Q106"/>
      <c r="R106"/>
      <c r="S106"/>
      <c r="T106"/>
      <c r="U106" s="46"/>
      <c r="V106" s="46"/>
    </row>
    <row r="107" spans="1:22" ht="15" customHeight="1" x14ac:dyDescent="0.25">
      <c r="A107" s="17"/>
      <c r="G107"/>
      <c r="H107"/>
      <c r="J107"/>
      <c r="K107"/>
      <c r="L107"/>
      <c r="M107"/>
      <c r="N107"/>
      <c r="P107"/>
      <c r="Q107"/>
      <c r="R107"/>
      <c r="S107"/>
      <c r="T107"/>
      <c r="U107" s="46"/>
      <c r="V107" s="46"/>
    </row>
    <row r="108" spans="1:22" ht="15" customHeight="1" x14ac:dyDescent="0.25">
      <c r="A108" s="17"/>
      <c r="G108"/>
      <c r="H108"/>
      <c r="J108"/>
      <c r="K108"/>
      <c r="L108"/>
      <c r="M108"/>
      <c r="N108"/>
      <c r="P108"/>
      <c r="Q108"/>
      <c r="R108"/>
      <c r="S108"/>
      <c r="T108"/>
      <c r="U108" s="46"/>
      <c r="V108" s="46"/>
    </row>
    <row r="109" spans="1:22" ht="15" customHeight="1" x14ac:dyDescent="0.25">
      <c r="A109" s="17"/>
      <c r="G109"/>
      <c r="H109"/>
      <c r="J109"/>
      <c r="K109"/>
      <c r="L109"/>
      <c r="M109"/>
      <c r="N109"/>
      <c r="P109"/>
      <c r="Q109"/>
      <c r="R109"/>
      <c r="S109"/>
      <c r="T109"/>
      <c r="U109" s="46"/>
      <c r="V109" s="46"/>
    </row>
    <row r="110" spans="1:22" ht="15" customHeight="1" x14ac:dyDescent="0.25">
      <c r="A110" s="17"/>
      <c r="G110"/>
      <c r="H110"/>
      <c r="J110"/>
      <c r="K110"/>
      <c r="L110"/>
      <c r="M110"/>
      <c r="N110"/>
      <c r="P110"/>
      <c r="Q110"/>
      <c r="R110"/>
      <c r="S110"/>
      <c r="T110"/>
      <c r="U110" s="46"/>
      <c r="V110" s="46"/>
    </row>
    <row r="111" spans="1:22" ht="15" customHeight="1" x14ac:dyDescent="0.25">
      <c r="A111" s="17"/>
      <c r="G111"/>
      <c r="H111"/>
      <c r="J111"/>
      <c r="K111"/>
      <c r="L111"/>
      <c r="M111"/>
      <c r="N111"/>
      <c r="P111"/>
      <c r="Q111"/>
      <c r="R111"/>
      <c r="S111"/>
      <c r="T111"/>
      <c r="U111" s="46"/>
      <c r="V111" s="46"/>
    </row>
    <row r="112" spans="1:22" ht="15" customHeight="1" x14ac:dyDescent="0.25">
      <c r="A112" s="17"/>
      <c r="G112"/>
      <c r="H112"/>
      <c r="J112"/>
      <c r="K112"/>
      <c r="L112"/>
      <c r="M112"/>
      <c r="N112"/>
      <c r="P112"/>
      <c r="Q112"/>
      <c r="R112"/>
      <c r="S112"/>
      <c r="T112"/>
      <c r="U112" s="46"/>
      <c r="V112" s="46"/>
    </row>
    <row r="113" spans="1:22" ht="15" customHeight="1" x14ac:dyDescent="0.25">
      <c r="A113" s="17"/>
      <c r="G113"/>
      <c r="H113"/>
      <c r="J113"/>
      <c r="K113"/>
      <c r="L113"/>
      <c r="M113"/>
      <c r="N113"/>
      <c r="P113"/>
      <c r="Q113"/>
      <c r="R113"/>
      <c r="S113"/>
      <c r="T113"/>
      <c r="U113" s="46"/>
      <c r="V113" s="46"/>
    </row>
    <row r="114" spans="1:22" ht="15" customHeight="1" x14ac:dyDescent="0.25">
      <c r="A114" s="17"/>
      <c r="G114"/>
      <c r="H114"/>
      <c r="J114"/>
      <c r="K114"/>
      <c r="L114"/>
      <c r="M114"/>
      <c r="N114"/>
      <c r="P114"/>
      <c r="Q114"/>
      <c r="R114"/>
      <c r="S114"/>
      <c r="T114"/>
      <c r="U114" s="46"/>
      <c r="V114" s="46"/>
    </row>
    <row r="115" spans="1:22" ht="15" customHeight="1" x14ac:dyDescent="0.25">
      <c r="A115" s="17"/>
      <c r="G115"/>
      <c r="H115"/>
      <c r="J115"/>
      <c r="K115"/>
      <c r="L115"/>
      <c r="M115"/>
      <c r="N115"/>
      <c r="P115"/>
      <c r="Q115"/>
      <c r="R115"/>
      <c r="S115"/>
      <c r="T115"/>
      <c r="U115" s="46"/>
      <c r="V115" s="46"/>
    </row>
    <row r="116" spans="1:22" ht="15" customHeight="1" x14ac:dyDescent="0.25">
      <c r="A116" s="17"/>
      <c r="G116"/>
      <c r="H116"/>
      <c r="J116"/>
      <c r="K116"/>
      <c r="L116"/>
      <c r="M116"/>
      <c r="N116"/>
      <c r="P116"/>
      <c r="Q116"/>
      <c r="R116"/>
      <c r="S116"/>
      <c r="T116"/>
      <c r="U116" s="46"/>
      <c r="V116" s="46"/>
    </row>
    <row r="117" spans="1:22" ht="15" customHeight="1" x14ac:dyDescent="0.25">
      <c r="A117" s="17"/>
      <c r="G117"/>
      <c r="H117"/>
      <c r="J117"/>
      <c r="K117"/>
      <c r="L117"/>
      <c r="M117"/>
      <c r="N117"/>
      <c r="P117"/>
      <c r="Q117"/>
      <c r="R117"/>
      <c r="S117"/>
      <c r="T117"/>
      <c r="U117" s="46"/>
      <c r="V117" s="46"/>
    </row>
    <row r="118" spans="1:22" ht="15" customHeight="1" x14ac:dyDescent="0.25">
      <c r="A118" s="17"/>
      <c r="G118"/>
      <c r="H118"/>
      <c r="J118"/>
      <c r="K118"/>
      <c r="L118"/>
      <c r="M118"/>
      <c r="N118"/>
      <c r="P118"/>
      <c r="Q118"/>
      <c r="R118"/>
      <c r="S118"/>
      <c r="T118"/>
      <c r="U118" s="46"/>
      <c r="V118" s="46"/>
    </row>
    <row r="119" spans="1:22" ht="15" customHeight="1" x14ac:dyDescent="0.25">
      <c r="A119" s="17"/>
      <c r="G119"/>
      <c r="H119"/>
      <c r="J119"/>
      <c r="K119"/>
      <c r="L119"/>
      <c r="M119"/>
      <c r="N119"/>
      <c r="P119"/>
      <c r="Q119"/>
      <c r="R119"/>
      <c r="S119"/>
      <c r="T119"/>
      <c r="U119" s="46"/>
      <c r="V119" s="46"/>
    </row>
    <row r="120" spans="1:22" ht="15" customHeight="1" x14ac:dyDescent="0.25">
      <c r="A120" s="17"/>
      <c r="G120"/>
      <c r="H120"/>
      <c r="J120"/>
      <c r="K120"/>
      <c r="L120"/>
      <c r="M120"/>
      <c r="N120"/>
      <c r="P120"/>
      <c r="Q120"/>
      <c r="R120"/>
      <c r="S120"/>
      <c r="T120"/>
      <c r="U120" s="46"/>
      <c r="V120" s="46"/>
    </row>
    <row r="121" spans="1:22" ht="15" customHeight="1" x14ac:dyDescent="0.25">
      <c r="A121" s="17"/>
      <c r="G121"/>
      <c r="H121"/>
      <c r="J121"/>
      <c r="K121"/>
      <c r="L121"/>
      <c r="M121"/>
      <c r="N121"/>
      <c r="P121"/>
      <c r="Q121"/>
      <c r="R121"/>
      <c r="S121"/>
      <c r="T121"/>
      <c r="U121" s="46"/>
      <c r="V121" s="46"/>
    </row>
    <row r="122" spans="1:22" ht="15" customHeight="1" x14ac:dyDescent="0.25">
      <c r="A122" s="17"/>
      <c r="G122"/>
      <c r="H122"/>
      <c r="J122"/>
      <c r="K122"/>
      <c r="L122"/>
      <c r="M122"/>
      <c r="N122"/>
      <c r="P122"/>
      <c r="Q122"/>
      <c r="R122"/>
      <c r="S122"/>
      <c r="T122"/>
      <c r="U122" s="46"/>
      <c r="V122" s="46"/>
    </row>
    <row r="123" spans="1:22" ht="15" customHeight="1" x14ac:dyDescent="0.25">
      <c r="A123" s="17"/>
      <c r="G123"/>
      <c r="H123"/>
      <c r="J123"/>
      <c r="K123"/>
      <c r="L123"/>
      <c r="M123"/>
      <c r="N123"/>
      <c r="P123"/>
      <c r="Q123"/>
      <c r="R123"/>
      <c r="S123"/>
      <c r="T123"/>
      <c r="U123" s="46"/>
      <c r="V123" s="46"/>
    </row>
    <row r="124" spans="1:22" ht="15" customHeight="1" x14ac:dyDescent="0.25">
      <c r="A124" s="17"/>
      <c r="G124"/>
      <c r="H124"/>
      <c r="J124"/>
      <c r="K124"/>
      <c r="L124"/>
      <c r="M124"/>
      <c r="N124"/>
      <c r="P124"/>
      <c r="Q124"/>
      <c r="R124"/>
      <c r="S124"/>
      <c r="T124"/>
      <c r="U124" s="46"/>
      <c r="V124" s="46"/>
    </row>
    <row r="125" spans="1:22" ht="15" customHeight="1" x14ac:dyDescent="0.25">
      <c r="A125" s="17"/>
      <c r="G125"/>
      <c r="H125"/>
      <c r="J125"/>
      <c r="K125"/>
      <c r="L125"/>
      <c r="M125"/>
      <c r="N125"/>
      <c r="P125"/>
      <c r="Q125"/>
      <c r="R125"/>
      <c r="S125"/>
      <c r="T125"/>
      <c r="U125" s="46"/>
      <c r="V125" s="46"/>
    </row>
    <row r="126" spans="1:22" ht="15" customHeight="1" x14ac:dyDescent="0.25">
      <c r="A126" s="17"/>
      <c r="G126"/>
      <c r="H126"/>
      <c r="J126"/>
      <c r="K126"/>
      <c r="L126"/>
      <c r="M126"/>
      <c r="N126"/>
      <c r="P126"/>
      <c r="Q126"/>
      <c r="R126"/>
      <c r="S126"/>
      <c r="T126"/>
      <c r="U126" s="46"/>
      <c r="V126" s="46"/>
    </row>
    <row r="127" spans="1:22" ht="15" customHeight="1" x14ac:dyDescent="0.25">
      <c r="A127" s="17"/>
      <c r="G127"/>
      <c r="H127"/>
      <c r="J127"/>
      <c r="K127"/>
      <c r="L127"/>
      <c r="M127"/>
      <c r="N127"/>
      <c r="P127"/>
      <c r="Q127"/>
      <c r="R127"/>
      <c r="S127"/>
      <c r="T127"/>
      <c r="U127" s="46"/>
      <c r="V127" s="46"/>
    </row>
    <row r="128" spans="1:22" ht="15" customHeight="1" x14ac:dyDescent="0.25">
      <c r="A128" s="17"/>
      <c r="G128"/>
      <c r="H128"/>
      <c r="J128"/>
      <c r="K128"/>
      <c r="L128"/>
      <c r="M128"/>
      <c r="N128"/>
      <c r="P128"/>
      <c r="Q128"/>
      <c r="R128"/>
      <c r="S128"/>
      <c r="T128"/>
      <c r="U128" s="46"/>
      <c r="V128" s="46"/>
    </row>
    <row r="129" spans="1:22" ht="15" customHeight="1" x14ac:dyDescent="0.25">
      <c r="A129" s="17"/>
      <c r="G129"/>
      <c r="H129"/>
      <c r="J129"/>
      <c r="K129"/>
      <c r="L129"/>
      <c r="M129"/>
      <c r="N129"/>
      <c r="P129"/>
      <c r="Q129"/>
      <c r="R129"/>
      <c r="S129"/>
      <c r="T129"/>
      <c r="U129" s="46"/>
      <c r="V129" s="46"/>
    </row>
    <row r="130" spans="1:22" ht="15" customHeight="1" x14ac:dyDescent="0.25">
      <c r="A130" s="17"/>
      <c r="G130"/>
      <c r="H130"/>
      <c r="J130"/>
      <c r="K130"/>
      <c r="L130"/>
      <c r="M130"/>
      <c r="N130"/>
      <c r="P130"/>
      <c r="Q130"/>
      <c r="R130"/>
      <c r="S130"/>
      <c r="T130"/>
      <c r="U130" s="46"/>
      <c r="V130" s="46"/>
    </row>
    <row r="131" spans="1:22" ht="15" customHeight="1" x14ac:dyDescent="0.25">
      <c r="A131" s="17"/>
      <c r="G131"/>
      <c r="H131"/>
      <c r="J131"/>
      <c r="K131"/>
      <c r="L131"/>
      <c r="M131"/>
      <c r="N131"/>
      <c r="P131"/>
      <c r="Q131"/>
      <c r="R131"/>
      <c r="S131"/>
      <c r="T131"/>
      <c r="U131" s="46"/>
      <c r="V131" s="46"/>
    </row>
    <row r="132" spans="1:22" ht="15" customHeight="1" x14ac:dyDescent="0.25">
      <c r="A132" s="17"/>
      <c r="G132"/>
      <c r="H132"/>
      <c r="J132"/>
      <c r="K132"/>
      <c r="L132"/>
      <c r="M132"/>
      <c r="N132"/>
      <c r="P132"/>
      <c r="Q132"/>
      <c r="R132"/>
      <c r="S132"/>
      <c r="T132"/>
      <c r="U132" s="46"/>
      <c r="V132" s="46"/>
    </row>
    <row r="133" spans="1:22" ht="15" customHeight="1" x14ac:dyDescent="0.25">
      <c r="A133" s="17"/>
      <c r="G133"/>
      <c r="H133"/>
      <c r="J133"/>
      <c r="K133"/>
      <c r="L133"/>
      <c r="M133"/>
      <c r="N133"/>
      <c r="P133"/>
      <c r="Q133"/>
      <c r="R133"/>
      <c r="S133"/>
      <c r="T133"/>
      <c r="U133" s="46"/>
      <c r="V133" s="46"/>
    </row>
    <row r="134" spans="1:22" ht="15" customHeight="1" x14ac:dyDescent="0.25">
      <c r="A134" s="17"/>
      <c r="G134"/>
      <c r="H134"/>
      <c r="J134"/>
      <c r="K134"/>
      <c r="L134"/>
      <c r="M134"/>
      <c r="N134"/>
      <c r="P134"/>
      <c r="Q134"/>
      <c r="R134"/>
      <c r="S134"/>
      <c r="T134"/>
      <c r="U134" s="46"/>
      <c r="V134" s="46"/>
    </row>
    <row r="135" spans="1:22" ht="15" customHeight="1" x14ac:dyDescent="0.25">
      <c r="A135" s="17"/>
      <c r="G135"/>
      <c r="H135"/>
      <c r="J135"/>
      <c r="K135"/>
      <c r="L135"/>
      <c r="M135"/>
      <c r="N135"/>
      <c r="P135"/>
      <c r="Q135"/>
      <c r="R135"/>
      <c r="S135"/>
      <c r="T135"/>
      <c r="U135" s="46"/>
      <c r="V135" s="46"/>
    </row>
    <row r="136" spans="1:22" ht="15" customHeight="1" x14ac:dyDescent="0.25">
      <c r="A136" s="17"/>
      <c r="G136"/>
      <c r="H136"/>
      <c r="J136"/>
      <c r="K136"/>
      <c r="L136"/>
      <c r="M136"/>
      <c r="N136"/>
      <c r="P136"/>
      <c r="Q136"/>
      <c r="R136"/>
      <c r="S136"/>
      <c r="T136"/>
      <c r="U136" s="46"/>
      <c r="V136" s="46"/>
    </row>
    <row r="137" spans="1:22" ht="15" customHeight="1" x14ac:dyDescent="0.25">
      <c r="A137" s="17"/>
      <c r="G137"/>
      <c r="H137"/>
      <c r="J137"/>
      <c r="K137"/>
      <c r="L137"/>
      <c r="M137"/>
      <c r="N137"/>
      <c r="P137"/>
      <c r="Q137"/>
      <c r="R137"/>
      <c r="S137"/>
      <c r="T137"/>
      <c r="U137" s="46"/>
      <c r="V137" s="46"/>
    </row>
    <row r="138" spans="1:22" ht="15" customHeight="1" x14ac:dyDescent="0.25">
      <c r="A138" s="17"/>
      <c r="G138"/>
      <c r="H138"/>
      <c r="J138"/>
      <c r="K138"/>
      <c r="L138"/>
      <c r="M138"/>
      <c r="N138"/>
      <c r="P138"/>
      <c r="Q138"/>
      <c r="R138"/>
      <c r="S138"/>
      <c r="T138"/>
      <c r="U138" s="46"/>
      <c r="V138" s="46"/>
    </row>
    <row r="139" spans="1:22" ht="15" customHeight="1" x14ac:dyDescent="0.25">
      <c r="A139" s="17"/>
      <c r="G139"/>
      <c r="H139"/>
      <c r="J139"/>
      <c r="K139"/>
      <c r="L139"/>
      <c r="M139"/>
      <c r="N139"/>
      <c r="P139"/>
      <c r="Q139"/>
      <c r="R139"/>
      <c r="S139"/>
      <c r="T139"/>
      <c r="U139" s="46"/>
      <c r="V139" s="46"/>
    </row>
    <row r="140" spans="1:22" ht="15" customHeight="1" x14ac:dyDescent="0.25">
      <c r="A140" s="17"/>
      <c r="G140"/>
      <c r="H140"/>
      <c r="J140"/>
      <c r="K140"/>
      <c r="L140"/>
      <c r="M140"/>
      <c r="N140"/>
      <c r="P140"/>
      <c r="Q140"/>
      <c r="R140"/>
      <c r="S140"/>
      <c r="T140"/>
      <c r="U140" s="46"/>
      <c r="V140" s="46"/>
    </row>
    <row r="141" spans="1:22" ht="15" customHeight="1" x14ac:dyDescent="0.25">
      <c r="A141" s="17"/>
      <c r="G141"/>
      <c r="H141"/>
      <c r="J141"/>
      <c r="K141"/>
      <c r="L141"/>
      <c r="M141"/>
      <c r="N141"/>
      <c r="P141"/>
      <c r="Q141"/>
      <c r="R141"/>
      <c r="S141"/>
      <c r="T141"/>
      <c r="U141" s="46"/>
      <c r="V141" s="46"/>
    </row>
    <row r="142" spans="1:22" ht="15" customHeight="1" x14ac:dyDescent="0.25">
      <c r="A142" s="17"/>
      <c r="G142"/>
      <c r="H142"/>
      <c r="J142"/>
      <c r="K142"/>
      <c r="L142"/>
      <c r="M142"/>
      <c r="N142"/>
      <c r="P142"/>
      <c r="Q142"/>
      <c r="R142"/>
      <c r="S142"/>
      <c r="T142"/>
      <c r="U142" s="46"/>
      <c r="V142" s="46"/>
    </row>
    <row r="143" spans="1:22" ht="15" customHeight="1" x14ac:dyDescent="0.25">
      <c r="A143" s="17"/>
      <c r="G143"/>
      <c r="H143"/>
      <c r="J143"/>
      <c r="K143"/>
      <c r="L143"/>
      <c r="M143"/>
      <c r="N143"/>
      <c r="P143"/>
      <c r="Q143"/>
      <c r="R143"/>
      <c r="S143"/>
      <c r="T143"/>
      <c r="U143" s="46"/>
      <c r="V143" s="46"/>
    </row>
    <row r="144" spans="1:22" ht="15" customHeight="1" x14ac:dyDescent="0.25">
      <c r="A144" s="17"/>
      <c r="G144"/>
      <c r="H144"/>
      <c r="J144"/>
      <c r="K144"/>
      <c r="L144"/>
      <c r="M144"/>
      <c r="N144"/>
      <c r="P144"/>
      <c r="Q144"/>
      <c r="R144"/>
      <c r="S144"/>
      <c r="T144"/>
      <c r="U144" s="46"/>
      <c r="V144" s="46"/>
    </row>
    <row r="145" spans="1:22" ht="15" customHeight="1" x14ac:dyDescent="0.25">
      <c r="A145" s="17"/>
      <c r="G145"/>
      <c r="H145"/>
      <c r="J145"/>
      <c r="K145"/>
      <c r="L145"/>
      <c r="M145"/>
      <c r="N145"/>
      <c r="P145"/>
      <c r="Q145"/>
      <c r="R145"/>
      <c r="S145"/>
      <c r="T145"/>
      <c r="U145" s="46"/>
      <c r="V145" s="46"/>
    </row>
    <row r="146" spans="1:22" ht="15" customHeight="1" x14ac:dyDescent="0.25">
      <c r="A146" s="17"/>
      <c r="G146"/>
      <c r="H146"/>
      <c r="J146"/>
      <c r="K146"/>
      <c r="L146"/>
      <c r="M146"/>
      <c r="N146"/>
      <c r="P146"/>
      <c r="Q146"/>
      <c r="R146"/>
      <c r="S146"/>
      <c r="T146"/>
      <c r="U146" s="46"/>
      <c r="V146" s="46"/>
    </row>
    <row r="147" spans="1:22" ht="15" customHeight="1" x14ac:dyDescent="0.25">
      <c r="A147" s="17"/>
      <c r="G147"/>
      <c r="H147"/>
      <c r="J147"/>
      <c r="K147"/>
      <c r="L147"/>
      <c r="M147"/>
      <c r="N147"/>
      <c r="P147"/>
      <c r="Q147"/>
      <c r="R147"/>
      <c r="S147"/>
      <c r="T147"/>
      <c r="U147" s="46"/>
      <c r="V147" s="46"/>
    </row>
    <row r="148" spans="1:22" ht="15" customHeight="1" x14ac:dyDescent="0.25">
      <c r="A148" s="17"/>
      <c r="G148"/>
      <c r="H148"/>
      <c r="J148"/>
      <c r="K148"/>
      <c r="L148"/>
      <c r="M148"/>
      <c r="N148"/>
      <c r="P148"/>
      <c r="Q148"/>
      <c r="R148"/>
      <c r="S148"/>
      <c r="T148"/>
      <c r="U148" s="46"/>
      <c r="V148" s="46"/>
    </row>
    <row r="149" spans="1:22" ht="15" customHeight="1" x14ac:dyDescent="0.25">
      <c r="A149" s="17"/>
      <c r="G149"/>
      <c r="H149"/>
      <c r="J149"/>
      <c r="K149"/>
      <c r="L149"/>
      <c r="M149"/>
      <c r="N149"/>
      <c r="P149"/>
      <c r="Q149"/>
      <c r="R149"/>
      <c r="S149"/>
      <c r="T149"/>
      <c r="U149" s="46"/>
      <c r="V149" s="46"/>
    </row>
    <row r="150" spans="1:22" ht="15" customHeight="1" x14ac:dyDescent="0.25">
      <c r="A150" s="17"/>
      <c r="G150"/>
      <c r="H150"/>
      <c r="J150"/>
      <c r="K150"/>
      <c r="L150"/>
      <c r="M150"/>
      <c r="N150"/>
      <c r="P150"/>
      <c r="Q150"/>
      <c r="R150"/>
      <c r="S150"/>
      <c r="T150"/>
      <c r="U150" s="46"/>
      <c r="V150" s="46"/>
    </row>
    <row r="151" spans="1:22" ht="15" customHeight="1" x14ac:dyDescent="0.25">
      <c r="A151" s="17"/>
      <c r="G151"/>
      <c r="H151"/>
      <c r="J151"/>
      <c r="K151"/>
      <c r="L151"/>
      <c r="M151"/>
      <c r="N151"/>
      <c r="P151"/>
      <c r="Q151"/>
      <c r="R151"/>
      <c r="S151"/>
      <c r="T151"/>
      <c r="U151" s="46"/>
      <c r="V151" s="46"/>
    </row>
    <row r="152" spans="1:22" ht="15" customHeight="1" x14ac:dyDescent="0.25">
      <c r="A152" s="17"/>
      <c r="G152"/>
      <c r="H152"/>
      <c r="J152"/>
      <c r="K152"/>
      <c r="L152"/>
      <c r="M152"/>
      <c r="N152"/>
      <c r="P152"/>
      <c r="Q152"/>
      <c r="R152"/>
      <c r="S152"/>
      <c r="T152"/>
      <c r="U152" s="46"/>
      <c r="V152" s="46"/>
    </row>
    <row r="153" spans="1:22" ht="15" customHeight="1" x14ac:dyDescent="0.25">
      <c r="A153" s="17"/>
      <c r="G153"/>
      <c r="H153"/>
      <c r="J153"/>
      <c r="K153"/>
      <c r="L153"/>
      <c r="M153"/>
      <c r="N153"/>
      <c r="P153"/>
      <c r="Q153"/>
      <c r="R153"/>
      <c r="S153"/>
      <c r="T153"/>
      <c r="U153" s="46"/>
      <c r="V153" s="46"/>
    </row>
    <row r="154" spans="1:22" ht="15" customHeight="1" x14ac:dyDescent="0.25">
      <c r="A154" s="17"/>
      <c r="G154"/>
      <c r="H154"/>
      <c r="J154"/>
      <c r="K154"/>
      <c r="L154"/>
      <c r="M154"/>
      <c r="N154"/>
      <c r="P154"/>
      <c r="Q154"/>
      <c r="R154"/>
      <c r="S154"/>
      <c r="T154"/>
      <c r="U154" s="46"/>
      <c r="V154" s="46"/>
    </row>
    <row r="155" spans="1:22" ht="15" customHeight="1" x14ac:dyDescent="0.25">
      <c r="A155" s="17"/>
      <c r="G155"/>
      <c r="H155"/>
      <c r="J155"/>
      <c r="K155"/>
      <c r="L155"/>
      <c r="M155"/>
      <c r="N155"/>
      <c r="P155"/>
      <c r="Q155"/>
      <c r="R155"/>
      <c r="S155"/>
      <c r="T155"/>
      <c r="U155" s="46"/>
      <c r="V155" s="46"/>
    </row>
    <row r="156" spans="1:22" ht="15" customHeight="1" x14ac:dyDescent="0.25">
      <c r="A156" s="17"/>
      <c r="G156"/>
      <c r="H156"/>
      <c r="J156"/>
      <c r="K156"/>
      <c r="L156"/>
      <c r="M156"/>
      <c r="N156"/>
      <c r="P156"/>
      <c r="Q156"/>
      <c r="R156"/>
      <c r="S156"/>
      <c r="T156"/>
      <c r="U156" s="46"/>
      <c r="V156" s="46"/>
    </row>
    <row r="157" spans="1:22" ht="15" customHeight="1" x14ac:dyDescent="0.25">
      <c r="A157" s="17"/>
      <c r="G157"/>
      <c r="H157"/>
      <c r="J157"/>
      <c r="K157"/>
      <c r="L157"/>
      <c r="M157"/>
      <c r="N157"/>
      <c r="P157"/>
      <c r="Q157"/>
      <c r="R157"/>
      <c r="S157"/>
      <c r="T157"/>
      <c r="U157" s="46"/>
      <c r="V157" s="46"/>
    </row>
    <row r="158" spans="1:22" ht="15" customHeight="1" x14ac:dyDescent="0.25">
      <c r="A158" s="17"/>
      <c r="G158"/>
      <c r="H158"/>
      <c r="J158"/>
      <c r="K158"/>
      <c r="L158"/>
      <c r="M158"/>
      <c r="N158"/>
      <c r="P158"/>
      <c r="Q158"/>
      <c r="R158"/>
      <c r="S158"/>
      <c r="T158"/>
      <c r="U158" s="46"/>
      <c r="V158" s="46"/>
    </row>
    <row r="159" spans="1:22" ht="15" customHeight="1" x14ac:dyDescent="0.25">
      <c r="A159" s="17"/>
      <c r="G159"/>
      <c r="H159"/>
      <c r="J159"/>
      <c r="K159"/>
      <c r="L159"/>
      <c r="M159"/>
      <c r="N159"/>
      <c r="P159"/>
      <c r="Q159"/>
      <c r="R159"/>
      <c r="S159"/>
      <c r="T159"/>
      <c r="U159" s="46"/>
      <c r="V159" s="46"/>
    </row>
    <row r="160" spans="1:22" ht="15" customHeight="1" x14ac:dyDescent="0.25">
      <c r="A160" s="17"/>
      <c r="G160"/>
      <c r="H160"/>
      <c r="J160"/>
      <c r="K160"/>
      <c r="L160"/>
      <c r="M160"/>
      <c r="N160"/>
      <c r="P160"/>
      <c r="Q160"/>
      <c r="R160"/>
      <c r="S160"/>
      <c r="T160"/>
      <c r="U160" s="46"/>
      <c r="V160" s="46"/>
    </row>
    <row r="161" spans="1:22" ht="15" customHeight="1" x14ac:dyDescent="0.25">
      <c r="A161" s="17"/>
      <c r="G161"/>
      <c r="H161"/>
      <c r="J161"/>
      <c r="K161"/>
      <c r="L161"/>
      <c r="M161"/>
      <c r="N161"/>
      <c r="P161"/>
      <c r="Q161"/>
      <c r="R161"/>
      <c r="S161"/>
      <c r="T161"/>
      <c r="U161" s="46"/>
      <c r="V161" s="46"/>
    </row>
    <row r="162" spans="1:22" ht="15" customHeight="1" x14ac:dyDescent="0.25">
      <c r="A162" s="17"/>
      <c r="G162"/>
      <c r="H162"/>
      <c r="J162"/>
      <c r="K162"/>
      <c r="L162"/>
      <c r="M162"/>
      <c r="N162"/>
      <c r="P162"/>
      <c r="Q162"/>
      <c r="R162"/>
      <c r="S162"/>
      <c r="T162"/>
      <c r="U162" s="46"/>
      <c r="V162" s="46"/>
    </row>
    <row r="163" spans="1:22" ht="15" customHeight="1" x14ac:dyDescent="0.25">
      <c r="A163" s="17"/>
      <c r="G163"/>
      <c r="H163"/>
      <c r="J163"/>
      <c r="K163"/>
      <c r="L163"/>
      <c r="M163"/>
      <c r="N163"/>
      <c r="P163"/>
      <c r="Q163"/>
      <c r="R163"/>
      <c r="S163"/>
      <c r="T163"/>
      <c r="U163" s="46"/>
      <c r="V163" s="46"/>
    </row>
    <row r="164" spans="1:22" ht="15" customHeight="1" x14ac:dyDescent="0.25">
      <c r="A164" s="17"/>
      <c r="G164"/>
      <c r="H164"/>
      <c r="J164"/>
      <c r="K164"/>
      <c r="L164"/>
      <c r="M164"/>
      <c r="N164"/>
      <c r="P164"/>
      <c r="Q164"/>
      <c r="R164"/>
      <c r="S164"/>
      <c r="T164"/>
      <c r="U164" s="46"/>
      <c r="V164" s="46"/>
    </row>
    <row r="165" spans="1:22" ht="15" customHeight="1" x14ac:dyDescent="0.25">
      <c r="A165" s="17"/>
      <c r="G165"/>
      <c r="H165"/>
      <c r="J165"/>
      <c r="K165"/>
      <c r="L165"/>
      <c r="M165"/>
      <c r="N165"/>
      <c r="P165"/>
      <c r="Q165"/>
      <c r="R165"/>
      <c r="S165"/>
      <c r="T165"/>
      <c r="U165" s="46"/>
      <c r="V165" s="46"/>
    </row>
    <row r="166" spans="1:22" ht="15" customHeight="1" x14ac:dyDescent="0.25">
      <c r="A166" s="17"/>
      <c r="G166"/>
      <c r="H166"/>
      <c r="J166"/>
      <c r="K166"/>
      <c r="L166"/>
      <c r="M166"/>
      <c r="N166"/>
      <c r="P166"/>
      <c r="Q166"/>
      <c r="R166"/>
      <c r="S166"/>
      <c r="T166"/>
      <c r="U166" s="46"/>
      <c r="V166" s="46"/>
    </row>
    <row r="167" spans="1:22" ht="15" customHeight="1" x14ac:dyDescent="0.25">
      <c r="A167" s="17"/>
      <c r="G167"/>
      <c r="H167"/>
      <c r="J167"/>
      <c r="K167"/>
      <c r="L167"/>
      <c r="M167"/>
      <c r="N167"/>
      <c r="P167"/>
      <c r="Q167"/>
      <c r="R167"/>
      <c r="S167"/>
      <c r="T167"/>
      <c r="U167" s="46"/>
      <c r="V167" s="46"/>
    </row>
    <row r="168" spans="1:22" ht="15" customHeight="1" x14ac:dyDescent="0.25">
      <c r="A168" s="17"/>
      <c r="G168"/>
      <c r="H168"/>
      <c r="J168"/>
      <c r="K168"/>
      <c r="L168"/>
      <c r="M168"/>
      <c r="N168"/>
      <c r="P168"/>
      <c r="Q168"/>
      <c r="R168"/>
      <c r="S168"/>
      <c r="T168"/>
      <c r="U168" s="46"/>
      <c r="V168" s="46"/>
    </row>
    <row r="169" spans="1:22" ht="15" customHeight="1" x14ac:dyDescent="0.25">
      <c r="A169" s="17"/>
      <c r="G169"/>
      <c r="H169"/>
      <c r="J169"/>
      <c r="K169"/>
      <c r="L169"/>
      <c r="M169"/>
      <c r="N169"/>
      <c r="P169"/>
      <c r="Q169"/>
      <c r="R169"/>
      <c r="S169"/>
      <c r="T169"/>
      <c r="U169" s="46"/>
      <c r="V169" s="46"/>
    </row>
    <row r="170" spans="1:22" ht="15" customHeight="1" x14ac:dyDescent="0.25">
      <c r="A170" s="17"/>
      <c r="G170"/>
      <c r="H170"/>
      <c r="J170"/>
      <c r="K170"/>
      <c r="L170"/>
      <c r="M170"/>
      <c r="N170"/>
      <c r="P170"/>
      <c r="Q170"/>
      <c r="R170"/>
      <c r="S170"/>
      <c r="T170"/>
      <c r="U170" s="46"/>
      <c r="V170" s="46"/>
    </row>
    <row r="171" spans="1:22" ht="15" customHeight="1" x14ac:dyDescent="0.25">
      <c r="A171" s="17"/>
      <c r="G171"/>
      <c r="H171"/>
      <c r="J171"/>
      <c r="K171"/>
      <c r="L171"/>
      <c r="M171"/>
      <c r="N171"/>
      <c r="P171"/>
      <c r="Q171"/>
      <c r="R171"/>
      <c r="S171"/>
      <c r="T171"/>
      <c r="U171" s="46"/>
      <c r="V171" s="46"/>
    </row>
    <row r="172" spans="1:22" ht="15" customHeight="1" x14ac:dyDescent="0.25">
      <c r="A172" s="17"/>
      <c r="G172"/>
      <c r="H172"/>
      <c r="J172"/>
      <c r="K172"/>
      <c r="L172"/>
      <c r="M172"/>
      <c r="N172"/>
      <c r="P172"/>
      <c r="Q172"/>
      <c r="R172"/>
      <c r="S172"/>
      <c r="T172"/>
      <c r="U172" s="46"/>
      <c r="V172" s="46"/>
    </row>
    <row r="173" spans="1:22" ht="15" customHeight="1" x14ac:dyDescent="0.25">
      <c r="A173" s="17"/>
      <c r="G173"/>
      <c r="H173"/>
      <c r="J173"/>
      <c r="K173"/>
      <c r="L173"/>
      <c r="M173"/>
      <c r="N173"/>
      <c r="P173"/>
      <c r="Q173"/>
      <c r="R173"/>
      <c r="S173"/>
      <c r="T173"/>
      <c r="U173" s="46"/>
      <c r="V173" s="46"/>
    </row>
    <row r="174" spans="1:22" ht="15" customHeight="1" x14ac:dyDescent="0.25">
      <c r="A174" s="17"/>
      <c r="G174"/>
      <c r="H174"/>
      <c r="J174"/>
      <c r="K174"/>
      <c r="L174"/>
      <c r="M174"/>
      <c r="N174"/>
      <c r="P174"/>
      <c r="Q174"/>
      <c r="R174"/>
      <c r="S174"/>
      <c r="T174"/>
      <c r="U174" s="46"/>
      <c r="V174" s="46"/>
    </row>
    <row r="175" spans="1:22" ht="15" customHeight="1" x14ac:dyDescent="0.25">
      <c r="A175" s="17"/>
      <c r="G175"/>
      <c r="H175"/>
      <c r="J175"/>
      <c r="K175"/>
      <c r="L175"/>
      <c r="M175"/>
      <c r="N175"/>
      <c r="P175"/>
      <c r="Q175"/>
      <c r="R175"/>
      <c r="S175"/>
      <c r="T175"/>
      <c r="U175" s="46"/>
      <c r="V175" s="46"/>
    </row>
    <row r="176" spans="1:22" ht="15" customHeight="1" x14ac:dyDescent="0.25">
      <c r="A176" s="17"/>
      <c r="G176"/>
      <c r="H176"/>
      <c r="J176"/>
      <c r="K176"/>
      <c r="L176"/>
      <c r="M176"/>
      <c r="N176"/>
      <c r="P176"/>
      <c r="Q176"/>
      <c r="R176"/>
      <c r="S176"/>
      <c r="T176"/>
      <c r="U176" s="46"/>
      <c r="V176" s="46"/>
    </row>
    <row r="177" spans="1:22" ht="15" customHeight="1" x14ac:dyDescent="0.25">
      <c r="A177" s="17"/>
      <c r="G177"/>
      <c r="H177"/>
      <c r="J177"/>
      <c r="K177"/>
      <c r="L177"/>
      <c r="M177"/>
      <c r="N177"/>
      <c r="P177"/>
      <c r="Q177"/>
      <c r="R177"/>
      <c r="S177"/>
      <c r="T177"/>
      <c r="U177" s="46"/>
      <c r="V177" s="46"/>
    </row>
    <row r="178" spans="1:22" ht="15" customHeight="1" x14ac:dyDescent="0.25">
      <c r="A178" s="17"/>
      <c r="G178"/>
      <c r="H178"/>
      <c r="J178"/>
      <c r="K178"/>
      <c r="L178"/>
      <c r="M178"/>
      <c r="N178"/>
      <c r="P178"/>
      <c r="Q178"/>
      <c r="R178"/>
      <c r="S178"/>
      <c r="T178"/>
      <c r="U178" s="46"/>
      <c r="V178" s="46"/>
    </row>
    <row r="179" spans="1:22" ht="15" customHeight="1" x14ac:dyDescent="0.25">
      <c r="A179" s="17"/>
      <c r="G179"/>
      <c r="H179"/>
      <c r="J179"/>
      <c r="K179"/>
      <c r="L179"/>
      <c r="M179"/>
      <c r="N179"/>
      <c r="P179"/>
      <c r="Q179"/>
      <c r="R179"/>
      <c r="S179"/>
      <c r="T179"/>
      <c r="U179" s="46"/>
      <c r="V179" s="46"/>
    </row>
    <row r="180" spans="1:22" ht="15" customHeight="1" x14ac:dyDescent="0.25">
      <c r="A180" s="17"/>
      <c r="G180"/>
      <c r="H180"/>
      <c r="J180"/>
      <c r="K180"/>
      <c r="L180"/>
      <c r="M180"/>
      <c r="N180"/>
      <c r="P180"/>
      <c r="Q180"/>
      <c r="R180"/>
      <c r="S180"/>
      <c r="T180"/>
      <c r="U180" s="46"/>
      <c r="V180" s="46"/>
    </row>
    <row r="181" spans="1:22" ht="15" customHeight="1" x14ac:dyDescent="0.25">
      <c r="A181" s="17"/>
      <c r="G181"/>
      <c r="H181"/>
      <c r="J181"/>
      <c r="K181"/>
      <c r="L181"/>
      <c r="M181"/>
      <c r="N181"/>
      <c r="P181"/>
      <c r="Q181"/>
      <c r="R181"/>
      <c r="S181"/>
      <c r="T181"/>
      <c r="U181" s="46"/>
      <c r="V181" s="46"/>
    </row>
    <row r="182" spans="1:22" ht="15" customHeight="1" x14ac:dyDescent="0.25">
      <c r="A182" s="17"/>
      <c r="G182"/>
      <c r="H182"/>
      <c r="J182"/>
      <c r="K182"/>
      <c r="L182"/>
      <c r="M182"/>
      <c r="N182"/>
      <c r="P182"/>
      <c r="Q182"/>
      <c r="R182"/>
      <c r="S182"/>
      <c r="T182"/>
      <c r="U182" s="46"/>
      <c r="V182" s="46"/>
    </row>
    <row r="183" spans="1:22" ht="15" customHeight="1" x14ac:dyDescent="0.25">
      <c r="A183" s="17"/>
      <c r="G183"/>
      <c r="H183"/>
      <c r="J183"/>
      <c r="K183"/>
      <c r="L183"/>
      <c r="M183"/>
      <c r="N183"/>
      <c r="P183"/>
      <c r="Q183"/>
      <c r="R183"/>
      <c r="S183"/>
      <c r="T183"/>
      <c r="U183" s="46"/>
      <c r="V183" s="46"/>
    </row>
    <row r="184" spans="1:22" ht="15" customHeight="1" x14ac:dyDescent="0.25">
      <c r="A184" s="17"/>
      <c r="G184"/>
      <c r="H184"/>
      <c r="J184"/>
      <c r="K184"/>
      <c r="L184"/>
      <c r="M184"/>
      <c r="N184"/>
      <c r="P184"/>
      <c r="Q184"/>
      <c r="R184"/>
      <c r="S184"/>
      <c r="T184"/>
      <c r="U184" s="46"/>
      <c r="V184" s="46"/>
    </row>
    <row r="185" spans="1:22" ht="15" customHeight="1" x14ac:dyDescent="0.25">
      <c r="A185" s="17"/>
      <c r="G185"/>
      <c r="H185"/>
      <c r="J185"/>
      <c r="K185"/>
      <c r="L185"/>
      <c r="M185"/>
      <c r="N185"/>
      <c r="P185"/>
      <c r="Q185"/>
      <c r="R185"/>
      <c r="S185"/>
      <c r="T185"/>
      <c r="U185" s="46"/>
      <c r="V185" s="46"/>
    </row>
    <row r="186" spans="1:22" ht="15" customHeight="1" x14ac:dyDescent="0.25">
      <c r="A186" s="17"/>
      <c r="G186"/>
      <c r="H186"/>
      <c r="J186"/>
      <c r="K186"/>
      <c r="L186"/>
      <c r="M186"/>
      <c r="N186"/>
      <c r="P186"/>
      <c r="Q186"/>
      <c r="R186"/>
      <c r="S186"/>
      <c r="T186"/>
      <c r="U186" s="46"/>
      <c r="V186" s="46"/>
    </row>
    <row r="187" spans="1:22" ht="15" customHeight="1" x14ac:dyDescent="0.25">
      <c r="A187" s="17"/>
      <c r="G187"/>
      <c r="H187"/>
      <c r="J187"/>
      <c r="K187"/>
      <c r="L187"/>
      <c r="M187"/>
      <c r="N187"/>
      <c r="P187"/>
      <c r="Q187"/>
      <c r="R187"/>
      <c r="S187"/>
      <c r="T187"/>
      <c r="U187" s="46"/>
      <c r="V187" s="46"/>
    </row>
    <row r="188" spans="1:22" ht="15" customHeight="1" x14ac:dyDescent="0.25">
      <c r="A188" s="17"/>
      <c r="G188"/>
      <c r="H188"/>
      <c r="J188"/>
      <c r="K188"/>
      <c r="L188"/>
      <c r="M188"/>
      <c r="N188"/>
      <c r="P188"/>
      <c r="Q188"/>
      <c r="R188"/>
      <c r="S188"/>
      <c r="T188"/>
      <c r="U188" s="46"/>
      <c r="V188" s="46"/>
    </row>
    <row r="189" spans="1:22" ht="15" customHeight="1" x14ac:dyDescent="0.25">
      <c r="A189" s="17"/>
      <c r="G189"/>
      <c r="H189"/>
      <c r="J189"/>
      <c r="K189"/>
      <c r="L189"/>
      <c r="M189"/>
      <c r="N189"/>
      <c r="P189"/>
      <c r="Q189"/>
      <c r="R189"/>
      <c r="S189"/>
      <c r="T189"/>
      <c r="U189" s="46"/>
      <c r="V189" s="46"/>
    </row>
    <row r="190" spans="1:22" ht="15" customHeight="1" x14ac:dyDescent="0.25">
      <c r="A190" s="17"/>
      <c r="G190"/>
      <c r="H190"/>
      <c r="J190"/>
      <c r="K190"/>
      <c r="L190"/>
      <c r="M190"/>
      <c r="N190"/>
      <c r="P190"/>
      <c r="Q190"/>
      <c r="R190"/>
      <c r="S190"/>
      <c r="T190"/>
      <c r="U190" s="46"/>
      <c r="V190" s="46"/>
    </row>
    <row r="191" spans="1:22" ht="15" customHeight="1" x14ac:dyDescent="0.25">
      <c r="A191" s="17"/>
      <c r="G191"/>
      <c r="H191"/>
      <c r="J191"/>
      <c r="K191"/>
      <c r="L191"/>
      <c r="M191"/>
      <c r="N191"/>
      <c r="P191"/>
      <c r="Q191"/>
      <c r="R191"/>
      <c r="S191"/>
      <c r="T191"/>
      <c r="U191" s="46"/>
      <c r="V191" s="46"/>
    </row>
    <row r="192" spans="1:22" ht="15" customHeight="1" x14ac:dyDescent="0.25">
      <c r="A192" s="17"/>
      <c r="G192"/>
      <c r="H192"/>
      <c r="J192"/>
      <c r="K192"/>
      <c r="L192"/>
      <c r="M192"/>
      <c r="N192"/>
      <c r="P192"/>
      <c r="Q192"/>
      <c r="R192"/>
      <c r="S192"/>
      <c r="T192"/>
      <c r="U192" s="46"/>
      <c r="V192" s="46"/>
    </row>
    <row r="193" spans="1:22" ht="15" customHeight="1" x14ac:dyDescent="0.25">
      <c r="A193" s="17"/>
      <c r="G193"/>
      <c r="H193"/>
      <c r="J193"/>
      <c r="K193"/>
      <c r="L193"/>
      <c r="M193"/>
      <c r="N193"/>
      <c r="P193"/>
      <c r="Q193"/>
      <c r="R193"/>
      <c r="S193"/>
      <c r="T193"/>
      <c r="U193" s="46"/>
      <c r="V193" s="46"/>
    </row>
    <row r="194" spans="1:22" ht="15" customHeight="1" x14ac:dyDescent="0.25">
      <c r="A194" s="17"/>
      <c r="G194"/>
      <c r="H194"/>
      <c r="J194"/>
      <c r="K194"/>
      <c r="L194"/>
      <c r="M194"/>
      <c r="N194"/>
      <c r="P194"/>
      <c r="Q194"/>
      <c r="R194"/>
      <c r="S194"/>
      <c r="T194"/>
      <c r="U194" s="46"/>
      <c r="V194" s="46"/>
    </row>
    <row r="195" spans="1:22" ht="15" customHeight="1" x14ac:dyDescent="0.25">
      <c r="A195" s="17"/>
      <c r="G195"/>
      <c r="H195"/>
      <c r="J195"/>
      <c r="K195"/>
      <c r="L195"/>
      <c r="M195"/>
      <c r="N195"/>
      <c r="P195"/>
      <c r="Q195"/>
      <c r="R195"/>
      <c r="S195"/>
      <c r="T195"/>
      <c r="U195" s="46"/>
      <c r="V195" s="46"/>
    </row>
    <row r="196" spans="1:22" ht="15" customHeight="1" x14ac:dyDescent="0.25">
      <c r="A196" s="17"/>
      <c r="G196"/>
      <c r="H196"/>
      <c r="J196"/>
      <c r="K196"/>
      <c r="L196"/>
      <c r="M196"/>
      <c r="N196"/>
      <c r="P196"/>
      <c r="Q196"/>
      <c r="R196"/>
      <c r="S196"/>
      <c r="T196"/>
      <c r="U196" s="46"/>
      <c r="V196" s="46"/>
    </row>
    <row r="197" spans="1:22" ht="15" customHeight="1" x14ac:dyDescent="0.25">
      <c r="A197" s="17"/>
      <c r="G197"/>
      <c r="H197"/>
      <c r="J197"/>
      <c r="K197"/>
      <c r="L197"/>
      <c r="M197"/>
      <c r="N197"/>
      <c r="P197"/>
      <c r="Q197"/>
      <c r="R197"/>
      <c r="S197"/>
      <c r="T197"/>
      <c r="U197" s="46"/>
      <c r="V197" s="46"/>
    </row>
    <row r="198" spans="1:22" ht="15" customHeight="1" x14ac:dyDescent="0.25">
      <c r="A198" s="17"/>
      <c r="G198"/>
      <c r="H198"/>
      <c r="J198"/>
      <c r="K198"/>
      <c r="L198"/>
      <c r="M198"/>
      <c r="N198"/>
      <c r="P198"/>
      <c r="Q198"/>
      <c r="R198"/>
      <c r="S198"/>
      <c r="T198"/>
      <c r="U198" s="46"/>
      <c r="V198" s="46"/>
    </row>
    <row r="199" spans="1:22" ht="15" customHeight="1" x14ac:dyDescent="0.25">
      <c r="A199" s="17"/>
      <c r="G199"/>
      <c r="H199"/>
      <c r="J199"/>
      <c r="K199"/>
      <c r="L199"/>
      <c r="M199"/>
      <c r="N199"/>
      <c r="P199"/>
      <c r="Q199"/>
      <c r="R199"/>
      <c r="S199"/>
      <c r="T199"/>
      <c r="U199" s="46"/>
      <c r="V199" s="46"/>
    </row>
    <row r="200" spans="1:22" ht="15" customHeight="1" x14ac:dyDescent="0.25">
      <c r="A200" s="17"/>
      <c r="G200"/>
      <c r="H200"/>
      <c r="J200"/>
      <c r="K200"/>
      <c r="L200"/>
      <c r="M200"/>
      <c r="N200"/>
      <c r="P200"/>
      <c r="Q200"/>
      <c r="R200"/>
      <c r="S200"/>
      <c r="T200"/>
      <c r="U200" s="46"/>
      <c r="V200" s="46"/>
    </row>
    <row r="201" spans="1:22" ht="15" customHeight="1" x14ac:dyDescent="0.25">
      <c r="A201" s="17"/>
      <c r="G201"/>
      <c r="H201"/>
      <c r="J201"/>
      <c r="K201"/>
      <c r="L201"/>
      <c r="M201"/>
      <c r="N201"/>
      <c r="P201"/>
      <c r="Q201"/>
      <c r="R201"/>
      <c r="S201"/>
      <c r="T201"/>
      <c r="U201" s="46"/>
      <c r="V201" s="46"/>
    </row>
    <row r="202" spans="1:22" ht="15" customHeight="1" x14ac:dyDescent="0.25">
      <c r="A202" s="17"/>
      <c r="G202"/>
      <c r="H202"/>
      <c r="J202"/>
      <c r="K202"/>
      <c r="L202"/>
      <c r="M202"/>
      <c r="N202"/>
      <c r="P202"/>
      <c r="Q202"/>
      <c r="R202"/>
      <c r="S202"/>
      <c r="T202"/>
      <c r="U202" s="46"/>
      <c r="V202" s="46"/>
    </row>
    <row r="203" spans="1:22" ht="15" customHeight="1" x14ac:dyDescent="0.25">
      <c r="A203" s="17"/>
      <c r="G203"/>
      <c r="H203"/>
      <c r="J203"/>
      <c r="K203"/>
      <c r="L203"/>
      <c r="M203"/>
      <c r="N203"/>
      <c r="P203"/>
      <c r="Q203"/>
      <c r="R203"/>
      <c r="S203"/>
      <c r="T203"/>
      <c r="U203" s="46"/>
      <c r="V203" s="46"/>
    </row>
    <row r="204" spans="1:22" ht="15" customHeight="1" x14ac:dyDescent="0.25">
      <c r="A204" s="17"/>
      <c r="G204"/>
      <c r="H204"/>
      <c r="J204"/>
      <c r="K204"/>
      <c r="L204"/>
      <c r="M204"/>
      <c r="N204"/>
      <c r="P204"/>
      <c r="Q204"/>
      <c r="R204"/>
      <c r="S204"/>
      <c r="T204"/>
      <c r="U204" s="46"/>
      <c r="V204" s="46"/>
    </row>
    <row r="205" spans="1:22" ht="15" customHeight="1" x14ac:dyDescent="0.25">
      <c r="A205" s="17"/>
      <c r="G205"/>
      <c r="H205"/>
      <c r="J205"/>
      <c r="K205"/>
      <c r="L205"/>
      <c r="M205"/>
      <c r="N205"/>
      <c r="P205"/>
      <c r="Q205"/>
      <c r="R205"/>
      <c r="S205"/>
      <c r="T205"/>
      <c r="U205" s="46"/>
      <c r="V205" s="46"/>
    </row>
    <row r="206" spans="1:22" ht="15" customHeight="1" x14ac:dyDescent="0.25">
      <c r="A206" s="17"/>
      <c r="G206"/>
      <c r="H206"/>
      <c r="J206"/>
      <c r="K206"/>
      <c r="L206"/>
      <c r="M206"/>
      <c r="N206"/>
      <c r="P206"/>
      <c r="Q206"/>
      <c r="R206"/>
      <c r="S206"/>
      <c r="T206"/>
      <c r="U206" s="46"/>
      <c r="V206" s="46"/>
    </row>
    <row r="207" spans="1:22" ht="15" customHeight="1" x14ac:dyDescent="0.25">
      <c r="A207" s="17"/>
      <c r="G207"/>
      <c r="H207"/>
      <c r="J207"/>
      <c r="K207"/>
      <c r="L207"/>
      <c r="M207"/>
      <c r="N207"/>
      <c r="P207"/>
      <c r="Q207"/>
      <c r="R207"/>
      <c r="S207"/>
      <c r="T207"/>
      <c r="U207" s="46"/>
      <c r="V207" s="46"/>
    </row>
    <row r="208" spans="1:22" ht="15" customHeight="1" x14ac:dyDescent="0.25">
      <c r="A208" s="17"/>
      <c r="G208"/>
      <c r="H208"/>
      <c r="J208"/>
      <c r="K208"/>
      <c r="L208"/>
      <c r="M208"/>
      <c r="N208"/>
      <c r="P208"/>
      <c r="Q208"/>
      <c r="R208"/>
      <c r="S208"/>
      <c r="T208"/>
      <c r="U208" s="46"/>
      <c r="V208" s="46"/>
    </row>
    <row r="209" spans="1:22" ht="15" customHeight="1" x14ac:dyDescent="0.25">
      <c r="A209" s="17"/>
      <c r="G209"/>
      <c r="H209"/>
      <c r="J209"/>
      <c r="K209"/>
      <c r="L209"/>
      <c r="M209"/>
      <c r="N209"/>
      <c r="P209"/>
      <c r="Q209"/>
      <c r="R209"/>
      <c r="S209"/>
      <c r="T209"/>
      <c r="U209" s="46"/>
      <c r="V209" s="46"/>
    </row>
    <row r="210" spans="1:22" ht="15" customHeight="1" x14ac:dyDescent="0.25">
      <c r="A210" s="17"/>
      <c r="G210"/>
      <c r="H210"/>
      <c r="J210"/>
      <c r="K210"/>
      <c r="L210"/>
      <c r="M210"/>
      <c r="N210"/>
      <c r="P210"/>
      <c r="Q210"/>
      <c r="R210"/>
      <c r="S210"/>
      <c r="T210"/>
      <c r="U210" s="46"/>
      <c r="V210" s="46"/>
    </row>
    <row r="211" spans="1:22" ht="15" customHeight="1" x14ac:dyDescent="0.25">
      <c r="A211" s="17"/>
      <c r="G211"/>
      <c r="H211"/>
      <c r="J211"/>
      <c r="K211"/>
      <c r="L211"/>
      <c r="M211"/>
      <c r="N211"/>
      <c r="P211"/>
      <c r="Q211"/>
      <c r="R211"/>
      <c r="S211"/>
      <c r="T211"/>
      <c r="U211" s="46"/>
      <c r="V211" s="46"/>
    </row>
    <row r="212" spans="1:22" ht="15" customHeight="1" x14ac:dyDescent="0.25">
      <c r="A212" s="17"/>
      <c r="G212"/>
      <c r="H212"/>
      <c r="J212"/>
      <c r="K212"/>
      <c r="L212"/>
      <c r="M212"/>
      <c r="N212"/>
      <c r="P212"/>
      <c r="Q212"/>
      <c r="R212"/>
      <c r="S212"/>
      <c r="T212"/>
      <c r="U212" s="46"/>
      <c r="V212" s="46"/>
    </row>
    <row r="213" spans="1:22" ht="15" customHeight="1" x14ac:dyDescent="0.25">
      <c r="A213" s="17"/>
      <c r="G213"/>
      <c r="H213"/>
      <c r="J213"/>
      <c r="K213"/>
      <c r="L213"/>
      <c r="M213"/>
      <c r="N213"/>
      <c r="P213"/>
      <c r="Q213"/>
      <c r="R213"/>
      <c r="S213"/>
      <c r="T213"/>
      <c r="U213" s="46"/>
      <c r="V213" s="46"/>
    </row>
    <row r="214" spans="1:22" ht="15" customHeight="1" x14ac:dyDescent="0.25">
      <c r="A214" s="17"/>
      <c r="G214"/>
      <c r="H214"/>
      <c r="J214"/>
      <c r="K214"/>
      <c r="L214"/>
      <c r="M214"/>
      <c r="N214"/>
      <c r="P214"/>
      <c r="Q214"/>
      <c r="R214"/>
      <c r="S214"/>
      <c r="T214"/>
      <c r="U214" s="46"/>
      <c r="V214" s="46"/>
    </row>
    <row r="215" spans="1:22" ht="15" customHeight="1" x14ac:dyDescent="0.25">
      <c r="A215" s="17"/>
      <c r="G215"/>
      <c r="H215"/>
      <c r="J215"/>
      <c r="K215"/>
      <c r="L215"/>
      <c r="M215"/>
      <c r="N215"/>
      <c r="P215"/>
      <c r="Q215"/>
      <c r="R215"/>
      <c r="S215"/>
      <c r="T215"/>
      <c r="U215" s="46"/>
      <c r="V215" s="46"/>
    </row>
    <row r="216" spans="1:22" ht="15" customHeight="1" x14ac:dyDescent="0.25">
      <c r="A216" s="17"/>
      <c r="G216"/>
      <c r="H216"/>
      <c r="J216"/>
      <c r="K216"/>
      <c r="L216"/>
      <c r="M216"/>
      <c r="N216"/>
      <c r="P216"/>
      <c r="Q216"/>
      <c r="R216"/>
      <c r="S216"/>
      <c r="T216"/>
      <c r="U216" s="46"/>
      <c r="V216" s="46"/>
    </row>
    <row r="217" spans="1:22" ht="15" customHeight="1" x14ac:dyDescent="0.25">
      <c r="A217" s="17"/>
      <c r="G217"/>
      <c r="H217"/>
      <c r="J217"/>
      <c r="K217"/>
      <c r="L217"/>
      <c r="M217"/>
      <c r="N217"/>
      <c r="P217"/>
      <c r="Q217"/>
      <c r="R217"/>
      <c r="S217"/>
      <c r="T217"/>
      <c r="U217" s="46"/>
      <c r="V217" s="46"/>
    </row>
    <row r="218" spans="1:22" ht="15" customHeight="1" x14ac:dyDescent="0.25">
      <c r="A218" s="17"/>
      <c r="G218"/>
      <c r="H218"/>
      <c r="J218"/>
      <c r="K218"/>
      <c r="L218"/>
      <c r="M218"/>
      <c r="N218"/>
      <c r="P218"/>
      <c r="Q218"/>
      <c r="R218"/>
      <c r="S218"/>
      <c r="T218"/>
      <c r="U218" s="46"/>
      <c r="V218" s="46"/>
    </row>
    <row r="219" spans="1:22" ht="15" customHeight="1" x14ac:dyDescent="0.25">
      <c r="A219" s="17"/>
      <c r="G219"/>
      <c r="H219"/>
      <c r="J219"/>
      <c r="K219"/>
      <c r="L219"/>
      <c r="M219"/>
      <c r="N219"/>
      <c r="P219"/>
      <c r="Q219"/>
      <c r="R219"/>
      <c r="S219"/>
      <c r="T219"/>
      <c r="U219" s="46"/>
      <c r="V219" s="46"/>
    </row>
    <row r="220" spans="1:22" ht="15" customHeight="1" x14ac:dyDescent="0.25">
      <c r="A220" s="17"/>
      <c r="G220"/>
      <c r="H220"/>
      <c r="J220"/>
      <c r="K220"/>
      <c r="L220"/>
      <c r="M220"/>
      <c r="N220"/>
      <c r="P220"/>
      <c r="Q220"/>
      <c r="R220"/>
      <c r="S220"/>
      <c r="T220"/>
      <c r="U220" s="46"/>
      <c r="V220" s="46"/>
    </row>
    <row r="221" spans="1:22" ht="15" customHeight="1" x14ac:dyDescent="0.25">
      <c r="A221" s="17"/>
      <c r="G221"/>
      <c r="H221"/>
      <c r="J221"/>
      <c r="K221"/>
      <c r="L221"/>
      <c r="M221"/>
      <c r="N221"/>
      <c r="P221"/>
      <c r="Q221"/>
      <c r="R221"/>
      <c r="S221"/>
      <c r="T221"/>
      <c r="U221" s="46"/>
      <c r="V221" s="46"/>
    </row>
    <row r="222" spans="1:22" ht="15" customHeight="1" x14ac:dyDescent="0.25">
      <c r="A222" s="17"/>
      <c r="G222"/>
      <c r="H222"/>
      <c r="J222"/>
      <c r="K222"/>
      <c r="L222"/>
      <c r="M222"/>
      <c r="N222"/>
      <c r="P222"/>
      <c r="Q222"/>
      <c r="R222"/>
      <c r="S222"/>
      <c r="T222"/>
      <c r="U222" s="46"/>
      <c r="V222" s="46"/>
    </row>
    <row r="223" spans="1:22" ht="15" customHeight="1" x14ac:dyDescent="0.25">
      <c r="A223" s="17"/>
      <c r="G223"/>
      <c r="H223"/>
      <c r="J223"/>
      <c r="K223"/>
      <c r="L223"/>
      <c r="M223"/>
      <c r="N223"/>
      <c r="P223"/>
      <c r="Q223"/>
      <c r="R223"/>
      <c r="S223"/>
      <c r="T223"/>
      <c r="U223" s="46"/>
      <c r="V223" s="46"/>
    </row>
    <row r="224" spans="1:22" ht="15" customHeight="1" x14ac:dyDescent="0.25">
      <c r="A224" s="17"/>
      <c r="G224"/>
      <c r="H224"/>
      <c r="J224"/>
      <c r="K224"/>
      <c r="L224"/>
      <c r="M224"/>
      <c r="N224"/>
      <c r="P224"/>
      <c r="Q224"/>
      <c r="R224"/>
      <c r="S224"/>
      <c r="T224"/>
      <c r="U224" s="46"/>
      <c r="V224" s="46"/>
    </row>
    <row r="225" spans="1:22" ht="15" customHeight="1" x14ac:dyDescent="0.25">
      <c r="A225" s="17"/>
      <c r="G225"/>
      <c r="H225"/>
      <c r="J225"/>
      <c r="K225"/>
      <c r="L225"/>
      <c r="M225"/>
      <c r="N225"/>
      <c r="P225"/>
      <c r="Q225"/>
      <c r="R225"/>
      <c r="S225"/>
      <c r="T225"/>
      <c r="U225" s="46"/>
      <c r="V225" s="46"/>
    </row>
    <row r="226" spans="1:22" ht="15" customHeight="1" x14ac:dyDescent="0.25">
      <c r="A226" s="17"/>
      <c r="G226"/>
      <c r="H226"/>
      <c r="J226"/>
      <c r="K226"/>
      <c r="L226"/>
      <c r="M226"/>
      <c r="N226"/>
      <c r="P226"/>
      <c r="Q226"/>
      <c r="R226"/>
      <c r="S226"/>
      <c r="T226"/>
      <c r="U226" s="46"/>
      <c r="V226" s="46"/>
    </row>
    <row r="227" spans="1:22" ht="15" customHeight="1" x14ac:dyDescent="0.25">
      <c r="A227" s="17"/>
      <c r="G227"/>
      <c r="H227"/>
      <c r="J227"/>
      <c r="K227"/>
      <c r="L227"/>
      <c r="M227"/>
      <c r="N227"/>
      <c r="P227"/>
      <c r="Q227"/>
      <c r="R227"/>
      <c r="S227"/>
      <c r="T227"/>
      <c r="U227" s="46"/>
      <c r="V227" s="46"/>
    </row>
    <row r="228" spans="1:22" ht="15" customHeight="1" x14ac:dyDescent="0.25">
      <c r="A228" s="17"/>
      <c r="G228"/>
      <c r="H228"/>
      <c r="J228"/>
      <c r="K228"/>
      <c r="L228"/>
      <c r="M228"/>
      <c r="N228"/>
      <c r="P228"/>
      <c r="Q228"/>
      <c r="R228"/>
      <c r="S228"/>
      <c r="T228"/>
      <c r="U228" s="46"/>
      <c r="V228" s="46"/>
    </row>
    <row r="229" spans="1:22" ht="15" customHeight="1" x14ac:dyDescent="0.25">
      <c r="A229" s="17"/>
      <c r="G229"/>
      <c r="H229"/>
      <c r="J229"/>
      <c r="K229"/>
      <c r="L229"/>
      <c r="M229"/>
      <c r="N229"/>
      <c r="P229"/>
      <c r="Q229"/>
      <c r="R229"/>
      <c r="S229"/>
      <c r="T229"/>
      <c r="U229" s="46"/>
      <c r="V229" s="46"/>
    </row>
    <row r="230" spans="1:22" ht="15" customHeight="1" x14ac:dyDescent="0.25">
      <c r="A230" s="17"/>
      <c r="G230"/>
      <c r="H230"/>
      <c r="J230"/>
      <c r="K230"/>
      <c r="L230"/>
      <c r="M230"/>
      <c r="N230"/>
      <c r="P230"/>
      <c r="Q230"/>
      <c r="R230"/>
      <c r="S230"/>
      <c r="T230"/>
      <c r="U230" s="46"/>
      <c r="V230" s="46"/>
    </row>
    <row r="231" spans="1:22" ht="15" customHeight="1" x14ac:dyDescent="0.25">
      <c r="A231" s="17"/>
      <c r="G231"/>
      <c r="H231"/>
      <c r="J231"/>
      <c r="K231"/>
      <c r="L231"/>
      <c r="M231"/>
      <c r="N231"/>
      <c r="P231"/>
      <c r="Q231"/>
      <c r="R231"/>
      <c r="S231"/>
      <c r="T231"/>
      <c r="U231" s="46"/>
      <c r="V231" s="46"/>
    </row>
    <row r="232" spans="1:22" ht="15" customHeight="1" x14ac:dyDescent="0.25">
      <c r="A232" s="17"/>
      <c r="G232"/>
      <c r="H232"/>
      <c r="J232"/>
      <c r="K232"/>
      <c r="L232"/>
      <c r="M232"/>
      <c r="N232"/>
      <c r="P232"/>
      <c r="Q232"/>
      <c r="R232"/>
      <c r="S232"/>
      <c r="T232"/>
      <c r="U232" s="46"/>
      <c r="V232" s="46"/>
    </row>
    <row r="233" spans="1:22" ht="15" customHeight="1" x14ac:dyDescent="0.25">
      <c r="A233" s="17"/>
      <c r="G233"/>
      <c r="H233"/>
      <c r="J233"/>
      <c r="K233"/>
      <c r="L233"/>
      <c r="M233"/>
      <c r="N233"/>
      <c r="P233"/>
      <c r="Q233"/>
      <c r="R233"/>
      <c r="S233"/>
      <c r="T233"/>
      <c r="U233" s="46"/>
      <c r="V233" s="46"/>
    </row>
    <row r="234" spans="1:22" ht="15" customHeight="1" x14ac:dyDescent="0.25">
      <c r="A234" s="17"/>
      <c r="G234"/>
      <c r="H234"/>
      <c r="J234"/>
      <c r="K234"/>
      <c r="L234"/>
      <c r="M234"/>
      <c r="N234"/>
      <c r="P234"/>
      <c r="Q234"/>
      <c r="R234"/>
      <c r="S234"/>
      <c r="T234"/>
      <c r="U234" s="46"/>
      <c r="V234" s="46"/>
    </row>
    <row r="235" spans="1:22" ht="15" customHeight="1" x14ac:dyDescent="0.25">
      <c r="A235" s="17"/>
      <c r="G235"/>
      <c r="H235"/>
      <c r="J235"/>
      <c r="K235"/>
      <c r="L235"/>
      <c r="M235"/>
      <c r="N235"/>
      <c r="P235"/>
      <c r="Q235"/>
      <c r="R235"/>
      <c r="S235"/>
      <c r="T235"/>
      <c r="U235" s="46"/>
      <c r="V235" s="46"/>
    </row>
    <row r="236" spans="1:22" ht="15" customHeight="1" x14ac:dyDescent="0.25">
      <c r="A236" s="17"/>
      <c r="G236"/>
      <c r="H236"/>
      <c r="J236"/>
      <c r="K236"/>
      <c r="L236"/>
      <c r="M236"/>
      <c r="N236"/>
      <c r="P236"/>
      <c r="Q236"/>
      <c r="R236"/>
      <c r="S236"/>
      <c r="T236"/>
      <c r="U236" s="46"/>
      <c r="V236" s="46"/>
    </row>
    <row r="237" spans="1:22" ht="15" customHeight="1" x14ac:dyDescent="0.25">
      <c r="A237" s="17"/>
      <c r="G237"/>
      <c r="H237"/>
      <c r="J237"/>
      <c r="K237"/>
      <c r="L237"/>
      <c r="M237"/>
      <c r="N237"/>
      <c r="P237"/>
      <c r="Q237"/>
      <c r="R237"/>
      <c r="S237"/>
      <c r="T237"/>
      <c r="U237" s="46"/>
      <c r="V237" s="46"/>
    </row>
    <row r="238" spans="1:22" ht="15" customHeight="1" x14ac:dyDescent="0.25">
      <c r="A238" s="17"/>
      <c r="G238"/>
      <c r="H238"/>
      <c r="J238"/>
      <c r="K238"/>
      <c r="L238"/>
      <c r="M238"/>
      <c r="N238"/>
      <c r="P238"/>
      <c r="Q238"/>
      <c r="R238"/>
      <c r="S238"/>
      <c r="T238"/>
      <c r="U238" s="46"/>
      <c r="V238" s="46"/>
    </row>
    <row r="239" spans="1:22" ht="15" customHeight="1" x14ac:dyDescent="0.25">
      <c r="A239" s="17"/>
      <c r="G239"/>
      <c r="H239"/>
      <c r="J239"/>
      <c r="K239"/>
      <c r="L239"/>
      <c r="M239"/>
      <c r="N239"/>
      <c r="P239"/>
      <c r="Q239"/>
      <c r="R239"/>
      <c r="S239"/>
      <c r="T239"/>
      <c r="U239" s="46"/>
      <c r="V239" s="46"/>
    </row>
    <row r="240" spans="1:22" ht="15" customHeight="1" x14ac:dyDescent="0.25">
      <c r="A240" s="17"/>
      <c r="G240"/>
      <c r="H240"/>
      <c r="J240"/>
      <c r="K240"/>
      <c r="L240"/>
      <c r="M240"/>
      <c r="N240"/>
      <c r="P240"/>
      <c r="Q240"/>
      <c r="R240"/>
      <c r="S240"/>
      <c r="T240"/>
      <c r="U240" s="46"/>
      <c r="V240" s="46"/>
    </row>
    <row r="241" spans="1:22" ht="15" customHeight="1" x14ac:dyDescent="0.25">
      <c r="A241" s="17"/>
      <c r="G241"/>
      <c r="H241"/>
      <c r="J241"/>
      <c r="K241"/>
      <c r="L241"/>
      <c r="M241"/>
      <c r="N241"/>
      <c r="P241"/>
      <c r="Q241"/>
      <c r="R241"/>
      <c r="S241"/>
      <c r="T241"/>
      <c r="U241" s="46"/>
      <c r="V241" s="46"/>
    </row>
    <row r="242" spans="1:22" ht="15" customHeight="1" x14ac:dyDescent="0.25">
      <c r="A242" s="17"/>
      <c r="G242"/>
      <c r="H242"/>
      <c r="J242"/>
      <c r="K242"/>
      <c r="L242"/>
      <c r="M242"/>
      <c r="N242"/>
      <c r="P242"/>
      <c r="Q242"/>
      <c r="R242"/>
      <c r="S242"/>
      <c r="T242"/>
      <c r="U242" s="46"/>
      <c r="V242" s="46"/>
    </row>
    <row r="243" spans="1:22" ht="15" customHeight="1" x14ac:dyDescent="0.25">
      <c r="A243" s="17"/>
      <c r="G243"/>
      <c r="H243"/>
      <c r="J243"/>
      <c r="K243"/>
      <c r="L243"/>
      <c r="M243"/>
      <c r="N243"/>
      <c r="P243"/>
      <c r="Q243"/>
      <c r="R243"/>
      <c r="S243"/>
      <c r="T243"/>
      <c r="U243" s="46"/>
      <c r="V243" s="46"/>
    </row>
    <row r="244" spans="1:22" ht="15" customHeight="1" x14ac:dyDescent="0.25">
      <c r="A244" s="17"/>
      <c r="G244"/>
      <c r="H244"/>
      <c r="J244"/>
      <c r="K244"/>
      <c r="L244"/>
      <c r="M244"/>
      <c r="N244"/>
      <c r="P244"/>
      <c r="Q244"/>
      <c r="R244"/>
      <c r="S244"/>
      <c r="T244"/>
      <c r="U244" s="46"/>
      <c r="V244" s="46"/>
    </row>
    <row r="245" spans="1:22" ht="15" customHeight="1" x14ac:dyDescent="0.25">
      <c r="A245" s="17"/>
      <c r="G245"/>
      <c r="H245"/>
      <c r="J245"/>
      <c r="K245"/>
      <c r="L245"/>
      <c r="M245"/>
      <c r="N245"/>
      <c r="P245"/>
      <c r="Q245"/>
      <c r="R245"/>
      <c r="S245"/>
      <c r="T245"/>
      <c r="U245" s="46"/>
      <c r="V245" s="46"/>
    </row>
    <row r="246" spans="1:22" ht="15" customHeight="1" x14ac:dyDescent="0.25">
      <c r="A246" s="17"/>
      <c r="G246"/>
      <c r="H246"/>
      <c r="J246"/>
      <c r="K246"/>
      <c r="L246"/>
      <c r="M246"/>
      <c r="N246"/>
      <c r="P246"/>
      <c r="Q246"/>
      <c r="R246"/>
      <c r="S246"/>
      <c r="T246"/>
      <c r="U246" s="46"/>
      <c r="V246" s="46"/>
    </row>
    <row r="247" spans="1:22" ht="15" customHeight="1" x14ac:dyDescent="0.25">
      <c r="A247" s="17"/>
      <c r="G247"/>
      <c r="H247"/>
      <c r="J247"/>
      <c r="K247"/>
      <c r="L247"/>
      <c r="M247"/>
      <c r="N247"/>
      <c r="P247"/>
      <c r="Q247"/>
      <c r="R247"/>
      <c r="S247"/>
      <c r="T247"/>
      <c r="U247" s="46"/>
      <c r="V247" s="46"/>
    </row>
    <row r="248" spans="1:22" ht="15" customHeight="1" x14ac:dyDescent="0.25">
      <c r="A248" s="17"/>
      <c r="G248"/>
      <c r="H248"/>
      <c r="J248"/>
      <c r="K248"/>
      <c r="L248"/>
      <c r="M248"/>
      <c r="N248"/>
      <c r="P248"/>
      <c r="Q248"/>
      <c r="R248"/>
      <c r="S248"/>
      <c r="T248"/>
      <c r="U248" s="46"/>
      <c r="V248" s="46"/>
    </row>
    <row r="249" spans="1:22" ht="15" customHeight="1" x14ac:dyDescent="0.25">
      <c r="A249" s="17"/>
      <c r="G249"/>
      <c r="H249"/>
      <c r="J249"/>
      <c r="K249"/>
      <c r="L249"/>
      <c r="M249"/>
      <c r="N249"/>
      <c r="P249"/>
      <c r="Q249"/>
      <c r="R249"/>
      <c r="S249"/>
      <c r="T249"/>
      <c r="U249" s="46"/>
      <c r="V249" s="46"/>
    </row>
    <row r="250" spans="1:22" ht="15" customHeight="1" x14ac:dyDescent="0.25">
      <c r="A250" s="17"/>
      <c r="G250"/>
      <c r="H250"/>
      <c r="J250"/>
      <c r="K250"/>
      <c r="L250"/>
      <c r="M250"/>
      <c r="N250"/>
      <c r="P250"/>
      <c r="Q250"/>
      <c r="R250"/>
      <c r="S250"/>
      <c r="T250"/>
      <c r="U250" s="46"/>
      <c r="V250" s="46"/>
    </row>
    <row r="251" spans="1:22" ht="15" customHeight="1" x14ac:dyDescent="0.25">
      <c r="A251" s="17"/>
      <c r="G251"/>
      <c r="H251"/>
      <c r="J251"/>
      <c r="K251"/>
      <c r="L251"/>
      <c r="M251"/>
      <c r="N251"/>
      <c r="P251"/>
      <c r="Q251"/>
      <c r="R251"/>
      <c r="S251"/>
      <c r="T251"/>
      <c r="U251" s="46"/>
      <c r="V251" s="46"/>
    </row>
    <row r="252" spans="1:22" ht="15" customHeight="1" x14ac:dyDescent="0.25">
      <c r="A252" s="17"/>
      <c r="G252"/>
      <c r="H252"/>
      <c r="J252"/>
      <c r="K252"/>
      <c r="L252"/>
      <c r="M252"/>
      <c r="N252"/>
      <c r="P252"/>
      <c r="Q252"/>
      <c r="R252"/>
      <c r="S252"/>
      <c r="T252"/>
      <c r="U252" s="46"/>
      <c r="V252" s="46"/>
    </row>
    <row r="253" spans="1:22" ht="15" customHeight="1" x14ac:dyDescent="0.25">
      <c r="A253" s="17"/>
      <c r="G253"/>
      <c r="H253"/>
      <c r="J253"/>
      <c r="K253"/>
      <c r="L253"/>
      <c r="M253"/>
      <c r="N253"/>
      <c r="P253"/>
      <c r="Q253"/>
      <c r="R253"/>
      <c r="S253"/>
      <c r="T253"/>
      <c r="U253" s="46"/>
      <c r="V253" s="46"/>
    </row>
    <row r="254" spans="1:22" ht="15" customHeight="1" x14ac:dyDescent="0.25">
      <c r="A254" s="17"/>
      <c r="G254"/>
      <c r="H254"/>
      <c r="J254"/>
      <c r="K254"/>
      <c r="L254"/>
      <c r="M254"/>
      <c r="N254"/>
      <c r="P254"/>
      <c r="Q254"/>
      <c r="R254"/>
      <c r="S254"/>
      <c r="T254"/>
      <c r="U254" s="46"/>
      <c r="V254" s="46"/>
    </row>
    <row r="255" spans="1:22" ht="15" customHeight="1" x14ac:dyDescent="0.25">
      <c r="A255" s="17"/>
      <c r="G255"/>
      <c r="H255"/>
      <c r="J255"/>
      <c r="K255"/>
      <c r="L255"/>
      <c r="M255"/>
      <c r="N255"/>
      <c r="P255"/>
      <c r="Q255"/>
      <c r="R255"/>
      <c r="S255"/>
      <c r="T255"/>
      <c r="U255" s="46"/>
      <c r="V255" s="46"/>
    </row>
    <row r="256" spans="1:22" ht="15" customHeight="1" x14ac:dyDescent="0.25">
      <c r="A256" s="17"/>
      <c r="G256"/>
      <c r="H256"/>
      <c r="J256"/>
      <c r="K256"/>
      <c r="L256"/>
      <c r="M256"/>
      <c r="N256"/>
      <c r="P256"/>
      <c r="Q256"/>
      <c r="R256"/>
      <c r="S256"/>
      <c r="T256"/>
      <c r="U256" s="46"/>
      <c r="V256" s="46"/>
    </row>
    <row r="257" spans="1:22" ht="15" customHeight="1" x14ac:dyDescent="0.25">
      <c r="A257" s="17"/>
      <c r="G257"/>
      <c r="H257"/>
      <c r="J257"/>
      <c r="K257"/>
      <c r="L257"/>
      <c r="M257"/>
      <c r="N257"/>
      <c r="P257"/>
      <c r="Q257"/>
      <c r="R257"/>
      <c r="S257"/>
      <c r="T257"/>
      <c r="U257" s="46"/>
      <c r="V257" s="46"/>
    </row>
    <row r="258" spans="1:22" ht="15" customHeight="1" x14ac:dyDescent="0.25">
      <c r="A258" s="17"/>
      <c r="G258"/>
      <c r="H258"/>
      <c r="J258"/>
      <c r="K258"/>
      <c r="L258"/>
      <c r="M258"/>
      <c r="N258"/>
      <c r="P258"/>
      <c r="Q258"/>
      <c r="R258"/>
      <c r="S258"/>
      <c r="T258"/>
      <c r="U258" s="46"/>
      <c r="V258" s="46"/>
    </row>
    <row r="259" spans="1:22" ht="15" customHeight="1" x14ac:dyDescent="0.25">
      <c r="A259" s="17"/>
      <c r="G259"/>
      <c r="H259"/>
      <c r="J259"/>
      <c r="K259"/>
      <c r="L259"/>
      <c r="M259"/>
      <c r="N259"/>
      <c r="P259"/>
      <c r="Q259"/>
      <c r="R259"/>
      <c r="S259"/>
      <c r="T259"/>
      <c r="U259" s="46"/>
      <c r="V259" s="46"/>
    </row>
    <row r="260" spans="1:22" ht="15" customHeight="1" x14ac:dyDescent="0.25">
      <c r="A260" s="17"/>
      <c r="G260"/>
      <c r="H260"/>
      <c r="J260"/>
      <c r="K260"/>
      <c r="L260"/>
      <c r="M260"/>
      <c r="N260"/>
      <c r="P260"/>
      <c r="Q260"/>
      <c r="R260"/>
      <c r="S260"/>
      <c r="T260"/>
      <c r="U260" s="46"/>
      <c r="V260" s="46"/>
    </row>
    <row r="261" spans="1:22" ht="15" customHeight="1" x14ac:dyDescent="0.25">
      <c r="A261" s="17"/>
      <c r="G261"/>
      <c r="H261"/>
      <c r="J261"/>
      <c r="K261"/>
      <c r="L261"/>
      <c r="M261"/>
      <c r="N261"/>
      <c r="P261"/>
      <c r="Q261"/>
      <c r="R261"/>
      <c r="S261"/>
      <c r="T261"/>
      <c r="U261" s="46"/>
      <c r="V261" s="46"/>
    </row>
    <row r="262" spans="1:22" ht="15" customHeight="1" x14ac:dyDescent="0.25">
      <c r="A262" s="17"/>
      <c r="G262"/>
      <c r="H262"/>
      <c r="J262"/>
      <c r="K262"/>
      <c r="L262"/>
      <c r="M262"/>
      <c r="N262"/>
      <c r="P262"/>
      <c r="Q262"/>
      <c r="R262"/>
      <c r="S262"/>
      <c r="T262"/>
      <c r="U262" s="46"/>
      <c r="V262" s="46"/>
    </row>
    <row r="263" spans="1:22" ht="15" customHeight="1" x14ac:dyDescent="0.25">
      <c r="A263" s="17"/>
      <c r="G263"/>
      <c r="H263"/>
      <c r="J263"/>
      <c r="K263"/>
      <c r="L263"/>
      <c r="M263"/>
      <c r="N263"/>
      <c r="P263"/>
      <c r="Q263"/>
      <c r="R263"/>
      <c r="S263"/>
      <c r="T263"/>
      <c r="U263" s="46"/>
      <c r="V263" s="46"/>
    </row>
    <row r="264" spans="1:22" ht="15" customHeight="1" x14ac:dyDescent="0.25">
      <c r="A264" s="17"/>
      <c r="G264"/>
      <c r="H264"/>
      <c r="J264"/>
      <c r="K264"/>
      <c r="L264"/>
      <c r="M264"/>
      <c r="N264"/>
      <c r="P264"/>
      <c r="Q264"/>
      <c r="R264"/>
      <c r="S264"/>
      <c r="T264"/>
      <c r="U264" s="46"/>
      <c r="V264" s="46"/>
    </row>
    <row r="265" spans="1:22" ht="15" customHeight="1" x14ac:dyDescent="0.25">
      <c r="A265" s="17"/>
      <c r="G265"/>
      <c r="H265"/>
      <c r="J265"/>
      <c r="K265"/>
      <c r="L265"/>
      <c r="M265"/>
      <c r="N265"/>
      <c r="P265"/>
      <c r="Q265"/>
      <c r="R265"/>
      <c r="S265"/>
      <c r="T265"/>
      <c r="U265" s="46"/>
      <c r="V265" s="46"/>
    </row>
    <row r="266" spans="1:22" ht="15" customHeight="1" x14ac:dyDescent="0.25">
      <c r="A266" s="17"/>
      <c r="G266"/>
      <c r="H266"/>
      <c r="J266"/>
      <c r="K266"/>
      <c r="L266"/>
      <c r="M266"/>
      <c r="N266"/>
      <c r="P266"/>
      <c r="Q266"/>
      <c r="R266"/>
      <c r="S266"/>
      <c r="T266"/>
      <c r="U266" s="46"/>
      <c r="V266" s="46"/>
    </row>
    <row r="267" spans="1:22" ht="15" customHeight="1" x14ac:dyDescent="0.25">
      <c r="A267" s="17"/>
      <c r="G267"/>
      <c r="H267"/>
      <c r="J267"/>
      <c r="K267"/>
      <c r="L267"/>
      <c r="M267"/>
      <c r="N267"/>
      <c r="P267"/>
      <c r="Q267"/>
      <c r="R267"/>
      <c r="S267"/>
      <c r="T267"/>
      <c r="U267" s="46"/>
      <c r="V267" s="46"/>
    </row>
    <row r="268" spans="1:22" ht="15" customHeight="1" x14ac:dyDescent="0.25">
      <c r="A268" s="17"/>
      <c r="G268"/>
      <c r="H268"/>
      <c r="J268"/>
      <c r="K268"/>
      <c r="L268"/>
      <c r="M268"/>
      <c r="N268"/>
      <c r="P268"/>
      <c r="Q268"/>
      <c r="R268"/>
      <c r="S268"/>
      <c r="T268"/>
      <c r="U268" s="46"/>
      <c r="V268" s="46"/>
    </row>
    <row r="269" spans="1:22" ht="15" customHeight="1" x14ac:dyDescent="0.25">
      <c r="A269" s="17"/>
      <c r="G269"/>
      <c r="H269"/>
      <c r="J269"/>
      <c r="K269"/>
      <c r="L269"/>
      <c r="M269"/>
      <c r="N269"/>
      <c r="P269"/>
      <c r="Q269"/>
      <c r="R269"/>
      <c r="S269"/>
      <c r="T269"/>
      <c r="U269" s="46"/>
      <c r="V269" s="46"/>
    </row>
    <row r="270" spans="1:22" ht="15" customHeight="1" x14ac:dyDescent="0.25">
      <c r="A270" s="17"/>
      <c r="G270"/>
      <c r="H270"/>
      <c r="J270"/>
      <c r="K270"/>
      <c r="L270"/>
      <c r="M270"/>
      <c r="N270"/>
      <c r="P270"/>
      <c r="Q270"/>
      <c r="R270"/>
      <c r="S270"/>
      <c r="T270"/>
      <c r="U270" s="46"/>
      <c r="V270" s="46"/>
    </row>
    <row r="271" spans="1:22" ht="15" customHeight="1" x14ac:dyDescent="0.25">
      <c r="A271" s="17"/>
      <c r="G271"/>
      <c r="H271"/>
      <c r="J271"/>
      <c r="K271"/>
      <c r="L271"/>
      <c r="M271"/>
      <c r="N271"/>
      <c r="P271"/>
      <c r="Q271"/>
      <c r="R271"/>
      <c r="S271"/>
      <c r="T271"/>
      <c r="U271" s="46"/>
      <c r="V271" s="46"/>
    </row>
    <row r="272" spans="1:22" ht="15" customHeight="1" x14ac:dyDescent="0.25">
      <c r="A272" s="17"/>
      <c r="G272"/>
      <c r="H272"/>
      <c r="J272"/>
      <c r="K272"/>
      <c r="L272"/>
      <c r="M272"/>
      <c r="N272"/>
      <c r="P272"/>
      <c r="Q272"/>
      <c r="R272"/>
      <c r="S272"/>
      <c r="T272"/>
      <c r="U272" s="46"/>
      <c r="V272" s="46"/>
    </row>
    <row r="273" spans="1:22" ht="15" customHeight="1" x14ac:dyDescent="0.25">
      <c r="A273" s="17"/>
      <c r="G273"/>
      <c r="H273"/>
      <c r="J273"/>
      <c r="K273"/>
      <c r="L273"/>
      <c r="M273"/>
      <c r="N273"/>
      <c r="P273"/>
      <c r="Q273"/>
      <c r="R273"/>
      <c r="S273"/>
      <c r="T273"/>
      <c r="U273" s="46"/>
      <c r="V273" s="46"/>
    </row>
    <row r="274" spans="1:22" ht="15" customHeight="1" x14ac:dyDescent="0.25">
      <c r="A274" s="17"/>
      <c r="G274"/>
      <c r="H274"/>
      <c r="J274"/>
      <c r="K274"/>
      <c r="L274"/>
      <c r="M274"/>
      <c r="N274"/>
      <c r="P274"/>
      <c r="Q274"/>
      <c r="R274"/>
      <c r="S274"/>
      <c r="T274"/>
      <c r="U274" s="46"/>
      <c r="V274" s="46"/>
    </row>
    <row r="275" spans="1:22" ht="15" customHeight="1" x14ac:dyDescent="0.25">
      <c r="A275" s="17"/>
      <c r="G275"/>
      <c r="H275"/>
      <c r="J275"/>
      <c r="K275"/>
      <c r="L275"/>
      <c r="M275"/>
      <c r="N275"/>
      <c r="P275"/>
      <c r="Q275"/>
      <c r="R275"/>
      <c r="S275"/>
      <c r="T275"/>
      <c r="U275" s="46"/>
      <c r="V275" s="46"/>
    </row>
    <row r="276" spans="1:22" ht="15" customHeight="1" x14ac:dyDescent="0.25">
      <c r="A276" s="17"/>
      <c r="G276"/>
      <c r="H276"/>
      <c r="J276"/>
      <c r="K276"/>
      <c r="L276"/>
      <c r="M276"/>
      <c r="N276"/>
      <c r="P276"/>
      <c r="Q276"/>
      <c r="R276"/>
      <c r="S276"/>
      <c r="T276"/>
      <c r="U276" s="46"/>
      <c r="V276" s="46"/>
    </row>
    <row r="277" spans="1:22" ht="15" customHeight="1" x14ac:dyDescent="0.25">
      <c r="A277" s="17"/>
      <c r="G277"/>
      <c r="H277"/>
      <c r="J277"/>
      <c r="K277"/>
      <c r="L277"/>
      <c r="M277"/>
      <c r="N277"/>
      <c r="P277"/>
      <c r="Q277"/>
      <c r="R277"/>
      <c r="S277"/>
      <c r="T277"/>
      <c r="U277" s="46"/>
      <c r="V277" s="46"/>
    </row>
    <row r="278" spans="1:22" ht="15" customHeight="1" x14ac:dyDescent="0.25">
      <c r="A278" s="17"/>
      <c r="G278"/>
      <c r="H278"/>
      <c r="J278"/>
      <c r="K278"/>
      <c r="L278"/>
      <c r="M278"/>
      <c r="N278"/>
      <c r="P278"/>
      <c r="Q278"/>
      <c r="R278"/>
      <c r="S278"/>
      <c r="T278"/>
      <c r="U278" s="46"/>
      <c r="V278" s="46"/>
    </row>
    <row r="279" spans="1:22" ht="15" customHeight="1" x14ac:dyDescent="0.25">
      <c r="A279" s="17"/>
      <c r="G279"/>
      <c r="H279"/>
      <c r="J279"/>
      <c r="K279"/>
      <c r="L279"/>
      <c r="M279"/>
      <c r="N279"/>
      <c r="P279"/>
      <c r="Q279"/>
      <c r="R279"/>
      <c r="S279"/>
      <c r="T279"/>
      <c r="U279" s="46"/>
      <c r="V279" s="46"/>
    </row>
    <row r="280" spans="1:22" ht="15" customHeight="1" x14ac:dyDescent="0.25">
      <c r="A280" s="17"/>
      <c r="G280"/>
      <c r="H280"/>
      <c r="J280"/>
      <c r="K280"/>
      <c r="L280"/>
      <c r="M280"/>
      <c r="N280"/>
      <c r="P280"/>
      <c r="Q280"/>
      <c r="R280"/>
      <c r="S280"/>
      <c r="T280"/>
      <c r="U280" s="46"/>
      <c r="V280" s="46"/>
    </row>
    <row r="281" spans="1:22" ht="15" customHeight="1" x14ac:dyDescent="0.25">
      <c r="A281" s="17"/>
      <c r="G281"/>
      <c r="H281"/>
      <c r="J281"/>
      <c r="K281"/>
      <c r="L281"/>
      <c r="M281"/>
      <c r="N281"/>
      <c r="P281"/>
      <c r="Q281"/>
      <c r="R281"/>
      <c r="S281"/>
      <c r="T281"/>
      <c r="U281" s="46"/>
      <c r="V281" s="46"/>
    </row>
    <row r="282" spans="1:22" ht="15" customHeight="1" x14ac:dyDescent="0.25">
      <c r="A282" s="17"/>
      <c r="G282"/>
      <c r="H282"/>
      <c r="J282"/>
      <c r="K282"/>
      <c r="L282"/>
      <c r="M282"/>
      <c r="N282"/>
      <c r="P282"/>
      <c r="Q282"/>
      <c r="R282"/>
      <c r="S282"/>
      <c r="T282"/>
      <c r="U282" s="46"/>
      <c r="V282" s="46"/>
    </row>
    <row r="283" spans="1:22" ht="15" customHeight="1" x14ac:dyDescent="0.25">
      <c r="A283" s="17"/>
      <c r="G283"/>
      <c r="H283"/>
      <c r="J283"/>
      <c r="K283"/>
      <c r="L283"/>
      <c r="M283"/>
      <c r="N283"/>
      <c r="P283"/>
      <c r="Q283"/>
      <c r="R283"/>
      <c r="S283"/>
      <c r="T283"/>
      <c r="U283" s="46"/>
      <c r="V283" s="46"/>
    </row>
    <row r="284" spans="1:22" ht="15" customHeight="1" x14ac:dyDescent="0.25">
      <c r="A284" s="17"/>
      <c r="G284"/>
      <c r="H284"/>
      <c r="J284"/>
      <c r="K284"/>
      <c r="L284"/>
      <c r="M284"/>
      <c r="N284"/>
      <c r="P284"/>
      <c r="Q284"/>
      <c r="R284"/>
      <c r="S284"/>
      <c r="T284"/>
      <c r="U284" s="46"/>
      <c r="V284" s="46"/>
    </row>
    <row r="285" spans="1:22" ht="15" customHeight="1" x14ac:dyDescent="0.25">
      <c r="A285" s="17"/>
      <c r="G285"/>
      <c r="H285"/>
      <c r="J285"/>
      <c r="K285"/>
      <c r="L285"/>
      <c r="M285"/>
      <c r="N285"/>
      <c r="P285"/>
      <c r="Q285"/>
      <c r="R285"/>
      <c r="S285"/>
      <c r="T285"/>
      <c r="U285" s="46"/>
      <c r="V285" s="46"/>
    </row>
    <row r="286" spans="1:22" ht="15" customHeight="1" x14ac:dyDescent="0.25">
      <c r="A286" s="17"/>
      <c r="G286"/>
      <c r="H286"/>
      <c r="J286"/>
      <c r="K286"/>
      <c r="L286"/>
      <c r="M286"/>
      <c r="N286"/>
      <c r="P286"/>
      <c r="Q286"/>
      <c r="R286"/>
      <c r="S286"/>
      <c r="T286"/>
      <c r="U286" s="46"/>
      <c r="V286" s="46"/>
    </row>
    <row r="287" spans="1:22" ht="15" customHeight="1" x14ac:dyDescent="0.25">
      <c r="A287" s="17"/>
      <c r="G287"/>
      <c r="H287"/>
      <c r="J287"/>
      <c r="K287"/>
      <c r="L287"/>
      <c r="M287"/>
      <c r="N287"/>
      <c r="P287"/>
      <c r="Q287"/>
      <c r="R287"/>
      <c r="S287"/>
      <c r="T287"/>
      <c r="U287" s="46"/>
      <c r="V287" s="46"/>
    </row>
    <row r="288" spans="1:22" ht="15" customHeight="1" x14ac:dyDescent="0.25">
      <c r="A288" s="17"/>
      <c r="G288"/>
      <c r="H288"/>
      <c r="J288"/>
      <c r="K288"/>
      <c r="L288"/>
      <c r="M288"/>
      <c r="N288"/>
      <c r="P288"/>
      <c r="Q288"/>
      <c r="R288"/>
      <c r="S288"/>
      <c r="T288"/>
      <c r="U288" s="46"/>
      <c r="V288" s="46"/>
    </row>
    <row r="289" spans="1:22" ht="15" customHeight="1" x14ac:dyDescent="0.25">
      <c r="A289" s="17"/>
      <c r="G289"/>
      <c r="H289"/>
      <c r="J289"/>
      <c r="K289"/>
      <c r="L289"/>
      <c r="M289"/>
      <c r="N289"/>
      <c r="P289"/>
      <c r="Q289"/>
      <c r="R289"/>
      <c r="S289"/>
      <c r="T289"/>
      <c r="U289" s="46"/>
      <c r="V289" s="46"/>
    </row>
    <row r="290" spans="1:22" ht="15" customHeight="1" x14ac:dyDescent="0.25">
      <c r="A290" s="17"/>
      <c r="G290"/>
      <c r="H290"/>
      <c r="J290"/>
      <c r="K290"/>
      <c r="L290"/>
      <c r="M290"/>
      <c r="N290"/>
      <c r="P290"/>
      <c r="Q290"/>
      <c r="R290"/>
      <c r="S290"/>
      <c r="T290"/>
      <c r="U290" s="46"/>
      <c r="V290" s="46"/>
    </row>
    <row r="291" spans="1:22" ht="15" customHeight="1" x14ac:dyDescent="0.25">
      <c r="A291" s="17"/>
      <c r="G291"/>
      <c r="H291"/>
      <c r="J291"/>
      <c r="K291"/>
      <c r="L291"/>
      <c r="M291"/>
      <c r="N291"/>
      <c r="P291"/>
      <c r="Q291"/>
      <c r="R291"/>
      <c r="S291"/>
      <c r="T291"/>
      <c r="U291" s="46"/>
      <c r="V291" s="46"/>
    </row>
    <row r="292" spans="1:22" ht="15" customHeight="1" x14ac:dyDescent="0.25">
      <c r="A292" s="17"/>
      <c r="G292"/>
      <c r="H292"/>
      <c r="J292"/>
      <c r="K292"/>
      <c r="L292"/>
      <c r="M292"/>
      <c r="N292"/>
      <c r="P292"/>
      <c r="Q292"/>
      <c r="R292"/>
      <c r="S292"/>
      <c r="T292"/>
      <c r="U292" s="46"/>
      <c r="V292" s="46"/>
    </row>
    <row r="293" spans="1:22" ht="15" customHeight="1" x14ac:dyDescent="0.25">
      <c r="A293" s="17"/>
      <c r="G293"/>
      <c r="H293"/>
      <c r="J293"/>
      <c r="K293"/>
      <c r="L293"/>
      <c r="M293"/>
      <c r="N293"/>
      <c r="P293"/>
      <c r="Q293"/>
      <c r="R293"/>
      <c r="S293"/>
      <c r="T293"/>
      <c r="U293" s="46"/>
      <c r="V293" s="46"/>
    </row>
    <row r="294" spans="1:22" ht="15" customHeight="1" x14ac:dyDescent="0.25">
      <c r="A294" s="17"/>
      <c r="G294"/>
      <c r="H294"/>
      <c r="J294"/>
      <c r="K294"/>
      <c r="L294"/>
      <c r="M294"/>
      <c r="N294"/>
      <c r="P294"/>
      <c r="Q294"/>
      <c r="R294"/>
      <c r="S294"/>
      <c r="T294"/>
      <c r="U294" s="46"/>
      <c r="V294" s="46"/>
    </row>
    <row r="295" spans="1:22" ht="15" customHeight="1" x14ac:dyDescent="0.25">
      <c r="A295" s="17"/>
      <c r="G295"/>
      <c r="H295"/>
      <c r="J295"/>
      <c r="K295"/>
      <c r="L295"/>
      <c r="M295"/>
      <c r="N295"/>
      <c r="P295"/>
      <c r="Q295"/>
      <c r="R295"/>
      <c r="S295"/>
      <c r="T295"/>
      <c r="U295" s="46"/>
      <c r="V295" s="46"/>
    </row>
    <row r="296" spans="1:22" ht="15" customHeight="1" x14ac:dyDescent="0.25">
      <c r="A296" s="17"/>
      <c r="G296"/>
      <c r="H296"/>
      <c r="J296"/>
      <c r="K296"/>
      <c r="L296"/>
      <c r="M296"/>
      <c r="N296"/>
      <c r="P296"/>
      <c r="Q296"/>
      <c r="R296"/>
      <c r="S296"/>
      <c r="T296"/>
      <c r="U296" s="46"/>
      <c r="V296" s="46"/>
    </row>
    <row r="297" spans="1:22" ht="15" customHeight="1" x14ac:dyDescent="0.25">
      <c r="A297" s="17"/>
      <c r="G297"/>
      <c r="H297"/>
      <c r="J297"/>
      <c r="K297"/>
      <c r="L297"/>
      <c r="M297"/>
      <c r="N297"/>
      <c r="P297"/>
      <c r="Q297"/>
      <c r="R297"/>
      <c r="S297"/>
      <c r="T297"/>
      <c r="U297" s="46"/>
      <c r="V297" s="46"/>
    </row>
    <row r="298" spans="1:22" ht="15" customHeight="1" x14ac:dyDescent="0.25">
      <c r="A298" s="17"/>
      <c r="G298"/>
      <c r="H298"/>
      <c r="J298"/>
      <c r="K298"/>
      <c r="L298"/>
      <c r="M298"/>
      <c r="N298"/>
      <c r="P298"/>
      <c r="Q298"/>
      <c r="R298"/>
      <c r="S298"/>
      <c r="T298"/>
      <c r="U298" s="46"/>
      <c r="V298" s="46"/>
    </row>
    <row r="299" spans="1:22" ht="15" customHeight="1" x14ac:dyDescent="0.25">
      <c r="A299" s="17"/>
      <c r="G299"/>
      <c r="H299"/>
      <c r="J299"/>
      <c r="K299"/>
      <c r="L299"/>
      <c r="M299"/>
      <c r="N299"/>
      <c r="P299"/>
      <c r="Q299"/>
      <c r="R299"/>
      <c r="S299"/>
      <c r="T299"/>
      <c r="U299" s="46"/>
      <c r="V299" s="46"/>
    </row>
    <row r="300" spans="1:22" ht="15" customHeight="1" x14ac:dyDescent="0.25">
      <c r="A300" s="17"/>
      <c r="G300"/>
      <c r="H300"/>
      <c r="J300"/>
      <c r="K300"/>
      <c r="L300"/>
      <c r="M300"/>
      <c r="N300"/>
      <c r="P300"/>
      <c r="Q300"/>
      <c r="R300"/>
      <c r="S300"/>
      <c r="T300"/>
      <c r="U300" s="46"/>
      <c r="V300" s="46"/>
    </row>
    <row r="301" spans="1:22" ht="15" customHeight="1" x14ac:dyDescent="0.25">
      <c r="A301" s="17"/>
      <c r="G301"/>
      <c r="H301"/>
      <c r="J301"/>
      <c r="K301"/>
      <c r="L301"/>
      <c r="M301"/>
      <c r="N301"/>
      <c r="P301"/>
      <c r="Q301"/>
      <c r="R301"/>
      <c r="S301"/>
      <c r="T301"/>
      <c r="U301" s="46"/>
      <c r="V301" s="46"/>
    </row>
    <row r="302" spans="1:22" ht="15" customHeight="1" x14ac:dyDescent="0.25">
      <c r="A302" s="17"/>
      <c r="G302"/>
      <c r="H302"/>
      <c r="J302"/>
      <c r="K302"/>
      <c r="L302"/>
      <c r="M302"/>
      <c r="N302"/>
      <c r="P302"/>
      <c r="Q302"/>
      <c r="R302"/>
      <c r="S302"/>
      <c r="T302"/>
      <c r="U302" s="46"/>
      <c r="V302" s="46"/>
    </row>
    <row r="303" spans="1:22" ht="15" customHeight="1" x14ac:dyDescent="0.25">
      <c r="A303" s="17"/>
      <c r="G303"/>
      <c r="H303"/>
      <c r="J303"/>
      <c r="K303"/>
      <c r="L303"/>
      <c r="M303"/>
      <c r="N303"/>
      <c r="P303"/>
      <c r="Q303"/>
      <c r="R303"/>
      <c r="S303"/>
      <c r="T303"/>
      <c r="U303" s="46"/>
      <c r="V303" s="46"/>
    </row>
    <row r="304" spans="1:22" ht="15" customHeight="1" x14ac:dyDescent="0.25">
      <c r="A304" s="17"/>
      <c r="G304"/>
      <c r="H304"/>
      <c r="J304"/>
      <c r="K304"/>
      <c r="L304"/>
      <c r="M304"/>
      <c r="N304"/>
      <c r="P304"/>
      <c r="Q304"/>
      <c r="R304"/>
      <c r="S304"/>
      <c r="T304"/>
      <c r="U304" s="46"/>
      <c r="V304" s="46"/>
    </row>
    <row r="305" spans="1:22" ht="15" customHeight="1" x14ac:dyDescent="0.25">
      <c r="A305" s="17"/>
      <c r="G305"/>
      <c r="H305"/>
      <c r="J305"/>
      <c r="K305"/>
      <c r="L305"/>
      <c r="M305"/>
      <c r="N305"/>
      <c r="P305"/>
      <c r="Q305"/>
      <c r="R305"/>
      <c r="S305"/>
      <c r="T305"/>
      <c r="U305" s="46"/>
      <c r="V305" s="46"/>
    </row>
    <row r="306" spans="1:22" ht="15" customHeight="1" x14ac:dyDescent="0.25">
      <c r="A306" s="17"/>
      <c r="G306"/>
      <c r="H306"/>
      <c r="J306"/>
      <c r="K306"/>
      <c r="L306"/>
      <c r="M306"/>
      <c r="N306"/>
      <c r="P306"/>
      <c r="Q306"/>
      <c r="R306"/>
      <c r="S306"/>
      <c r="T306"/>
      <c r="U306" s="46"/>
      <c r="V306" s="46"/>
    </row>
    <row r="307" spans="1:22" ht="15" customHeight="1" x14ac:dyDescent="0.25">
      <c r="A307" s="17"/>
      <c r="G307"/>
      <c r="H307"/>
      <c r="J307"/>
      <c r="K307"/>
      <c r="L307"/>
      <c r="M307"/>
      <c r="N307"/>
      <c r="P307"/>
      <c r="Q307"/>
      <c r="R307"/>
      <c r="S307"/>
      <c r="T307"/>
      <c r="U307" s="46"/>
      <c r="V307" s="46"/>
    </row>
    <row r="308" spans="1:22" ht="15" customHeight="1" x14ac:dyDescent="0.25">
      <c r="A308" s="17"/>
      <c r="G308"/>
      <c r="H308"/>
      <c r="J308"/>
      <c r="K308"/>
      <c r="L308"/>
      <c r="M308"/>
      <c r="N308"/>
      <c r="P308"/>
      <c r="Q308"/>
      <c r="R308"/>
      <c r="S308"/>
      <c r="T308"/>
      <c r="U308" s="46"/>
      <c r="V308" s="46"/>
    </row>
    <row r="309" spans="1:22" ht="15" customHeight="1" x14ac:dyDescent="0.25">
      <c r="A309" s="17"/>
      <c r="G309"/>
      <c r="H309"/>
      <c r="J309"/>
      <c r="K309"/>
      <c r="L309"/>
      <c r="M309"/>
      <c r="N309"/>
      <c r="P309"/>
      <c r="Q309"/>
      <c r="R309"/>
      <c r="S309"/>
      <c r="T309"/>
      <c r="U309" s="46"/>
      <c r="V309" s="46"/>
    </row>
    <row r="310" spans="1:22" ht="15" customHeight="1" x14ac:dyDescent="0.25">
      <c r="A310" s="17"/>
      <c r="G310"/>
      <c r="H310"/>
      <c r="J310"/>
      <c r="K310"/>
      <c r="L310"/>
      <c r="M310"/>
      <c r="N310"/>
      <c r="P310"/>
      <c r="Q310"/>
      <c r="R310"/>
      <c r="S310"/>
      <c r="T310"/>
      <c r="U310" s="46"/>
      <c r="V310" s="46"/>
    </row>
    <row r="311" spans="1:22" ht="15" customHeight="1" x14ac:dyDescent="0.25">
      <c r="A311" s="17"/>
      <c r="G311"/>
      <c r="H311"/>
      <c r="J311"/>
      <c r="K311"/>
      <c r="L311"/>
      <c r="M311"/>
      <c r="N311"/>
      <c r="P311"/>
      <c r="Q311"/>
      <c r="R311"/>
      <c r="S311"/>
      <c r="T311"/>
      <c r="U311" s="46"/>
      <c r="V311" s="46"/>
    </row>
    <row r="312" spans="1:22" ht="15" customHeight="1" x14ac:dyDescent="0.25">
      <c r="A312" s="17"/>
      <c r="G312"/>
      <c r="H312"/>
      <c r="J312"/>
      <c r="K312"/>
      <c r="L312"/>
      <c r="M312"/>
      <c r="N312"/>
      <c r="P312"/>
      <c r="Q312"/>
      <c r="R312"/>
      <c r="S312"/>
      <c r="T312"/>
      <c r="U312" s="46"/>
      <c r="V312" s="46"/>
    </row>
    <row r="313" spans="1:22" ht="15" customHeight="1" x14ac:dyDescent="0.25">
      <c r="A313" s="17"/>
      <c r="G313"/>
      <c r="H313"/>
      <c r="J313"/>
      <c r="K313"/>
      <c r="L313"/>
      <c r="M313"/>
      <c r="N313"/>
      <c r="P313"/>
      <c r="Q313"/>
      <c r="R313"/>
      <c r="S313"/>
      <c r="T313"/>
      <c r="U313" s="46"/>
      <c r="V313" s="46"/>
    </row>
    <row r="314" spans="1:22" ht="15" customHeight="1" x14ac:dyDescent="0.25">
      <c r="A314" s="17"/>
      <c r="G314"/>
      <c r="H314"/>
      <c r="J314"/>
      <c r="K314"/>
      <c r="L314"/>
      <c r="M314"/>
      <c r="N314"/>
      <c r="P314"/>
      <c r="Q314"/>
      <c r="R314"/>
      <c r="S314"/>
      <c r="T314"/>
      <c r="U314" s="46"/>
      <c r="V314" s="46"/>
    </row>
    <row r="315" spans="1:22" ht="15" customHeight="1" x14ac:dyDescent="0.25">
      <c r="A315" s="17"/>
      <c r="G315"/>
      <c r="H315"/>
      <c r="J315"/>
      <c r="K315"/>
      <c r="L315"/>
      <c r="M315"/>
      <c r="N315"/>
      <c r="P315"/>
      <c r="Q315"/>
      <c r="R315"/>
      <c r="S315"/>
      <c r="T315"/>
      <c r="U315" s="46"/>
      <c r="V315" s="46"/>
    </row>
    <row r="316" spans="1:22" ht="15" customHeight="1" x14ac:dyDescent="0.25">
      <c r="A316" s="17"/>
      <c r="G316"/>
      <c r="H316"/>
      <c r="J316"/>
      <c r="K316"/>
      <c r="L316"/>
      <c r="M316"/>
      <c r="N316"/>
      <c r="P316"/>
      <c r="Q316"/>
      <c r="R316"/>
      <c r="S316"/>
      <c r="T316"/>
      <c r="U316" s="46"/>
      <c r="V316" s="46"/>
    </row>
    <row r="317" spans="1:22" ht="15" customHeight="1" x14ac:dyDescent="0.25">
      <c r="A317" s="17"/>
      <c r="G317"/>
      <c r="H317"/>
      <c r="J317"/>
      <c r="K317"/>
      <c r="L317"/>
      <c r="M317"/>
      <c r="N317"/>
      <c r="P317"/>
      <c r="Q317"/>
      <c r="R317"/>
      <c r="S317"/>
      <c r="T317"/>
      <c r="U317" s="46"/>
      <c r="V317" s="46"/>
    </row>
    <row r="318" spans="1:22" ht="15" customHeight="1" x14ac:dyDescent="0.25">
      <c r="A318" s="17"/>
      <c r="G318"/>
      <c r="H318"/>
      <c r="J318"/>
      <c r="K318"/>
      <c r="L318"/>
      <c r="M318"/>
      <c r="N318"/>
      <c r="P318"/>
      <c r="Q318"/>
      <c r="R318"/>
      <c r="S318"/>
      <c r="T318"/>
      <c r="U318" s="46"/>
      <c r="V318" s="46"/>
    </row>
    <row r="319" spans="1:22" ht="15" customHeight="1" x14ac:dyDescent="0.25">
      <c r="A319" s="17"/>
      <c r="G319"/>
      <c r="H319"/>
      <c r="J319"/>
      <c r="K319"/>
      <c r="L319"/>
      <c r="M319"/>
      <c r="N319"/>
      <c r="P319"/>
      <c r="Q319"/>
      <c r="R319"/>
      <c r="S319"/>
      <c r="T319"/>
      <c r="U319" s="46"/>
      <c r="V319" s="46"/>
    </row>
    <row r="320" spans="1:22" ht="15" customHeight="1" x14ac:dyDescent="0.25">
      <c r="A320" s="17"/>
      <c r="G320"/>
      <c r="H320"/>
      <c r="J320"/>
      <c r="K320"/>
      <c r="L320"/>
      <c r="M320"/>
      <c r="N320"/>
      <c r="P320"/>
      <c r="Q320"/>
      <c r="R320"/>
      <c r="S320"/>
      <c r="T320"/>
      <c r="U320" s="46"/>
      <c r="V320" s="46"/>
    </row>
    <row r="321" spans="1:22" ht="15" customHeight="1" x14ac:dyDescent="0.25">
      <c r="A321" s="17"/>
      <c r="G321"/>
      <c r="H321"/>
      <c r="J321"/>
      <c r="K321"/>
      <c r="L321"/>
      <c r="M321"/>
      <c r="N321"/>
      <c r="P321"/>
      <c r="Q321"/>
      <c r="R321"/>
      <c r="S321"/>
      <c r="T321"/>
      <c r="U321" s="46"/>
      <c r="V321" s="46"/>
    </row>
    <row r="322" spans="1:22" ht="15" customHeight="1" x14ac:dyDescent="0.25">
      <c r="A322" s="17"/>
      <c r="G322"/>
      <c r="H322"/>
      <c r="J322"/>
      <c r="K322"/>
      <c r="L322"/>
      <c r="M322"/>
      <c r="N322"/>
      <c r="P322"/>
      <c r="Q322"/>
      <c r="R322"/>
      <c r="S322"/>
      <c r="T322"/>
      <c r="U322" s="46"/>
      <c r="V322" s="46"/>
    </row>
    <row r="323" spans="1:22" ht="15" customHeight="1" x14ac:dyDescent="0.25">
      <c r="A323" s="17"/>
      <c r="G323"/>
      <c r="H323"/>
      <c r="J323"/>
      <c r="K323"/>
      <c r="L323"/>
      <c r="M323"/>
      <c r="N323"/>
      <c r="P323"/>
      <c r="Q323"/>
      <c r="R323"/>
      <c r="S323"/>
      <c r="T323"/>
      <c r="U323" s="46"/>
      <c r="V323" s="46"/>
    </row>
    <row r="324" spans="1:22" ht="15" customHeight="1" x14ac:dyDescent="0.25">
      <c r="A324" s="17"/>
      <c r="G324"/>
      <c r="H324"/>
      <c r="J324"/>
      <c r="K324"/>
      <c r="L324"/>
      <c r="M324"/>
      <c r="N324"/>
      <c r="P324"/>
      <c r="Q324"/>
      <c r="R324"/>
      <c r="S324"/>
      <c r="T324"/>
      <c r="U324" s="46"/>
      <c r="V324" s="46"/>
    </row>
    <row r="325" spans="1:22" ht="15" customHeight="1" x14ac:dyDescent="0.25">
      <c r="A325" s="17"/>
      <c r="G325"/>
      <c r="H325"/>
      <c r="J325"/>
      <c r="K325"/>
      <c r="L325"/>
      <c r="M325"/>
      <c r="N325"/>
      <c r="P325"/>
      <c r="Q325"/>
      <c r="R325"/>
      <c r="S325"/>
      <c r="T325"/>
      <c r="U325" s="46"/>
      <c r="V325" s="46"/>
    </row>
    <row r="326" spans="1:22" ht="15" customHeight="1" x14ac:dyDescent="0.25">
      <c r="A326" s="17"/>
      <c r="G326"/>
      <c r="H326"/>
      <c r="J326"/>
      <c r="K326"/>
      <c r="L326"/>
      <c r="M326"/>
      <c r="N326"/>
      <c r="P326"/>
      <c r="Q326"/>
      <c r="R326"/>
      <c r="S326"/>
      <c r="T326"/>
      <c r="U326" s="46"/>
      <c r="V326" s="46"/>
    </row>
    <row r="327" spans="1:22" ht="15" customHeight="1" x14ac:dyDescent="0.25">
      <c r="A327" s="17"/>
      <c r="G327"/>
      <c r="H327"/>
      <c r="J327"/>
      <c r="K327"/>
      <c r="L327"/>
      <c r="M327"/>
      <c r="N327"/>
      <c r="P327"/>
      <c r="Q327"/>
      <c r="R327"/>
      <c r="S327"/>
      <c r="T327"/>
      <c r="U327" s="46"/>
      <c r="V327" s="46"/>
    </row>
    <row r="328" spans="1:22" ht="15" customHeight="1" x14ac:dyDescent="0.25">
      <c r="A328" s="17"/>
      <c r="G328"/>
      <c r="H328"/>
      <c r="J328"/>
      <c r="K328"/>
      <c r="L328"/>
      <c r="M328"/>
      <c r="N328"/>
      <c r="P328"/>
      <c r="Q328"/>
      <c r="R328"/>
      <c r="S328"/>
      <c r="T328"/>
      <c r="U328" s="46"/>
      <c r="V328" s="46"/>
    </row>
    <row r="329" spans="1:22" ht="15" customHeight="1" x14ac:dyDescent="0.25">
      <c r="A329" s="17"/>
      <c r="G329"/>
      <c r="H329"/>
      <c r="J329"/>
      <c r="K329"/>
      <c r="L329"/>
      <c r="M329"/>
      <c r="N329"/>
      <c r="P329"/>
      <c r="Q329"/>
      <c r="R329"/>
      <c r="S329"/>
      <c r="T329"/>
      <c r="U329" s="46"/>
      <c r="V329" s="46"/>
    </row>
    <row r="330" spans="1:22" ht="15" customHeight="1" x14ac:dyDescent="0.25">
      <c r="A330" s="17"/>
      <c r="G330"/>
      <c r="H330"/>
      <c r="J330"/>
      <c r="K330"/>
      <c r="L330"/>
      <c r="M330"/>
      <c r="N330"/>
      <c r="P330"/>
      <c r="Q330"/>
      <c r="R330"/>
      <c r="S330"/>
      <c r="T330"/>
      <c r="U330" s="46"/>
      <c r="V330" s="46"/>
    </row>
    <row r="331" spans="1:22" ht="15" customHeight="1" x14ac:dyDescent="0.25">
      <c r="A331" s="17"/>
      <c r="G331"/>
      <c r="H331"/>
      <c r="J331"/>
      <c r="K331"/>
      <c r="L331"/>
      <c r="M331"/>
      <c r="N331"/>
      <c r="P331"/>
      <c r="Q331"/>
      <c r="R331"/>
      <c r="S331"/>
      <c r="T331"/>
      <c r="U331" s="46"/>
      <c r="V331" s="46"/>
    </row>
    <row r="332" spans="1:22" ht="15" customHeight="1" x14ac:dyDescent="0.25">
      <c r="A332" s="17"/>
      <c r="G332"/>
      <c r="H332"/>
      <c r="J332"/>
      <c r="K332"/>
      <c r="L332"/>
      <c r="M332"/>
      <c r="N332"/>
      <c r="P332"/>
      <c r="Q332"/>
      <c r="R332"/>
      <c r="S332"/>
      <c r="T332"/>
      <c r="U332" s="46"/>
      <c r="V332" s="46"/>
    </row>
    <row r="333" spans="1:22" ht="15" customHeight="1" x14ac:dyDescent="0.25">
      <c r="A333" s="17"/>
      <c r="G333"/>
      <c r="H333"/>
      <c r="J333"/>
      <c r="K333"/>
      <c r="L333"/>
      <c r="M333"/>
      <c r="N333"/>
      <c r="P333"/>
      <c r="Q333"/>
      <c r="R333"/>
      <c r="S333"/>
      <c r="T333"/>
      <c r="U333" s="46"/>
      <c r="V333" s="46"/>
    </row>
    <row r="334" spans="1:22" ht="15" customHeight="1" x14ac:dyDescent="0.25">
      <c r="A334" s="17"/>
      <c r="G334"/>
      <c r="H334"/>
      <c r="J334"/>
      <c r="K334"/>
      <c r="L334"/>
      <c r="M334"/>
      <c r="N334"/>
      <c r="P334"/>
      <c r="Q334"/>
      <c r="R334"/>
      <c r="S334"/>
      <c r="T334"/>
      <c r="U334" s="46"/>
      <c r="V334" s="46"/>
    </row>
    <row r="335" spans="1:22" ht="15" customHeight="1" x14ac:dyDescent="0.25">
      <c r="A335" s="17"/>
      <c r="G335"/>
      <c r="H335"/>
      <c r="J335"/>
      <c r="K335"/>
      <c r="L335"/>
      <c r="M335"/>
      <c r="N335"/>
      <c r="P335"/>
      <c r="Q335"/>
      <c r="R335"/>
      <c r="S335"/>
      <c r="T335"/>
      <c r="U335" s="46"/>
      <c r="V335" s="46"/>
    </row>
    <row r="336" spans="1:22" ht="15" customHeight="1" x14ac:dyDescent="0.25">
      <c r="A336" s="17"/>
      <c r="G336"/>
      <c r="H336"/>
      <c r="J336"/>
      <c r="K336"/>
      <c r="L336"/>
      <c r="M336"/>
      <c r="N336"/>
      <c r="P336"/>
      <c r="Q336"/>
      <c r="R336"/>
      <c r="S336"/>
      <c r="T336"/>
      <c r="U336" s="46"/>
      <c r="V336" s="46"/>
    </row>
    <row r="337" spans="1:22" ht="15" customHeight="1" x14ac:dyDescent="0.25">
      <c r="A337" s="17"/>
      <c r="G337"/>
      <c r="H337"/>
      <c r="J337"/>
      <c r="K337"/>
      <c r="L337"/>
      <c r="M337"/>
      <c r="N337"/>
      <c r="P337"/>
      <c r="Q337"/>
      <c r="R337"/>
      <c r="S337"/>
      <c r="T337"/>
      <c r="U337" s="46"/>
      <c r="V337" s="46"/>
    </row>
    <row r="338" spans="1:22" ht="15" customHeight="1" x14ac:dyDescent="0.25">
      <c r="A338" s="17"/>
      <c r="G338"/>
      <c r="H338"/>
      <c r="J338"/>
      <c r="K338"/>
      <c r="L338"/>
      <c r="M338"/>
      <c r="N338"/>
      <c r="P338"/>
      <c r="Q338"/>
      <c r="R338"/>
      <c r="S338"/>
      <c r="T338"/>
      <c r="U338" s="46"/>
      <c r="V338" s="46"/>
    </row>
    <row r="339" spans="1:22" ht="15" customHeight="1" x14ac:dyDescent="0.25">
      <c r="A339" s="17"/>
      <c r="G339"/>
      <c r="H339"/>
      <c r="J339"/>
      <c r="K339"/>
      <c r="L339"/>
      <c r="M339"/>
      <c r="N339"/>
      <c r="P339"/>
      <c r="Q339"/>
      <c r="R339"/>
      <c r="S339"/>
      <c r="T339"/>
      <c r="U339" s="46"/>
      <c r="V339" s="46"/>
    </row>
    <row r="340" spans="1:22" ht="15" customHeight="1" x14ac:dyDescent="0.25">
      <c r="A340" s="17"/>
      <c r="G340"/>
      <c r="H340"/>
      <c r="J340"/>
      <c r="K340"/>
      <c r="L340"/>
      <c r="M340"/>
      <c r="N340"/>
      <c r="P340"/>
      <c r="Q340"/>
      <c r="R340"/>
      <c r="S340"/>
      <c r="T340"/>
      <c r="U340" s="46"/>
      <c r="V340" s="46"/>
    </row>
    <row r="341" spans="1:22" ht="15" customHeight="1" x14ac:dyDescent="0.25">
      <c r="A341" s="17"/>
      <c r="G341"/>
      <c r="H341"/>
      <c r="J341"/>
      <c r="K341"/>
      <c r="L341"/>
      <c r="M341"/>
      <c r="N341"/>
      <c r="P341"/>
      <c r="Q341"/>
      <c r="R341"/>
      <c r="S341"/>
      <c r="T341"/>
      <c r="U341" s="46"/>
      <c r="V341" s="46"/>
    </row>
    <row r="342" spans="1:22" ht="15" customHeight="1" x14ac:dyDescent="0.25">
      <c r="A342" s="17"/>
      <c r="G342"/>
      <c r="H342"/>
      <c r="J342"/>
      <c r="K342"/>
      <c r="L342"/>
      <c r="M342"/>
      <c r="N342"/>
      <c r="P342"/>
      <c r="Q342"/>
      <c r="R342"/>
      <c r="S342"/>
      <c r="T342"/>
      <c r="U342" s="46"/>
      <c r="V342" s="46"/>
    </row>
    <row r="343" spans="1:22" ht="15" customHeight="1" x14ac:dyDescent="0.25">
      <c r="A343" s="17"/>
      <c r="G343"/>
      <c r="H343"/>
      <c r="J343"/>
      <c r="K343"/>
      <c r="L343"/>
      <c r="M343"/>
      <c r="N343"/>
      <c r="P343"/>
      <c r="Q343"/>
      <c r="R343"/>
      <c r="S343"/>
      <c r="T343"/>
      <c r="U343" s="46"/>
      <c r="V343" s="46"/>
    </row>
    <row r="344" spans="1:22" ht="15" customHeight="1" x14ac:dyDescent="0.25">
      <c r="A344" s="17"/>
      <c r="G344"/>
      <c r="H344"/>
      <c r="J344"/>
      <c r="K344"/>
      <c r="L344"/>
      <c r="M344"/>
      <c r="N344"/>
      <c r="P344"/>
      <c r="Q344"/>
      <c r="R344"/>
      <c r="S344"/>
      <c r="T344"/>
      <c r="U344" s="46"/>
      <c r="V344" s="46"/>
    </row>
    <row r="345" spans="1:22" ht="15" customHeight="1" x14ac:dyDescent="0.25">
      <c r="A345" s="17"/>
      <c r="G345"/>
      <c r="H345"/>
      <c r="J345"/>
      <c r="K345"/>
      <c r="L345"/>
      <c r="M345"/>
      <c r="N345"/>
      <c r="P345"/>
      <c r="Q345"/>
      <c r="R345"/>
      <c r="S345"/>
      <c r="T345"/>
      <c r="U345" s="46"/>
      <c r="V345" s="46"/>
    </row>
    <row r="346" spans="1:22" ht="15" customHeight="1" x14ac:dyDescent="0.25">
      <c r="A346" s="17"/>
      <c r="G346"/>
      <c r="H346"/>
      <c r="J346"/>
      <c r="K346"/>
      <c r="L346"/>
      <c r="M346"/>
      <c r="N346"/>
      <c r="P346"/>
      <c r="Q346"/>
      <c r="R346"/>
      <c r="S346"/>
      <c r="T346"/>
      <c r="U346" s="46"/>
      <c r="V346" s="46"/>
    </row>
    <row r="347" spans="1:22" ht="15" customHeight="1" x14ac:dyDescent="0.25">
      <c r="A347" s="17"/>
      <c r="G347"/>
      <c r="H347"/>
      <c r="J347"/>
      <c r="K347"/>
      <c r="L347"/>
      <c r="M347"/>
      <c r="N347"/>
      <c r="P347"/>
      <c r="Q347"/>
      <c r="R347"/>
      <c r="S347"/>
      <c r="T347"/>
      <c r="U347" s="46"/>
      <c r="V347" s="46"/>
    </row>
    <row r="348" spans="1:22" ht="15" customHeight="1" x14ac:dyDescent="0.25">
      <c r="A348" s="17"/>
      <c r="G348"/>
      <c r="H348"/>
      <c r="J348"/>
      <c r="K348"/>
      <c r="L348"/>
      <c r="M348"/>
      <c r="N348"/>
      <c r="P348"/>
      <c r="Q348"/>
      <c r="R348"/>
      <c r="S348"/>
      <c r="T348"/>
      <c r="U348" s="46"/>
      <c r="V348" s="46"/>
    </row>
    <row r="349" spans="1:22" ht="15" customHeight="1" x14ac:dyDescent="0.25">
      <c r="A349" s="17"/>
      <c r="G349"/>
      <c r="H349"/>
      <c r="J349"/>
      <c r="K349"/>
      <c r="L349"/>
      <c r="M349"/>
      <c r="N349"/>
      <c r="P349"/>
      <c r="Q349"/>
      <c r="R349"/>
      <c r="S349"/>
      <c r="T349"/>
      <c r="U349" s="46"/>
      <c r="V349" s="46"/>
    </row>
    <row r="350" spans="1:22" ht="15" customHeight="1" x14ac:dyDescent="0.25">
      <c r="A350" s="17"/>
      <c r="G350"/>
      <c r="H350"/>
      <c r="J350"/>
      <c r="K350"/>
      <c r="L350"/>
      <c r="M350"/>
      <c r="N350"/>
      <c r="P350"/>
      <c r="Q350"/>
      <c r="R350"/>
      <c r="S350"/>
      <c r="T350"/>
      <c r="U350" s="46"/>
      <c r="V350" s="46"/>
    </row>
    <row r="351" spans="1:22" ht="15" customHeight="1" x14ac:dyDescent="0.25">
      <c r="A351" s="17"/>
      <c r="G351"/>
      <c r="H351"/>
      <c r="J351"/>
      <c r="K351"/>
      <c r="L351"/>
      <c r="M351"/>
      <c r="N351"/>
      <c r="P351"/>
      <c r="Q351"/>
      <c r="R351"/>
      <c r="S351"/>
      <c r="T351"/>
      <c r="U351" s="46"/>
      <c r="V351" s="46"/>
    </row>
    <row r="352" spans="1:22" ht="15" customHeight="1" x14ac:dyDescent="0.25">
      <c r="A352" s="17"/>
      <c r="G352"/>
      <c r="H352"/>
      <c r="J352"/>
      <c r="K352"/>
      <c r="L352"/>
      <c r="M352"/>
      <c r="N352"/>
      <c r="P352"/>
      <c r="Q352"/>
      <c r="R352"/>
      <c r="S352"/>
      <c r="T352"/>
      <c r="U352" s="46"/>
      <c r="V352" s="46"/>
    </row>
    <row r="353" spans="1:22" ht="15" customHeight="1" x14ac:dyDescent="0.25">
      <c r="A353" s="17"/>
      <c r="G353"/>
      <c r="H353"/>
      <c r="J353"/>
      <c r="K353"/>
      <c r="L353"/>
      <c r="M353"/>
      <c r="N353"/>
      <c r="P353"/>
      <c r="Q353"/>
      <c r="R353"/>
      <c r="S353"/>
      <c r="T353"/>
      <c r="U353" s="46"/>
      <c r="V353" s="46"/>
    </row>
    <row r="354" spans="1:22" ht="15" customHeight="1" x14ac:dyDescent="0.25">
      <c r="A354" s="17"/>
      <c r="G354"/>
      <c r="H354"/>
      <c r="J354"/>
      <c r="K354"/>
      <c r="L354"/>
      <c r="M354"/>
      <c r="N354"/>
      <c r="P354"/>
      <c r="Q354"/>
      <c r="R354"/>
      <c r="S354"/>
      <c r="T354"/>
      <c r="U354" s="46"/>
      <c r="V354" s="46"/>
    </row>
    <row r="355" spans="1:22" ht="15" customHeight="1" x14ac:dyDescent="0.25">
      <c r="A355" s="17"/>
      <c r="G355"/>
      <c r="H355"/>
      <c r="J355"/>
      <c r="K355"/>
      <c r="L355"/>
      <c r="M355"/>
      <c r="N355"/>
      <c r="P355"/>
      <c r="Q355"/>
      <c r="R355"/>
      <c r="S355"/>
      <c r="T355"/>
      <c r="U355" s="46"/>
      <c r="V355" s="46"/>
    </row>
    <row r="356" spans="1:22" ht="15" customHeight="1" x14ac:dyDescent="0.25">
      <c r="A356" s="17"/>
      <c r="G356"/>
      <c r="H356"/>
      <c r="J356"/>
      <c r="K356"/>
      <c r="L356"/>
      <c r="M356"/>
      <c r="N356"/>
      <c r="P356"/>
      <c r="Q356"/>
      <c r="R356"/>
      <c r="S356"/>
      <c r="T356"/>
      <c r="U356" s="46"/>
      <c r="V356" s="46"/>
    </row>
    <row r="357" spans="1:22" ht="15" customHeight="1" x14ac:dyDescent="0.25">
      <c r="A357" s="17"/>
      <c r="G357"/>
      <c r="H357"/>
      <c r="J357"/>
      <c r="K357"/>
      <c r="L357"/>
      <c r="M357"/>
      <c r="N357"/>
      <c r="P357"/>
      <c r="Q357"/>
      <c r="R357"/>
      <c r="S357"/>
      <c r="T357"/>
      <c r="U357" s="46"/>
      <c r="V357" s="46"/>
    </row>
    <row r="358" spans="1:22" ht="15" customHeight="1" x14ac:dyDescent="0.25">
      <c r="A358" s="17"/>
      <c r="G358"/>
      <c r="H358"/>
      <c r="J358"/>
      <c r="K358"/>
      <c r="L358"/>
      <c r="M358"/>
      <c r="N358"/>
      <c r="P358"/>
      <c r="Q358"/>
      <c r="R358"/>
      <c r="S358"/>
      <c r="T358"/>
      <c r="U358" s="46"/>
      <c r="V358" s="46"/>
    </row>
    <row r="359" spans="1:22" ht="15" customHeight="1" x14ac:dyDescent="0.25">
      <c r="A359" s="17"/>
      <c r="G359"/>
      <c r="H359"/>
      <c r="J359"/>
      <c r="K359"/>
      <c r="L359"/>
      <c r="M359"/>
      <c r="N359"/>
      <c r="P359"/>
      <c r="Q359"/>
      <c r="R359"/>
      <c r="S359"/>
      <c r="T359"/>
      <c r="U359" s="46"/>
      <c r="V359" s="46"/>
    </row>
    <row r="360" spans="1:22" ht="15" customHeight="1" x14ac:dyDescent="0.25">
      <c r="A360" s="17"/>
      <c r="G360"/>
      <c r="H360"/>
      <c r="J360"/>
      <c r="K360"/>
      <c r="L360"/>
      <c r="M360"/>
      <c r="N360"/>
      <c r="P360"/>
      <c r="Q360"/>
      <c r="R360"/>
      <c r="S360"/>
      <c r="T360"/>
      <c r="U360" s="46"/>
      <c r="V360" s="46"/>
    </row>
    <row r="361" spans="1:22" ht="15" customHeight="1" x14ac:dyDescent="0.25">
      <c r="A361" s="17"/>
      <c r="G361"/>
      <c r="H361"/>
      <c r="J361"/>
      <c r="K361"/>
      <c r="L361"/>
      <c r="M361"/>
      <c r="N361"/>
      <c r="P361"/>
      <c r="Q361"/>
      <c r="R361"/>
      <c r="S361"/>
      <c r="T361"/>
      <c r="U361" s="46"/>
      <c r="V361" s="46"/>
    </row>
    <row r="362" spans="1:22" ht="15" customHeight="1" x14ac:dyDescent="0.25">
      <c r="A362" s="17"/>
      <c r="G362"/>
      <c r="H362"/>
      <c r="J362"/>
      <c r="K362"/>
      <c r="L362"/>
      <c r="M362"/>
      <c r="N362"/>
      <c r="P362"/>
      <c r="Q362"/>
      <c r="R362"/>
      <c r="S362"/>
      <c r="T362"/>
      <c r="U362" s="46"/>
      <c r="V362" s="46"/>
    </row>
    <row r="363" spans="1:22" ht="15" customHeight="1" x14ac:dyDescent="0.25">
      <c r="A363" s="17"/>
      <c r="G363"/>
      <c r="H363"/>
      <c r="J363"/>
      <c r="K363"/>
      <c r="L363"/>
      <c r="M363"/>
      <c r="N363"/>
      <c r="P363"/>
      <c r="Q363"/>
      <c r="R363"/>
      <c r="S363"/>
      <c r="T363"/>
      <c r="U363" s="46"/>
      <c r="V363" s="46"/>
    </row>
    <row r="364" spans="1:22" ht="15" customHeight="1" x14ac:dyDescent="0.25">
      <c r="A364" s="17"/>
      <c r="G364"/>
      <c r="H364"/>
      <c r="J364"/>
      <c r="K364"/>
      <c r="L364"/>
      <c r="M364"/>
      <c r="N364"/>
      <c r="P364"/>
      <c r="Q364"/>
      <c r="R364"/>
      <c r="S364"/>
      <c r="T364"/>
      <c r="U364" s="46"/>
      <c r="V364" s="46"/>
    </row>
    <row r="365" spans="1:22" ht="15" customHeight="1" x14ac:dyDescent="0.25">
      <c r="A365" s="17"/>
      <c r="G365"/>
      <c r="H365"/>
      <c r="J365"/>
      <c r="K365"/>
      <c r="L365"/>
      <c r="M365"/>
      <c r="N365"/>
      <c r="P365"/>
      <c r="Q365"/>
      <c r="R365"/>
      <c r="S365"/>
      <c r="T365"/>
      <c r="U365" s="46"/>
      <c r="V365" s="46"/>
    </row>
    <row r="366" spans="1:22" ht="15" customHeight="1" x14ac:dyDescent="0.25">
      <c r="A366" s="17"/>
      <c r="G366"/>
      <c r="H366"/>
      <c r="J366"/>
      <c r="K366"/>
      <c r="L366"/>
      <c r="M366"/>
      <c r="N366"/>
      <c r="P366"/>
      <c r="Q366"/>
      <c r="R366"/>
      <c r="S366"/>
      <c r="T366"/>
      <c r="U366" s="46"/>
      <c r="V366" s="46"/>
    </row>
    <row r="367" spans="1:22" ht="15" customHeight="1" x14ac:dyDescent="0.25">
      <c r="A367" s="17"/>
      <c r="G367"/>
      <c r="H367"/>
      <c r="J367"/>
      <c r="K367"/>
      <c r="L367"/>
      <c r="M367"/>
      <c r="N367"/>
      <c r="P367"/>
      <c r="Q367"/>
      <c r="R367"/>
      <c r="S367"/>
      <c r="T367"/>
      <c r="U367" s="46"/>
      <c r="V367" s="46"/>
    </row>
    <row r="368" spans="1:22" ht="15" customHeight="1" x14ac:dyDescent="0.25">
      <c r="A368" s="17"/>
      <c r="G368"/>
      <c r="H368"/>
      <c r="J368"/>
      <c r="K368"/>
      <c r="L368"/>
      <c r="M368"/>
      <c r="N368"/>
      <c r="P368"/>
      <c r="Q368"/>
      <c r="R368"/>
      <c r="S368"/>
      <c r="T368"/>
      <c r="U368" s="46"/>
      <c r="V368" s="46"/>
    </row>
    <row r="369" spans="1:22" ht="15" customHeight="1" x14ac:dyDescent="0.25">
      <c r="A369" s="17"/>
      <c r="G369"/>
      <c r="H369"/>
      <c r="J369"/>
      <c r="K369"/>
      <c r="L369"/>
      <c r="M369"/>
      <c r="N369"/>
      <c r="P369"/>
      <c r="Q369"/>
      <c r="R369"/>
      <c r="S369"/>
      <c r="T369"/>
      <c r="U369" s="46"/>
      <c r="V369" s="46"/>
    </row>
    <row r="370" spans="1:22" ht="15" customHeight="1" x14ac:dyDescent="0.25">
      <c r="A370" s="17"/>
      <c r="G370"/>
      <c r="H370"/>
      <c r="J370"/>
      <c r="K370"/>
      <c r="L370"/>
      <c r="M370"/>
      <c r="N370"/>
      <c r="P370"/>
      <c r="Q370"/>
      <c r="R370"/>
      <c r="S370"/>
      <c r="T370"/>
      <c r="U370" s="46"/>
      <c r="V370" s="46"/>
    </row>
    <row r="371" spans="1:22" ht="15" customHeight="1" x14ac:dyDescent="0.25">
      <c r="A371" s="17"/>
      <c r="G371"/>
      <c r="H371"/>
      <c r="J371"/>
      <c r="K371"/>
      <c r="L371"/>
      <c r="M371"/>
      <c r="N371"/>
      <c r="P371"/>
      <c r="Q371"/>
      <c r="R371"/>
      <c r="S371"/>
      <c r="T371"/>
      <c r="U371" s="46"/>
      <c r="V371" s="46"/>
    </row>
    <row r="372" spans="1:22" ht="15" customHeight="1" x14ac:dyDescent="0.25">
      <c r="A372" s="17"/>
      <c r="G372"/>
      <c r="H372"/>
      <c r="J372"/>
      <c r="K372"/>
      <c r="L372"/>
      <c r="M372"/>
      <c r="N372"/>
      <c r="P372"/>
      <c r="Q372"/>
      <c r="R372"/>
      <c r="S372"/>
      <c r="T372"/>
      <c r="U372" s="46"/>
      <c r="V372" s="46"/>
    </row>
    <row r="373" spans="1:22" ht="15" customHeight="1" x14ac:dyDescent="0.25">
      <c r="A373" s="17"/>
      <c r="G373"/>
      <c r="H373"/>
      <c r="J373"/>
      <c r="K373"/>
      <c r="L373"/>
      <c r="M373"/>
      <c r="N373"/>
      <c r="P373"/>
      <c r="Q373"/>
      <c r="R373"/>
      <c r="S373"/>
      <c r="T373"/>
      <c r="U373" s="46"/>
      <c r="V373" s="46"/>
    </row>
    <row r="374" spans="1:22" ht="15" customHeight="1" x14ac:dyDescent="0.25">
      <c r="A374" s="17"/>
      <c r="G374"/>
      <c r="H374"/>
      <c r="J374"/>
      <c r="K374"/>
      <c r="L374"/>
      <c r="M374"/>
      <c r="N374"/>
      <c r="P374"/>
      <c r="Q374"/>
      <c r="R374"/>
      <c r="S374"/>
      <c r="T374"/>
      <c r="U374" s="46"/>
      <c r="V374" s="46"/>
    </row>
    <row r="375" spans="1:22" ht="15" customHeight="1" x14ac:dyDescent="0.25">
      <c r="A375" s="17"/>
      <c r="G375"/>
      <c r="H375"/>
      <c r="J375"/>
      <c r="K375"/>
      <c r="L375"/>
      <c r="M375"/>
      <c r="N375"/>
      <c r="P375"/>
      <c r="Q375"/>
      <c r="R375"/>
      <c r="S375"/>
      <c r="T375"/>
      <c r="U375" s="46"/>
      <c r="V375" s="46"/>
    </row>
    <row r="376" spans="1:22" ht="15" customHeight="1" x14ac:dyDescent="0.25">
      <c r="A376" s="17"/>
      <c r="G376"/>
      <c r="H376"/>
      <c r="J376"/>
      <c r="K376"/>
      <c r="L376"/>
      <c r="M376"/>
      <c r="N376"/>
      <c r="P376"/>
      <c r="Q376"/>
      <c r="R376"/>
      <c r="S376"/>
      <c r="T376"/>
      <c r="U376" s="46"/>
      <c r="V376" s="46"/>
    </row>
    <row r="377" spans="1:22" ht="15" customHeight="1" x14ac:dyDescent="0.25">
      <c r="A377" s="17"/>
      <c r="G377"/>
      <c r="H377"/>
      <c r="J377"/>
      <c r="K377"/>
      <c r="L377"/>
      <c r="M377"/>
      <c r="N377"/>
      <c r="P377"/>
      <c r="Q377"/>
      <c r="R377"/>
      <c r="S377"/>
      <c r="T377"/>
      <c r="U377" s="46"/>
      <c r="V377" s="46"/>
    </row>
    <row r="378" spans="1:22" ht="15" customHeight="1" x14ac:dyDescent="0.25">
      <c r="A378" s="17"/>
      <c r="G378"/>
      <c r="H378"/>
      <c r="J378"/>
      <c r="K378"/>
      <c r="L378"/>
      <c r="M378"/>
      <c r="N378"/>
      <c r="P378"/>
      <c r="Q378"/>
      <c r="R378"/>
      <c r="S378"/>
      <c r="T378"/>
      <c r="U378" s="46"/>
      <c r="V378" s="46"/>
    </row>
    <row r="379" spans="1:22" ht="15" customHeight="1" x14ac:dyDescent="0.25">
      <c r="A379" s="17"/>
      <c r="G379"/>
      <c r="H379"/>
      <c r="J379"/>
      <c r="K379"/>
      <c r="L379"/>
      <c r="M379"/>
      <c r="N379"/>
      <c r="P379"/>
      <c r="Q379"/>
      <c r="R379"/>
      <c r="S379"/>
      <c r="T379"/>
      <c r="U379" s="46"/>
      <c r="V379" s="46"/>
    </row>
    <row r="380" spans="1:22" ht="15" customHeight="1" x14ac:dyDescent="0.25">
      <c r="A380" s="17"/>
      <c r="G380"/>
      <c r="H380"/>
      <c r="J380"/>
      <c r="K380"/>
      <c r="L380"/>
      <c r="M380"/>
      <c r="N380"/>
      <c r="P380"/>
      <c r="Q380"/>
      <c r="R380"/>
      <c r="S380"/>
      <c r="T380"/>
      <c r="U380" s="46"/>
      <c r="V380" s="46"/>
    </row>
    <row r="381" spans="1:22" ht="15" customHeight="1" x14ac:dyDescent="0.25">
      <c r="A381" s="17"/>
      <c r="G381"/>
      <c r="H381"/>
      <c r="J381"/>
      <c r="K381"/>
      <c r="L381"/>
      <c r="M381"/>
      <c r="N381"/>
      <c r="P381"/>
      <c r="Q381"/>
      <c r="R381"/>
      <c r="S381"/>
      <c r="T381"/>
      <c r="U381" s="46"/>
      <c r="V381" s="46"/>
    </row>
    <row r="382" spans="1:22" ht="15" customHeight="1" x14ac:dyDescent="0.25">
      <c r="A382" s="17"/>
      <c r="G382"/>
      <c r="H382"/>
      <c r="J382"/>
      <c r="K382"/>
      <c r="L382"/>
      <c r="M382"/>
      <c r="N382"/>
      <c r="P382"/>
      <c r="Q382"/>
      <c r="R382"/>
      <c r="S382"/>
      <c r="T382"/>
      <c r="U382" s="46"/>
      <c r="V382" s="46"/>
    </row>
    <row r="383" spans="1:22" ht="15" customHeight="1" x14ac:dyDescent="0.25">
      <c r="A383" s="17"/>
      <c r="G383"/>
      <c r="H383"/>
      <c r="J383"/>
      <c r="K383"/>
      <c r="L383"/>
      <c r="M383"/>
      <c r="N383"/>
      <c r="P383"/>
      <c r="Q383"/>
      <c r="R383"/>
      <c r="S383"/>
      <c r="T383"/>
      <c r="U383" s="46"/>
      <c r="V383" s="46"/>
    </row>
    <row r="384" spans="1:22" ht="15" customHeight="1" x14ac:dyDescent="0.25">
      <c r="A384" s="17"/>
      <c r="G384"/>
      <c r="H384"/>
      <c r="J384"/>
      <c r="K384"/>
      <c r="L384"/>
      <c r="M384"/>
      <c r="N384"/>
      <c r="P384"/>
      <c r="Q384"/>
      <c r="R384"/>
      <c r="S384"/>
      <c r="T384"/>
      <c r="U384" s="46"/>
      <c r="V384" s="46"/>
    </row>
    <row r="385" spans="1:22" ht="15" customHeight="1" x14ac:dyDescent="0.25">
      <c r="A385" s="17"/>
      <c r="G385"/>
      <c r="H385"/>
      <c r="J385"/>
      <c r="K385"/>
      <c r="L385"/>
      <c r="M385"/>
      <c r="N385"/>
      <c r="P385"/>
      <c r="Q385"/>
      <c r="R385"/>
      <c r="S385"/>
      <c r="T385"/>
      <c r="U385" s="46"/>
      <c r="V385" s="46"/>
    </row>
    <row r="386" spans="1:22" ht="15" customHeight="1" x14ac:dyDescent="0.25">
      <c r="A386" s="17"/>
      <c r="G386"/>
      <c r="H386"/>
      <c r="J386"/>
      <c r="K386"/>
      <c r="L386"/>
      <c r="M386"/>
      <c r="N386"/>
      <c r="P386"/>
      <c r="Q386"/>
      <c r="R386"/>
      <c r="S386"/>
      <c r="T386"/>
      <c r="U386" s="46"/>
      <c r="V386" s="46"/>
    </row>
    <row r="387" spans="1:22" ht="15" customHeight="1" x14ac:dyDescent="0.25">
      <c r="A387" s="17"/>
      <c r="G387"/>
      <c r="H387"/>
      <c r="J387"/>
      <c r="K387"/>
      <c r="L387"/>
      <c r="M387"/>
      <c r="N387"/>
      <c r="P387"/>
      <c r="Q387"/>
      <c r="R387"/>
      <c r="S387"/>
      <c r="T387"/>
      <c r="U387" s="46"/>
      <c r="V387" s="46"/>
    </row>
    <row r="388" spans="1:22" ht="15" customHeight="1" x14ac:dyDescent="0.25">
      <c r="A388" s="17"/>
      <c r="G388"/>
      <c r="H388"/>
      <c r="J388"/>
      <c r="K388"/>
      <c r="L388"/>
      <c r="M388"/>
      <c r="N388"/>
      <c r="P388"/>
      <c r="Q388"/>
      <c r="R388"/>
      <c r="S388"/>
      <c r="T388"/>
      <c r="U388" s="46"/>
      <c r="V388" s="46"/>
    </row>
    <row r="389" spans="1:22" ht="15" customHeight="1" x14ac:dyDescent="0.25">
      <c r="A389" s="17"/>
      <c r="G389"/>
      <c r="H389"/>
      <c r="J389"/>
      <c r="K389"/>
      <c r="L389"/>
      <c r="M389"/>
      <c r="N389"/>
      <c r="P389"/>
      <c r="Q389"/>
      <c r="R389"/>
      <c r="S389"/>
      <c r="T389"/>
      <c r="U389" s="46"/>
      <c r="V389" s="46"/>
    </row>
    <row r="390" spans="1:22" ht="15" customHeight="1" x14ac:dyDescent="0.25">
      <c r="A390" s="17"/>
      <c r="G390"/>
      <c r="H390"/>
      <c r="J390"/>
      <c r="K390"/>
      <c r="L390"/>
      <c r="M390"/>
      <c r="N390"/>
      <c r="P390"/>
      <c r="Q390"/>
      <c r="R390"/>
      <c r="S390"/>
      <c r="T390"/>
      <c r="U390" s="46"/>
      <c r="V390" s="46"/>
    </row>
    <row r="391" spans="1:22" ht="15" customHeight="1" x14ac:dyDescent="0.25">
      <c r="A391" s="17"/>
      <c r="G391"/>
      <c r="H391"/>
      <c r="J391"/>
      <c r="K391"/>
      <c r="L391"/>
      <c r="M391"/>
      <c r="N391"/>
      <c r="P391"/>
      <c r="Q391"/>
      <c r="R391"/>
      <c r="S391"/>
      <c r="T391"/>
      <c r="U391" s="46"/>
      <c r="V391" s="46"/>
    </row>
    <row r="392" spans="1:22" ht="15" customHeight="1" x14ac:dyDescent="0.25">
      <c r="A392" s="17"/>
      <c r="G392"/>
      <c r="H392"/>
      <c r="J392"/>
      <c r="K392"/>
      <c r="L392"/>
      <c r="M392"/>
      <c r="N392"/>
      <c r="P392"/>
      <c r="Q392"/>
      <c r="R392"/>
      <c r="S392"/>
      <c r="T392"/>
      <c r="U392" s="46"/>
      <c r="V392" s="46"/>
    </row>
    <row r="393" spans="1:22" ht="15" customHeight="1" x14ac:dyDescent="0.25">
      <c r="A393" s="17"/>
      <c r="G393"/>
      <c r="H393"/>
      <c r="J393"/>
      <c r="K393"/>
      <c r="L393"/>
      <c r="M393"/>
      <c r="N393"/>
      <c r="P393"/>
      <c r="Q393"/>
      <c r="R393"/>
      <c r="S393"/>
      <c r="T393"/>
      <c r="U393" s="46"/>
      <c r="V393" s="46"/>
    </row>
    <row r="394" spans="1:22" ht="15" customHeight="1" x14ac:dyDescent="0.25">
      <c r="A394" s="17"/>
      <c r="G394"/>
      <c r="H394"/>
      <c r="J394"/>
      <c r="K394"/>
      <c r="L394"/>
      <c r="M394"/>
      <c r="N394"/>
      <c r="P394"/>
      <c r="Q394"/>
      <c r="R394"/>
      <c r="S394"/>
      <c r="T394"/>
      <c r="U394" s="46"/>
      <c r="V394" s="46"/>
    </row>
    <row r="395" spans="1:22" ht="15" customHeight="1" x14ac:dyDescent="0.25">
      <c r="A395" s="17"/>
      <c r="G395"/>
      <c r="H395"/>
      <c r="J395"/>
      <c r="K395"/>
      <c r="L395"/>
      <c r="M395"/>
      <c r="N395"/>
      <c r="P395"/>
      <c r="Q395"/>
      <c r="R395"/>
      <c r="S395"/>
      <c r="T395"/>
      <c r="U395" s="46"/>
      <c r="V395" s="46"/>
    </row>
    <row r="396" spans="1:22" ht="15" customHeight="1" x14ac:dyDescent="0.25">
      <c r="A396" s="17"/>
      <c r="G396"/>
      <c r="H396"/>
      <c r="J396"/>
      <c r="K396"/>
      <c r="L396"/>
      <c r="M396"/>
      <c r="N396"/>
      <c r="P396"/>
      <c r="Q396"/>
      <c r="R396"/>
      <c r="S396"/>
      <c r="T396"/>
      <c r="U396" s="46"/>
      <c r="V396" s="46"/>
    </row>
    <row r="397" spans="1:22" ht="15" customHeight="1" x14ac:dyDescent="0.25">
      <c r="A397" s="17"/>
      <c r="G397"/>
      <c r="H397"/>
      <c r="J397"/>
      <c r="K397"/>
      <c r="L397"/>
      <c r="M397"/>
      <c r="N397"/>
      <c r="P397"/>
      <c r="Q397"/>
      <c r="R397"/>
      <c r="S397"/>
      <c r="T397"/>
      <c r="U397" s="46"/>
      <c r="V397" s="46"/>
    </row>
    <row r="398" spans="1:22" ht="15" customHeight="1" x14ac:dyDescent="0.25">
      <c r="A398" s="17"/>
      <c r="G398"/>
      <c r="H398"/>
      <c r="J398"/>
      <c r="K398"/>
      <c r="L398"/>
      <c r="M398"/>
      <c r="N398"/>
      <c r="P398"/>
      <c r="Q398"/>
      <c r="R398"/>
      <c r="S398"/>
      <c r="T398"/>
      <c r="U398" s="46"/>
      <c r="V398" s="46"/>
    </row>
    <row r="399" spans="1:22" ht="15" customHeight="1" x14ac:dyDescent="0.25">
      <c r="A399" s="17"/>
      <c r="G399"/>
      <c r="H399"/>
      <c r="J399"/>
      <c r="K399"/>
      <c r="L399"/>
      <c r="M399"/>
      <c r="N399"/>
      <c r="P399"/>
      <c r="Q399"/>
      <c r="R399"/>
      <c r="S399"/>
      <c r="T399"/>
      <c r="U399" s="46"/>
      <c r="V399" s="46"/>
    </row>
    <row r="400" spans="1:22" ht="15" customHeight="1" x14ac:dyDescent="0.25">
      <c r="A400" s="17"/>
      <c r="G400"/>
      <c r="H400"/>
      <c r="J400"/>
      <c r="K400"/>
      <c r="L400"/>
      <c r="M400"/>
      <c r="N400"/>
      <c r="P400"/>
      <c r="Q400"/>
      <c r="R400"/>
      <c r="S400"/>
      <c r="T400"/>
      <c r="U400" s="46"/>
      <c r="V400" s="46"/>
    </row>
    <row r="401" spans="1:22" ht="15" customHeight="1" x14ac:dyDescent="0.25">
      <c r="A401" s="17"/>
      <c r="G401"/>
      <c r="H401"/>
      <c r="J401"/>
      <c r="K401"/>
      <c r="L401"/>
      <c r="M401"/>
      <c r="N401"/>
      <c r="P401"/>
      <c r="Q401"/>
      <c r="R401"/>
      <c r="S401"/>
      <c r="T401"/>
      <c r="U401" s="46"/>
      <c r="V401" s="46"/>
    </row>
    <row r="402" spans="1:22" ht="15" customHeight="1" x14ac:dyDescent="0.25">
      <c r="A402" s="17"/>
      <c r="G402"/>
      <c r="H402"/>
      <c r="J402"/>
      <c r="K402"/>
      <c r="L402"/>
      <c r="M402"/>
      <c r="N402"/>
      <c r="P402"/>
      <c r="Q402"/>
      <c r="R402"/>
      <c r="S402"/>
      <c r="T402"/>
      <c r="U402" s="46"/>
      <c r="V402" s="46"/>
    </row>
    <row r="403" spans="1:22" ht="15" customHeight="1" x14ac:dyDescent="0.25">
      <c r="A403" s="17"/>
      <c r="G403"/>
      <c r="H403"/>
      <c r="J403"/>
      <c r="K403"/>
      <c r="L403"/>
      <c r="M403"/>
      <c r="N403"/>
      <c r="P403"/>
      <c r="Q403"/>
      <c r="R403"/>
      <c r="S403"/>
      <c r="T403"/>
      <c r="U403" s="46"/>
      <c r="V403" s="46"/>
    </row>
    <row r="404" spans="1:22" ht="15" customHeight="1" x14ac:dyDescent="0.25">
      <c r="A404" s="17"/>
      <c r="G404"/>
      <c r="H404"/>
      <c r="J404"/>
      <c r="K404"/>
      <c r="L404"/>
      <c r="M404"/>
      <c r="N404"/>
      <c r="P404"/>
      <c r="Q404"/>
      <c r="R404"/>
      <c r="S404"/>
      <c r="T404"/>
      <c r="U404" s="46"/>
      <c r="V404" s="46"/>
    </row>
    <row r="405" spans="1:22" ht="15" customHeight="1" x14ac:dyDescent="0.25">
      <c r="A405" s="17"/>
      <c r="G405"/>
      <c r="H405"/>
      <c r="J405"/>
      <c r="K405"/>
      <c r="L405"/>
      <c r="M405"/>
      <c r="N405"/>
      <c r="P405"/>
      <c r="Q405"/>
      <c r="R405"/>
      <c r="S405"/>
      <c r="T405"/>
      <c r="U405" s="46"/>
      <c r="V405" s="46"/>
    </row>
    <row r="406" spans="1:22" ht="15" customHeight="1" x14ac:dyDescent="0.25">
      <c r="A406" s="17"/>
      <c r="G406"/>
      <c r="H406"/>
      <c r="J406"/>
      <c r="K406"/>
      <c r="L406"/>
      <c r="M406"/>
      <c r="N406"/>
      <c r="P406"/>
      <c r="Q406"/>
      <c r="R406"/>
      <c r="S406"/>
      <c r="T406"/>
      <c r="U406" s="46"/>
      <c r="V406" s="46"/>
    </row>
    <row r="407" spans="1:22" ht="15" customHeight="1" x14ac:dyDescent="0.25">
      <c r="A407" s="17"/>
      <c r="G407"/>
      <c r="H407"/>
      <c r="J407"/>
      <c r="K407"/>
      <c r="L407"/>
      <c r="M407"/>
      <c r="N407"/>
      <c r="P407"/>
      <c r="Q407"/>
      <c r="R407"/>
      <c r="S407"/>
      <c r="T407"/>
      <c r="U407" s="46"/>
      <c r="V407" s="46"/>
    </row>
    <row r="408" spans="1:22" ht="15" customHeight="1" x14ac:dyDescent="0.25">
      <c r="A408" s="17"/>
      <c r="G408"/>
      <c r="H408"/>
      <c r="J408"/>
      <c r="K408"/>
      <c r="L408"/>
      <c r="M408"/>
      <c r="N408"/>
      <c r="P408"/>
      <c r="Q408"/>
      <c r="R408"/>
      <c r="S408"/>
      <c r="T408"/>
      <c r="U408" s="46"/>
      <c r="V408" s="46"/>
    </row>
    <row r="409" spans="1:22" ht="15" customHeight="1" x14ac:dyDescent="0.25">
      <c r="A409" s="17"/>
      <c r="G409"/>
      <c r="H409"/>
      <c r="J409"/>
      <c r="K409"/>
      <c r="L409"/>
      <c r="M409"/>
      <c r="N409"/>
      <c r="P409"/>
      <c r="Q409"/>
      <c r="R409"/>
      <c r="S409"/>
      <c r="T409"/>
      <c r="U409" s="46"/>
      <c r="V409" s="46"/>
    </row>
    <row r="410" spans="1:22" ht="15" customHeight="1" x14ac:dyDescent="0.25">
      <c r="A410" s="17"/>
      <c r="G410"/>
      <c r="H410"/>
      <c r="J410"/>
      <c r="K410"/>
      <c r="L410"/>
      <c r="M410"/>
      <c r="N410"/>
      <c r="P410"/>
      <c r="Q410"/>
      <c r="R410"/>
      <c r="S410"/>
      <c r="T410"/>
      <c r="U410" s="46"/>
      <c r="V410" s="46"/>
    </row>
    <row r="411" spans="1:22" ht="15" customHeight="1" x14ac:dyDescent="0.25">
      <c r="A411" s="17"/>
      <c r="G411"/>
      <c r="H411"/>
      <c r="J411"/>
      <c r="K411"/>
      <c r="L411"/>
      <c r="M411"/>
      <c r="N411"/>
      <c r="P411"/>
      <c r="Q411"/>
      <c r="R411"/>
      <c r="S411"/>
      <c r="T411"/>
      <c r="U411" s="46"/>
      <c r="V411" s="46"/>
    </row>
    <row r="412" spans="1:22" ht="15" customHeight="1" x14ac:dyDescent="0.25">
      <c r="A412" s="17"/>
      <c r="G412"/>
      <c r="H412"/>
      <c r="J412"/>
      <c r="K412"/>
      <c r="L412"/>
      <c r="M412"/>
      <c r="N412"/>
      <c r="P412"/>
      <c r="Q412"/>
      <c r="R412"/>
      <c r="S412"/>
      <c r="T412"/>
      <c r="U412" s="46"/>
      <c r="V412" s="46"/>
    </row>
    <row r="413" spans="1:22" ht="15" customHeight="1" x14ac:dyDescent="0.25">
      <c r="A413" s="17"/>
      <c r="G413"/>
      <c r="H413"/>
      <c r="J413"/>
      <c r="K413"/>
      <c r="L413"/>
      <c r="M413"/>
      <c r="N413"/>
      <c r="P413"/>
      <c r="Q413"/>
      <c r="R413"/>
      <c r="S413"/>
      <c r="T413"/>
      <c r="U413" s="46"/>
      <c r="V413" s="46"/>
    </row>
    <row r="414" spans="1:22" ht="15" customHeight="1" x14ac:dyDescent="0.25">
      <c r="A414" s="17"/>
      <c r="G414"/>
      <c r="H414"/>
      <c r="J414"/>
      <c r="K414"/>
      <c r="L414"/>
      <c r="M414"/>
      <c r="N414"/>
      <c r="P414"/>
      <c r="Q414"/>
      <c r="R414"/>
      <c r="S414"/>
      <c r="T414"/>
      <c r="U414" s="46"/>
      <c r="V414" s="46"/>
    </row>
    <row r="415" spans="1:22" ht="15" customHeight="1" x14ac:dyDescent="0.25">
      <c r="A415" s="17"/>
      <c r="G415"/>
      <c r="H415"/>
      <c r="J415"/>
      <c r="K415"/>
      <c r="L415"/>
      <c r="M415"/>
      <c r="N415"/>
      <c r="P415"/>
      <c r="Q415"/>
      <c r="R415"/>
      <c r="S415"/>
      <c r="T415"/>
      <c r="U415" s="46"/>
      <c r="V415" s="46"/>
    </row>
    <row r="416" spans="1:22" ht="15" customHeight="1" x14ac:dyDescent="0.25">
      <c r="A416" s="17"/>
      <c r="G416"/>
      <c r="H416"/>
      <c r="J416"/>
      <c r="K416"/>
      <c r="L416"/>
      <c r="M416"/>
      <c r="N416"/>
      <c r="P416"/>
      <c r="Q416"/>
      <c r="R416"/>
      <c r="S416"/>
      <c r="T416"/>
      <c r="U416" s="46"/>
      <c r="V416" s="46"/>
    </row>
    <row r="417" spans="1:22" ht="15" customHeight="1" x14ac:dyDescent="0.25">
      <c r="A417" s="17"/>
      <c r="G417"/>
      <c r="H417"/>
      <c r="J417"/>
      <c r="K417"/>
      <c r="L417"/>
      <c r="M417"/>
      <c r="N417"/>
      <c r="P417"/>
      <c r="Q417"/>
      <c r="R417"/>
      <c r="S417"/>
      <c r="T417"/>
      <c r="U417" s="46"/>
      <c r="V417" s="46"/>
    </row>
    <row r="418" spans="1:22" ht="15" customHeight="1" x14ac:dyDescent="0.25">
      <c r="A418" s="17"/>
      <c r="G418"/>
      <c r="H418"/>
      <c r="J418"/>
      <c r="K418"/>
      <c r="L418"/>
      <c r="M418"/>
      <c r="N418"/>
      <c r="P418"/>
      <c r="Q418"/>
      <c r="R418"/>
      <c r="S418"/>
      <c r="T418"/>
      <c r="U418" s="46"/>
      <c r="V418" s="46"/>
    </row>
    <row r="419" spans="1:22" ht="15" customHeight="1" x14ac:dyDescent="0.25">
      <c r="A419" s="17"/>
      <c r="G419"/>
      <c r="H419"/>
      <c r="J419"/>
      <c r="K419"/>
      <c r="L419"/>
      <c r="M419"/>
      <c r="N419"/>
      <c r="P419"/>
      <c r="Q419"/>
      <c r="R419"/>
      <c r="S419"/>
      <c r="T419"/>
      <c r="U419" s="46"/>
      <c r="V419" s="46"/>
    </row>
    <row r="420" spans="1:22" ht="15" customHeight="1" x14ac:dyDescent="0.25">
      <c r="A420" s="17"/>
      <c r="G420"/>
      <c r="H420"/>
      <c r="J420"/>
      <c r="K420"/>
      <c r="L420"/>
      <c r="M420"/>
      <c r="N420"/>
      <c r="P420"/>
      <c r="Q420"/>
      <c r="R420"/>
      <c r="S420"/>
      <c r="T420"/>
      <c r="U420" s="46"/>
      <c r="V420" s="46"/>
    </row>
    <row r="421" spans="1:22" ht="15" customHeight="1" x14ac:dyDescent="0.25">
      <c r="A421" s="17"/>
      <c r="G421"/>
      <c r="H421"/>
      <c r="J421"/>
      <c r="K421"/>
      <c r="L421"/>
      <c r="M421"/>
      <c r="N421"/>
      <c r="P421"/>
      <c r="Q421"/>
      <c r="R421"/>
      <c r="S421"/>
      <c r="T421"/>
      <c r="U421" s="46"/>
      <c r="V421" s="46"/>
    </row>
    <row r="422" spans="1:22" ht="15" customHeight="1" x14ac:dyDescent="0.25">
      <c r="A422" s="17"/>
      <c r="G422"/>
      <c r="H422"/>
      <c r="J422"/>
      <c r="K422"/>
      <c r="L422"/>
      <c r="M422"/>
      <c r="N422"/>
      <c r="P422"/>
      <c r="Q422"/>
      <c r="R422"/>
      <c r="S422"/>
      <c r="T422"/>
      <c r="U422" s="46"/>
      <c r="V422" s="46"/>
    </row>
    <row r="423" spans="1:22" ht="15" customHeight="1" x14ac:dyDescent="0.25">
      <c r="A423" s="17"/>
      <c r="G423"/>
      <c r="H423"/>
      <c r="J423"/>
      <c r="K423"/>
      <c r="L423"/>
      <c r="M423"/>
      <c r="N423"/>
      <c r="P423"/>
      <c r="Q423"/>
      <c r="R423"/>
      <c r="S423"/>
      <c r="T423"/>
      <c r="U423" s="46"/>
      <c r="V423" s="46"/>
    </row>
    <row r="424" spans="1:22" ht="15" customHeight="1" x14ac:dyDescent="0.25">
      <c r="A424" s="17"/>
      <c r="G424"/>
      <c r="H424"/>
      <c r="J424"/>
      <c r="K424"/>
      <c r="L424"/>
      <c r="M424"/>
      <c r="N424"/>
      <c r="P424"/>
      <c r="Q424"/>
      <c r="R424"/>
      <c r="S424"/>
      <c r="T424"/>
      <c r="U424" s="46"/>
      <c r="V424" s="46"/>
    </row>
    <row r="425" spans="1:22" ht="15" customHeight="1" x14ac:dyDescent="0.25">
      <c r="H425"/>
      <c r="U425" s="46"/>
      <c r="V425" s="46"/>
    </row>
    <row r="426" spans="1:22" ht="15" customHeight="1" x14ac:dyDescent="0.25">
      <c r="U426" s="46"/>
      <c r="V426" s="46"/>
    </row>
    <row r="427" spans="1:22" ht="15" customHeight="1" x14ac:dyDescent="0.25">
      <c r="U427" s="46"/>
      <c r="V427" s="46"/>
    </row>
    <row r="428" spans="1:22" ht="15" customHeight="1" x14ac:dyDescent="0.25">
      <c r="U428" s="46"/>
      <c r="V428" s="46"/>
    </row>
    <row r="429" spans="1:22" ht="15" customHeight="1" x14ac:dyDescent="0.25">
      <c r="U429" s="46"/>
      <c r="V429" s="46"/>
    </row>
    <row r="430" spans="1:22" ht="15" customHeight="1" x14ac:dyDescent="0.25">
      <c r="U430" s="46"/>
      <c r="V430" s="46"/>
    </row>
    <row r="431" spans="1:22" ht="15" customHeight="1" x14ac:dyDescent="0.25">
      <c r="U431" s="46"/>
      <c r="V431" s="46"/>
    </row>
    <row r="432" spans="1:22" ht="15" customHeight="1" x14ac:dyDescent="0.25">
      <c r="U432" s="46"/>
      <c r="V432" s="46"/>
    </row>
    <row r="433" spans="21:22" ht="15" customHeight="1" x14ac:dyDescent="0.25">
      <c r="U433" s="46"/>
      <c r="V433" s="46"/>
    </row>
    <row r="434" spans="21:22" ht="15" customHeight="1" x14ac:dyDescent="0.25">
      <c r="U434" s="46"/>
      <c r="V434" s="46"/>
    </row>
    <row r="435" spans="21:22" ht="15" customHeight="1" x14ac:dyDescent="0.25">
      <c r="U435" s="46"/>
      <c r="V435" s="46"/>
    </row>
    <row r="436" spans="21:22" ht="15" customHeight="1" x14ac:dyDescent="0.25">
      <c r="U436" s="46"/>
      <c r="V436" s="46"/>
    </row>
    <row r="437" spans="21:22" ht="15" customHeight="1" x14ac:dyDescent="0.25">
      <c r="U437" s="46"/>
      <c r="V437" s="46"/>
    </row>
  </sheetData>
  <phoneticPr fontId="8" type="noConversion"/>
  <conditionalFormatting sqref="P1:T1 E2:T1048576">
    <cfRule type="cellIs" dxfId="84" priority="6" operator="lessThan">
      <formula>6</formula>
    </cfRule>
  </conditionalFormatting>
  <conditionalFormatting sqref="U1:U34 U43:U1048576">
    <cfRule type="cellIs" dxfId="83" priority="3" operator="greaterThan">
      <formula>19</formula>
    </cfRule>
  </conditionalFormatting>
  <conditionalFormatting sqref="V1:V34 V43:V1048576">
    <cfRule type="cellIs" dxfId="82" priority="2" operator="greaterThan">
      <formula>5</formula>
    </cfRule>
  </conditionalFormatting>
  <dataValidations count="3">
    <dataValidation allowBlank="1" showInputMessage="1" showErrorMessage="1" promptTitle="petunjuk Pengisian " prompt="Izin 20 Hari dalam 1 Semester dapat menurunkan satu nilai akhlaq" sqref="U43:U1048576 U1:U34" xr:uid="{00000000-0002-0000-0000-000000000000}"/>
    <dataValidation allowBlank="1" showInputMessage="1" showErrorMessage="1" promptTitle="Petunjuk Pengisian" prompt="Tidak Izin 6 Hari dalam 1 Semester dapat menurunkan satu nilai akhlaq" sqref="V43:V1048576 V1:V34" xr:uid="{00000000-0002-0000-0000-000001000000}"/>
    <dataValidation allowBlank="1" showInputMessage="1" showErrorMessage="1" prompt="jumlah nilai pelajaran seluruh siswi dibagi Jumlah siswi _x000a_- tanpa mengikutkan yang boyong/ cuty _x000a_- siswi yang her/ tanpa keterangan dikira kirakan 4 nilainya" sqref="H37:H50" xr:uid="{00000000-0002-0000-0000-000002000000}"/>
  </dataValidation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41"/>
  <sheetViews>
    <sheetView topLeftCell="A10" zoomScale="77" zoomScaleNormal="77" workbookViewId="0">
      <selection activeCell="C33" sqref="C33"/>
    </sheetView>
  </sheetViews>
  <sheetFormatPr defaultRowHeight="30" x14ac:dyDescent="0.25"/>
  <cols>
    <col min="1" max="1" width="14.85546875" style="35" customWidth="1"/>
    <col min="2" max="2" width="32.42578125" style="7" customWidth="1"/>
    <col min="3" max="3" width="9.85546875" style="7" customWidth="1"/>
    <col min="4" max="4" width="12" style="7" customWidth="1"/>
    <col min="5" max="5" width="10" style="3" customWidth="1"/>
    <col min="6" max="6" width="7.42578125" style="5" customWidth="1"/>
    <col min="7" max="8" width="17.7109375" style="5" customWidth="1"/>
    <col min="9" max="9" width="13.28515625" style="25" customWidth="1"/>
    <col min="10" max="10" width="14.42578125" style="5" customWidth="1"/>
    <col min="11" max="11" width="17.7109375" style="5" customWidth="1"/>
    <col min="12" max="12" width="13.85546875" style="5" customWidth="1"/>
    <col min="13" max="14" width="17.7109375" style="5" customWidth="1"/>
    <col min="15" max="15" width="17.7109375" style="25" customWidth="1"/>
    <col min="16" max="16" width="17.7109375" style="5" customWidth="1"/>
    <col min="17" max="17" width="13.85546875" style="5" customWidth="1"/>
    <col min="18" max="18" width="10" style="5" customWidth="1"/>
    <col min="19" max="19" width="12.85546875" style="5" customWidth="1"/>
    <col min="20" max="20" width="15.5703125" style="6" customWidth="1"/>
    <col min="21" max="22" width="8.7109375" style="45" customWidth="1"/>
  </cols>
  <sheetData>
    <row r="1" spans="1:22" s="20" customFormat="1" ht="25.15" customHeight="1" thickBot="1" x14ac:dyDescent="0.3">
      <c r="A1" s="34" t="s">
        <v>1</v>
      </c>
      <c r="B1" s="11" t="s">
        <v>0</v>
      </c>
      <c r="C1" s="11" t="s">
        <v>2</v>
      </c>
      <c r="D1" s="11" t="s">
        <v>13</v>
      </c>
      <c r="E1" s="39" t="s">
        <v>3</v>
      </c>
      <c r="F1" s="36"/>
      <c r="G1" s="21" t="s">
        <v>51</v>
      </c>
      <c r="H1" s="21" t="s">
        <v>4</v>
      </c>
      <c r="I1" s="22" t="s">
        <v>52</v>
      </c>
      <c r="J1" s="21" t="s">
        <v>5</v>
      </c>
      <c r="K1" s="21" t="s">
        <v>53</v>
      </c>
      <c r="L1" s="21" t="s">
        <v>73</v>
      </c>
      <c r="M1" s="21" t="s">
        <v>54</v>
      </c>
      <c r="N1" s="21" t="s">
        <v>55</v>
      </c>
      <c r="O1" s="22" t="s">
        <v>57</v>
      </c>
      <c r="P1" s="12" t="s">
        <v>6</v>
      </c>
      <c r="Q1" s="12" t="s">
        <v>7</v>
      </c>
      <c r="R1" s="12" t="s">
        <v>8</v>
      </c>
      <c r="S1" s="12" t="s">
        <v>9</v>
      </c>
      <c r="T1" s="13" t="s">
        <v>10</v>
      </c>
      <c r="U1" s="43" t="s">
        <v>11</v>
      </c>
      <c r="V1" s="43" t="s">
        <v>12</v>
      </c>
    </row>
    <row r="2" spans="1:22" s="101" customFormat="1" ht="25.15" customHeight="1" thickBot="1" x14ac:dyDescent="0.3">
      <c r="A2" s="154" t="s">
        <v>14</v>
      </c>
      <c r="B2" s="155" t="s">
        <v>104</v>
      </c>
      <c r="C2" s="140">
        <v>2884</v>
      </c>
      <c r="D2" s="150" t="s">
        <v>14</v>
      </c>
      <c r="E2" s="99" t="str">
        <f>TEXT(F2,"[$-2000000]0")</f>
        <v>٩</v>
      </c>
      <c r="F2" s="156">
        <v>9</v>
      </c>
      <c r="G2" s="156">
        <v>7</v>
      </c>
      <c r="H2" s="156">
        <v>7</v>
      </c>
      <c r="I2" s="156">
        <v>6</v>
      </c>
      <c r="J2" s="156">
        <v>7</v>
      </c>
      <c r="K2" s="156">
        <v>6</v>
      </c>
      <c r="L2" s="157" t="s">
        <v>56</v>
      </c>
      <c r="M2" s="156">
        <v>7</v>
      </c>
      <c r="N2" s="156">
        <v>7</v>
      </c>
      <c r="O2" s="156">
        <v>8</v>
      </c>
      <c r="P2" s="156">
        <v>8</v>
      </c>
      <c r="Q2" s="156">
        <v>8</v>
      </c>
      <c r="R2" s="156">
        <v>8</v>
      </c>
      <c r="S2" s="156">
        <v>7</v>
      </c>
      <c r="T2" s="99">
        <f t="shared" ref="T2:T34" si="0">SUM(E2:S2)</f>
        <v>95</v>
      </c>
      <c r="U2" s="100" t="s">
        <v>56</v>
      </c>
      <c r="V2" s="100">
        <v>8</v>
      </c>
    </row>
    <row r="3" spans="1:22" s="168" customFormat="1" ht="25.15" customHeight="1" thickBot="1" x14ac:dyDescent="0.3">
      <c r="A3" s="161" t="s">
        <v>15</v>
      </c>
      <c r="B3" s="169" t="s">
        <v>105</v>
      </c>
      <c r="C3" s="163">
        <v>2722</v>
      </c>
      <c r="D3" s="164" t="s">
        <v>15</v>
      </c>
      <c r="E3" s="165" t="str">
        <f t="shared" ref="E3:E33" si="1">TEXT(F3,"[$-2000000]0")</f>
        <v>٩</v>
      </c>
      <c r="F3" s="166">
        <v>9</v>
      </c>
      <c r="G3" s="166">
        <v>9</v>
      </c>
      <c r="H3" s="166">
        <v>9</v>
      </c>
      <c r="I3" s="166">
        <v>8</v>
      </c>
      <c r="J3" s="166">
        <v>8</v>
      </c>
      <c r="K3" s="166">
        <v>8</v>
      </c>
      <c r="L3" s="172" t="s">
        <v>56</v>
      </c>
      <c r="M3" s="166">
        <v>7</v>
      </c>
      <c r="N3" s="166">
        <v>8</v>
      </c>
      <c r="O3" s="166">
        <v>9</v>
      </c>
      <c r="P3" s="166">
        <v>8</v>
      </c>
      <c r="Q3" s="166">
        <v>8</v>
      </c>
      <c r="R3" s="166">
        <v>8</v>
      </c>
      <c r="S3" s="166">
        <v>8</v>
      </c>
      <c r="T3" s="165">
        <f t="shared" si="0"/>
        <v>107</v>
      </c>
      <c r="U3" s="167" t="s">
        <v>56</v>
      </c>
      <c r="V3" s="167">
        <v>1</v>
      </c>
    </row>
    <row r="4" spans="1:22" s="1" customFormat="1" ht="25.15" customHeight="1" thickBot="1" x14ac:dyDescent="0.3">
      <c r="A4" s="65" t="s">
        <v>16</v>
      </c>
      <c r="B4" s="124" t="s">
        <v>106</v>
      </c>
      <c r="C4" s="132">
        <v>2652</v>
      </c>
      <c r="D4" s="150" t="s">
        <v>16</v>
      </c>
      <c r="E4" s="3" t="str">
        <f t="shared" si="1"/>
        <v>٩</v>
      </c>
      <c r="F4" s="37">
        <v>9</v>
      </c>
      <c r="G4" s="37">
        <v>9</v>
      </c>
      <c r="H4" s="37">
        <v>9</v>
      </c>
      <c r="I4" s="37">
        <v>9</v>
      </c>
      <c r="J4" s="37">
        <v>9</v>
      </c>
      <c r="K4" s="37">
        <v>9</v>
      </c>
      <c r="L4" s="63" t="s">
        <v>56</v>
      </c>
      <c r="M4" s="37">
        <v>9</v>
      </c>
      <c r="N4" s="37">
        <v>9</v>
      </c>
      <c r="O4" s="37">
        <v>9</v>
      </c>
      <c r="P4" s="37">
        <v>8</v>
      </c>
      <c r="Q4" s="37">
        <v>8</v>
      </c>
      <c r="R4" s="37">
        <v>8</v>
      </c>
      <c r="S4" s="37">
        <v>8</v>
      </c>
      <c r="T4" s="4">
        <f t="shared" si="0"/>
        <v>113</v>
      </c>
      <c r="U4" s="44" t="s">
        <v>56</v>
      </c>
      <c r="V4" s="44" t="s">
        <v>56</v>
      </c>
    </row>
    <row r="5" spans="1:22" s="168" customFormat="1" ht="25.15" customHeight="1" thickBot="1" x14ac:dyDescent="0.3">
      <c r="A5" s="161" t="s">
        <v>17</v>
      </c>
      <c r="B5" s="169" t="s">
        <v>107</v>
      </c>
      <c r="C5" s="163">
        <v>2796</v>
      </c>
      <c r="D5" s="164" t="s">
        <v>17</v>
      </c>
      <c r="E5" s="165" t="str">
        <f t="shared" si="1"/>
        <v>٩</v>
      </c>
      <c r="F5" s="166">
        <v>9</v>
      </c>
      <c r="G5" s="166">
        <v>9</v>
      </c>
      <c r="H5" s="166">
        <v>9</v>
      </c>
      <c r="I5" s="166">
        <v>9</v>
      </c>
      <c r="J5" s="166">
        <v>9</v>
      </c>
      <c r="K5" s="166">
        <v>9</v>
      </c>
      <c r="L5" s="172" t="s">
        <v>56</v>
      </c>
      <c r="M5" s="166">
        <v>9</v>
      </c>
      <c r="N5" s="166">
        <v>9</v>
      </c>
      <c r="O5" s="166">
        <v>9</v>
      </c>
      <c r="P5" s="166">
        <v>8</v>
      </c>
      <c r="Q5" s="166">
        <v>8</v>
      </c>
      <c r="R5" s="166">
        <v>8</v>
      </c>
      <c r="S5" s="166">
        <v>8</v>
      </c>
      <c r="T5" s="165">
        <f t="shared" si="0"/>
        <v>113</v>
      </c>
      <c r="U5" s="167">
        <v>4</v>
      </c>
      <c r="V5" s="167" t="s">
        <v>56</v>
      </c>
    </row>
    <row r="6" spans="1:22" s="1" customFormat="1" ht="25.15" customHeight="1" thickBot="1" x14ac:dyDescent="0.3">
      <c r="A6" s="65" t="s">
        <v>18</v>
      </c>
      <c r="B6" s="124" t="s">
        <v>108</v>
      </c>
      <c r="C6" s="85">
        <v>2799</v>
      </c>
      <c r="D6" s="150" t="s">
        <v>18</v>
      </c>
      <c r="E6" s="3" t="str">
        <f t="shared" si="1"/>
        <v>٩</v>
      </c>
      <c r="F6" s="37">
        <v>9</v>
      </c>
      <c r="G6" s="37">
        <v>9</v>
      </c>
      <c r="H6" s="37">
        <v>9</v>
      </c>
      <c r="I6" s="37">
        <v>9</v>
      </c>
      <c r="J6" s="37">
        <v>9</v>
      </c>
      <c r="K6" s="37">
        <v>8</v>
      </c>
      <c r="L6" s="63" t="s">
        <v>56</v>
      </c>
      <c r="M6" s="37">
        <v>9</v>
      </c>
      <c r="N6" s="37">
        <v>9</v>
      </c>
      <c r="O6" s="37">
        <v>9</v>
      </c>
      <c r="P6" s="37">
        <v>8</v>
      </c>
      <c r="Q6" s="37">
        <v>8</v>
      </c>
      <c r="R6" s="37">
        <v>8</v>
      </c>
      <c r="S6" s="37">
        <v>8</v>
      </c>
      <c r="T6" s="4">
        <f t="shared" si="0"/>
        <v>112</v>
      </c>
      <c r="U6" s="44" t="s">
        <v>56</v>
      </c>
      <c r="V6" s="44" t="s">
        <v>56</v>
      </c>
    </row>
    <row r="7" spans="1:22" s="1" customFormat="1" ht="25.15" customHeight="1" thickBot="1" x14ac:dyDescent="0.3">
      <c r="A7" s="65" t="s">
        <v>19</v>
      </c>
      <c r="B7" s="124" t="s">
        <v>109</v>
      </c>
      <c r="C7" s="85">
        <v>2730</v>
      </c>
      <c r="D7" s="150" t="s">
        <v>19</v>
      </c>
      <c r="E7" s="3" t="str">
        <f t="shared" si="1"/>
        <v>٧</v>
      </c>
      <c r="F7" s="37">
        <v>7</v>
      </c>
      <c r="G7" s="37">
        <v>6</v>
      </c>
      <c r="H7" s="37">
        <v>9</v>
      </c>
      <c r="I7" s="37">
        <v>7</v>
      </c>
      <c r="J7" s="37">
        <v>7</v>
      </c>
      <c r="K7" s="37">
        <v>7</v>
      </c>
      <c r="L7" s="63" t="s">
        <v>56</v>
      </c>
      <c r="M7" s="37">
        <v>9</v>
      </c>
      <c r="N7" s="37">
        <v>8</v>
      </c>
      <c r="O7" s="37">
        <v>7</v>
      </c>
      <c r="P7" s="37">
        <v>8</v>
      </c>
      <c r="Q7" s="37">
        <v>8</v>
      </c>
      <c r="R7" s="37">
        <v>8</v>
      </c>
      <c r="S7" s="37">
        <v>7</v>
      </c>
      <c r="T7" s="4">
        <f t="shared" si="0"/>
        <v>98</v>
      </c>
      <c r="U7" s="44" t="s">
        <v>56</v>
      </c>
      <c r="V7" s="44" t="s">
        <v>56</v>
      </c>
    </row>
    <row r="8" spans="1:22" s="168" customFormat="1" ht="25.15" customHeight="1" thickBot="1" x14ac:dyDescent="0.3">
      <c r="A8" s="161" t="s">
        <v>20</v>
      </c>
      <c r="B8" s="169" t="s">
        <v>110</v>
      </c>
      <c r="C8" s="163">
        <v>2690</v>
      </c>
      <c r="D8" s="164" t="s">
        <v>20</v>
      </c>
      <c r="E8" s="165" t="str">
        <f t="shared" si="1"/>
        <v>٦</v>
      </c>
      <c r="F8" s="166">
        <v>6</v>
      </c>
      <c r="G8" s="166">
        <v>6</v>
      </c>
      <c r="H8" s="166">
        <v>9</v>
      </c>
      <c r="I8" s="166">
        <v>6</v>
      </c>
      <c r="J8" s="166">
        <v>7</v>
      </c>
      <c r="K8" s="166">
        <v>6</v>
      </c>
      <c r="L8" s="172" t="s">
        <v>56</v>
      </c>
      <c r="M8" s="166">
        <v>9</v>
      </c>
      <c r="N8" s="166">
        <v>6</v>
      </c>
      <c r="O8" s="166">
        <v>7</v>
      </c>
      <c r="P8" s="166">
        <v>8</v>
      </c>
      <c r="Q8" s="166">
        <v>7</v>
      </c>
      <c r="R8" s="166">
        <v>7</v>
      </c>
      <c r="S8" s="166">
        <v>7</v>
      </c>
      <c r="T8" s="165">
        <f t="shared" si="0"/>
        <v>91</v>
      </c>
      <c r="U8" s="167">
        <v>2</v>
      </c>
      <c r="V8" s="167" t="s">
        <v>56</v>
      </c>
    </row>
    <row r="9" spans="1:22" s="1" customFormat="1" ht="25.15" customHeight="1" thickBot="1" x14ac:dyDescent="0.3">
      <c r="A9" s="65" t="s">
        <v>21</v>
      </c>
      <c r="B9" s="123" t="s">
        <v>111</v>
      </c>
      <c r="C9" s="85">
        <v>2761</v>
      </c>
      <c r="D9" s="150" t="s">
        <v>21</v>
      </c>
      <c r="E9" s="3" t="str">
        <f t="shared" si="1"/>
        <v>٦</v>
      </c>
      <c r="F9" s="37">
        <v>6</v>
      </c>
      <c r="G9" s="37">
        <v>6</v>
      </c>
      <c r="H9" s="37">
        <v>8</v>
      </c>
      <c r="I9" s="37">
        <v>6</v>
      </c>
      <c r="J9" s="37">
        <v>6</v>
      </c>
      <c r="K9" s="37">
        <v>7</v>
      </c>
      <c r="L9" s="63" t="s">
        <v>56</v>
      </c>
      <c r="M9" s="37">
        <v>6</v>
      </c>
      <c r="N9" s="37">
        <v>6</v>
      </c>
      <c r="O9" s="37">
        <v>7</v>
      </c>
      <c r="P9" s="37">
        <v>8</v>
      </c>
      <c r="Q9" s="37">
        <v>7</v>
      </c>
      <c r="R9" s="37">
        <v>7</v>
      </c>
      <c r="S9" s="37">
        <v>8</v>
      </c>
      <c r="T9" s="4">
        <f t="shared" si="0"/>
        <v>88</v>
      </c>
      <c r="U9" s="44" t="s">
        <v>56</v>
      </c>
      <c r="V9" s="44" t="s">
        <v>56</v>
      </c>
    </row>
    <row r="10" spans="1:22" s="168" customFormat="1" ht="25.15" customHeight="1" thickBot="1" x14ac:dyDescent="0.3">
      <c r="A10" s="161" t="s">
        <v>22</v>
      </c>
      <c r="B10" s="169" t="s">
        <v>112</v>
      </c>
      <c r="C10" s="163">
        <v>2892</v>
      </c>
      <c r="D10" s="164" t="s">
        <v>22</v>
      </c>
      <c r="E10" s="165" t="str">
        <f t="shared" si="1"/>
        <v>٦</v>
      </c>
      <c r="F10" s="166">
        <v>6</v>
      </c>
      <c r="G10" s="166">
        <v>6</v>
      </c>
      <c r="H10" s="166">
        <v>8</v>
      </c>
      <c r="I10" s="166">
        <v>6</v>
      </c>
      <c r="J10" s="166">
        <v>5</v>
      </c>
      <c r="K10" s="166">
        <v>7</v>
      </c>
      <c r="L10" s="172" t="s">
        <v>56</v>
      </c>
      <c r="M10" s="166">
        <v>6</v>
      </c>
      <c r="N10" s="166">
        <v>6</v>
      </c>
      <c r="O10" s="166">
        <v>7</v>
      </c>
      <c r="P10" s="166">
        <v>7</v>
      </c>
      <c r="Q10" s="166">
        <v>7</v>
      </c>
      <c r="R10" s="166">
        <v>7</v>
      </c>
      <c r="S10" s="166">
        <v>8</v>
      </c>
      <c r="T10" s="165">
        <f t="shared" si="0"/>
        <v>86</v>
      </c>
      <c r="U10" s="167">
        <v>3</v>
      </c>
      <c r="V10" s="167" t="s">
        <v>56</v>
      </c>
    </row>
    <row r="11" spans="1:22" s="1" customFormat="1" ht="25.15" customHeight="1" thickBot="1" x14ac:dyDescent="0.3">
      <c r="A11" s="65">
        <v>10</v>
      </c>
      <c r="B11" s="124" t="s">
        <v>113</v>
      </c>
      <c r="C11" s="85">
        <v>2762</v>
      </c>
      <c r="D11" s="150" t="s">
        <v>23</v>
      </c>
      <c r="E11" s="3" t="str">
        <f t="shared" si="1"/>
        <v>٦</v>
      </c>
      <c r="F11" s="37">
        <v>6</v>
      </c>
      <c r="G11" s="37">
        <v>5</v>
      </c>
      <c r="H11" s="37">
        <v>7</v>
      </c>
      <c r="I11" s="37">
        <v>5</v>
      </c>
      <c r="J11" s="37">
        <v>8</v>
      </c>
      <c r="K11" s="37">
        <v>6</v>
      </c>
      <c r="L11" s="63" t="s">
        <v>56</v>
      </c>
      <c r="M11" s="37">
        <v>7</v>
      </c>
      <c r="N11" s="37">
        <v>5</v>
      </c>
      <c r="O11" s="37">
        <v>5</v>
      </c>
      <c r="P11" s="37">
        <v>7</v>
      </c>
      <c r="Q11" s="37">
        <v>6</v>
      </c>
      <c r="R11" s="37">
        <v>7</v>
      </c>
      <c r="S11" s="37">
        <v>8</v>
      </c>
      <c r="T11" s="4">
        <f t="shared" si="0"/>
        <v>82</v>
      </c>
      <c r="U11" s="44">
        <v>2</v>
      </c>
      <c r="V11" s="44" t="s">
        <v>56</v>
      </c>
    </row>
    <row r="12" spans="1:22" s="1" customFormat="1" ht="25.15" customHeight="1" thickBot="1" x14ac:dyDescent="0.3">
      <c r="A12" s="65">
        <v>11</v>
      </c>
      <c r="B12" s="124" t="s">
        <v>114</v>
      </c>
      <c r="C12" s="85">
        <v>2805</v>
      </c>
      <c r="D12" s="150" t="s">
        <v>24</v>
      </c>
      <c r="E12" s="3" t="str">
        <f t="shared" si="1"/>
        <v>٥</v>
      </c>
      <c r="F12" s="37">
        <v>5</v>
      </c>
      <c r="G12" s="37">
        <v>5</v>
      </c>
      <c r="H12" s="37">
        <v>7</v>
      </c>
      <c r="I12" s="37">
        <v>5</v>
      </c>
      <c r="J12" s="37">
        <v>5</v>
      </c>
      <c r="K12" s="37">
        <v>5</v>
      </c>
      <c r="L12" s="63" t="s">
        <v>56</v>
      </c>
      <c r="M12" s="37">
        <v>7</v>
      </c>
      <c r="N12" s="37">
        <v>5</v>
      </c>
      <c r="O12" s="37">
        <v>5</v>
      </c>
      <c r="P12" s="37">
        <v>6</v>
      </c>
      <c r="Q12" s="37">
        <v>6</v>
      </c>
      <c r="R12" s="37">
        <v>6</v>
      </c>
      <c r="S12" s="37">
        <v>7</v>
      </c>
      <c r="T12" s="4">
        <f t="shared" si="0"/>
        <v>74</v>
      </c>
      <c r="U12" s="44" t="s">
        <v>56</v>
      </c>
      <c r="V12" s="44" t="s">
        <v>56</v>
      </c>
    </row>
    <row r="13" spans="1:22" s="168" customFormat="1" ht="25.15" customHeight="1" thickBot="1" x14ac:dyDescent="0.3">
      <c r="A13" s="161">
        <v>12</v>
      </c>
      <c r="B13" s="169" t="s">
        <v>115</v>
      </c>
      <c r="C13" s="173">
        <v>2698</v>
      </c>
      <c r="D13" s="164" t="s">
        <v>25</v>
      </c>
      <c r="E13" s="165" t="str">
        <f t="shared" si="1"/>
        <v>٨</v>
      </c>
      <c r="F13" s="166">
        <v>8</v>
      </c>
      <c r="G13" s="166">
        <v>7</v>
      </c>
      <c r="H13" s="166">
        <v>9</v>
      </c>
      <c r="I13" s="166">
        <v>6</v>
      </c>
      <c r="J13" s="166">
        <v>8</v>
      </c>
      <c r="K13" s="166">
        <v>6</v>
      </c>
      <c r="L13" s="172" t="s">
        <v>56</v>
      </c>
      <c r="M13" s="166">
        <v>6</v>
      </c>
      <c r="N13" s="166">
        <v>9</v>
      </c>
      <c r="O13" s="166">
        <v>8</v>
      </c>
      <c r="P13" s="166">
        <v>8</v>
      </c>
      <c r="Q13" s="166">
        <v>8</v>
      </c>
      <c r="R13" s="166">
        <v>8</v>
      </c>
      <c r="S13" s="166">
        <v>8</v>
      </c>
      <c r="T13" s="165">
        <f t="shared" si="0"/>
        <v>99</v>
      </c>
      <c r="U13" s="167">
        <v>2</v>
      </c>
      <c r="V13" s="167" t="s">
        <v>56</v>
      </c>
    </row>
    <row r="14" spans="1:22" s="1" customFormat="1" ht="25.15" customHeight="1" thickBot="1" x14ac:dyDescent="0.3">
      <c r="A14" s="65">
        <v>13</v>
      </c>
      <c r="B14" s="124" t="s">
        <v>116</v>
      </c>
      <c r="C14" s="85">
        <v>2700</v>
      </c>
      <c r="D14" s="150" t="s">
        <v>26</v>
      </c>
      <c r="E14" s="3" t="str">
        <f t="shared" si="1"/>
        <v>٨</v>
      </c>
      <c r="F14" s="37">
        <v>8</v>
      </c>
      <c r="G14" s="37">
        <v>9</v>
      </c>
      <c r="H14" s="37">
        <v>9</v>
      </c>
      <c r="I14" s="37">
        <v>9</v>
      </c>
      <c r="J14" s="37">
        <v>9</v>
      </c>
      <c r="K14" s="37">
        <v>9</v>
      </c>
      <c r="L14" s="63" t="s">
        <v>56</v>
      </c>
      <c r="M14" s="37">
        <v>8</v>
      </c>
      <c r="N14" s="37">
        <v>9</v>
      </c>
      <c r="O14" s="37">
        <v>7</v>
      </c>
      <c r="P14" s="37">
        <v>8</v>
      </c>
      <c r="Q14" s="37">
        <v>8</v>
      </c>
      <c r="R14" s="37">
        <v>8</v>
      </c>
      <c r="S14" s="37">
        <v>8</v>
      </c>
      <c r="T14" s="4">
        <f t="shared" si="0"/>
        <v>109</v>
      </c>
      <c r="U14" s="44" t="s">
        <v>56</v>
      </c>
      <c r="V14" s="44" t="s">
        <v>56</v>
      </c>
    </row>
    <row r="15" spans="1:22" s="1" customFormat="1" ht="25.15" customHeight="1" thickBot="1" x14ac:dyDescent="0.3">
      <c r="A15" s="65">
        <v>14</v>
      </c>
      <c r="B15" s="123" t="s">
        <v>117</v>
      </c>
      <c r="C15" s="132">
        <v>2660</v>
      </c>
      <c r="D15" s="150" t="s">
        <v>27</v>
      </c>
      <c r="E15" s="3" t="str">
        <f t="shared" si="1"/>
        <v>٩</v>
      </c>
      <c r="F15" s="37">
        <v>9</v>
      </c>
      <c r="G15" s="37">
        <v>9</v>
      </c>
      <c r="H15" s="37">
        <v>9</v>
      </c>
      <c r="I15" s="37">
        <v>9</v>
      </c>
      <c r="J15" s="37">
        <v>9</v>
      </c>
      <c r="K15" s="37">
        <v>9</v>
      </c>
      <c r="L15" s="63" t="s">
        <v>56</v>
      </c>
      <c r="M15" s="37">
        <v>9</v>
      </c>
      <c r="N15" s="37">
        <v>9</v>
      </c>
      <c r="O15" s="37">
        <v>8</v>
      </c>
      <c r="P15" s="37">
        <v>8</v>
      </c>
      <c r="Q15" s="37">
        <v>8</v>
      </c>
      <c r="R15" s="37">
        <v>8</v>
      </c>
      <c r="S15" s="37">
        <v>8</v>
      </c>
      <c r="T15" s="4">
        <f t="shared" si="0"/>
        <v>112</v>
      </c>
      <c r="U15" s="44" t="s">
        <v>56</v>
      </c>
      <c r="V15" s="44" t="s">
        <v>56</v>
      </c>
    </row>
    <row r="16" spans="1:22" s="1" customFormat="1" ht="25.15" customHeight="1" thickBot="1" x14ac:dyDescent="0.3">
      <c r="A16" s="65">
        <v>15</v>
      </c>
      <c r="B16" s="124" t="s">
        <v>118</v>
      </c>
      <c r="C16" s="85">
        <v>2701</v>
      </c>
      <c r="D16" s="150" t="s">
        <v>28</v>
      </c>
      <c r="E16" s="3" t="str">
        <f t="shared" si="1"/>
        <v>٩</v>
      </c>
      <c r="F16" s="37">
        <v>9</v>
      </c>
      <c r="G16" s="37">
        <v>8</v>
      </c>
      <c r="H16" s="37">
        <v>9</v>
      </c>
      <c r="I16" s="37">
        <v>7</v>
      </c>
      <c r="J16" s="37">
        <v>8</v>
      </c>
      <c r="K16" s="37">
        <v>7</v>
      </c>
      <c r="L16" s="63" t="s">
        <v>56</v>
      </c>
      <c r="M16" s="37">
        <v>8</v>
      </c>
      <c r="N16" s="37">
        <v>9</v>
      </c>
      <c r="O16" s="37">
        <v>8</v>
      </c>
      <c r="P16" s="37">
        <v>7</v>
      </c>
      <c r="Q16" s="37">
        <v>8</v>
      </c>
      <c r="R16" s="37">
        <v>8</v>
      </c>
      <c r="S16" s="37">
        <v>8</v>
      </c>
      <c r="T16" s="4">
        <f t="shared" si="0"/>
        <v>104</v>
      </c>
      <c r="U16" s="44">
        <v>1</v>
      </c>
      <c r="V16" s="44" t="s">
        <v>56</v>
      </c>
    </row>
    <row r="17" spans="1:22" s="1" customFormat="1" ht="25.15" customHeight="1" thickBot="1" x14ac:dyDescent="0.3">
      <c r="A17" s="65">
        <v>16</v>
      </c>
      <c r="B17" s="124" t="s">
        <v>119</v>
      </c>
      <c r="C17" s="85">
        <v>2871</v>
      </c>
      <c r="D17" s="150" t="s">
        <v>29</v>
      </c>
      <c r="E17" s="3" t="str">
        <f t="shared" si="1"/>
        <v>٥</v>
      </c>
      <c r="F17" s="37">
        <v>5</v>
      </c>
      <c r="G17" s="37">
        <v>5</v>
      </c>
      <c r="H17" s="37">
        <v>8</v>
      </c>
      <c r="I17" s="37">
        <v>5</v>
      </c>
      <c r="J17" s="37">
        <v>7</v>
      </c>
      <c r="K17" s="37">
        <v>6</v>
      </c>
      <c r="L17" s="63" t="s">
        <v>56</v>
      </c>
      <c r="M17" s="37">
        <v>7</v>
      </c>
      <c r="N17" s="37">
        <v>6</v>
      </c>
      <c r="O17" s="37">
        <v>7</v>
      </c>
      <c r="P17" s="37">
        <v>7</v>
      </c>
      <c r="Q17" s="37">
        <v>7</v>
      </c>
      <c r="R17" s="37">
        <v>8</v>
      </c>
      <c r="S17" s="37">
        <v>7</v>
      </c>
      <c r="T17" s="4">
        <f t="shared" si="0"/>
        <v>85</v>
      </c>
      <c r="U17" s="44" t="s">
        <v>56</v>
      </c>
      <c r="V17" s="44" t="s">
        <v>56</v>
      </c>
    </row>
    <row r="18" spans="1:22" s="168" customFormat="1" ht="25.15" customHeight="1" thickBot="1" x14ac:dyDescent="0.3">
      <c r="A18" s="161">
        <v>17</v>
      </c>
      <c r="B18" s="169" t="s">
        <v>120</v>
      </c>
      <c r="C18" s="163">
        <v>2702</v>
      </c>
      <c r="D18" s="164" t="s">
        <v>30</v>
      </c>
      <c r="E18" s="165" t="str">
        <f t="shared" si="1"/>
        <v>٩</v>
      </c>
      <c r="F18" s="166">
        <v>9</v>
      </c>
      <c r="G18" s="166">
        <v>9</v>
      </c>
      <c r="H18" s="166">
        <v>9</v>
      </c>
      <c r="I18" s="166">
        <v>8</v>
      </c>
      <c r="J18" s="166">
        <v>8</v>
      </c>
      <c r="K18" s="166">
        <v>8</v>
      </c>
      <c r="L18" s="172" t="s">
        <v>56</v>
      </c>
      <c r="M18" s="166">
        <v>8</v>
      </c>
      <c r="N18" s="166">
        <v>9</v>
      </c>
      <c r="O18" s="166">
        <v>7</v>
      </c>
      <c r="P18" s="166">
        <v>8</v>
      </c>
      <c r="Q18" s="166">
        <v>8</v>
      </c>
      <c r="R18" s="166">
        <v>8</v>
      </c>
      <c r="S18" s="166">
        <v>8</v>
      </c>
      <c r="T18" s="165">
        <f t="shared" si="0"/>
        <v>107</v>
      </c>
      <c r="U18" s="167">
        <v>1</v>
      </c>
      <c r="V18" s="167" t="s">
        <v>56</v>
      </c>
    </row>
    <row r="19" spans="1:22" s="168" customFormat="1" ht="25.15" customHeight="1" thickBot="1" x14ac:dyDescent="0.3">
      <c r="A19" s="161">
        <v>18</v>
      </c>
      <c r="B19" s="169" t="s">
        <v>121</v>
      </c>
      <c r="C19" s="163">
        <v>2664</v>
      </c>
      <c r="D19" s="164" t="s">
        <v>31</v>
      </c>
      <c r="E19" s="165" t="str">
        <f t="shared" si="1"/>
        <v>٩</v>
      </c>
      <c r="F19" s="166">
        <v>9</v>
      </c>
      <c r="G19" s="166">
        <v>9</v>
      </c>
      <c r="H19" s="166">
        <v>8</v>
      </c>
      <c r="I19" s="166">
        <v>8</v>
      </c>
      <c r="J19" s="166">
        <v>8</v>
      </c>
      <c r="K19" s="166">
        <v>7</v>
      </c>
      <c r="L19" s="172" t="s">
        <v>56</v>
      </c>
      <c r="M19" s="166">
        <v>9</v>
      </c>
      <c r="N19" s="166">
        <v>9</v>
      </c>
      <c r="O19" s="166">
        <v>8</v>
      </c>
      <c r="P19" s="166">
        <v>8</v>
      </c>
      <c r="Q19" s="166">
        <v>8</v>
      </c>
      <c r="R19" s="166">
        <v>8</v>
      </c>
      <c r="S19" s="166">
        <v>8</v>
      </c>
      <c r="T19" s="165">
        <f t="shared" si="0"/>
        <v>107</v>
      </c>
      <c r="U19" s="167">
        <v>6</v>
      </c>
      <c r="V19" s="167" t="s">
        <v>56</v>
      </c>
    </row>
    <row r="20" spans="1:22" s="1" customFormat="1" ht="25.15" customHeight="1" thickBot="1" x14ac:dyDescent="0.3">
      <c r="A20" s="65">
        <v>19</v>
      </c>
      <c r="B20" s="124" t="s">
        <v>122</v>
      </c>
      <c r="C20" s="85">
        <v>2704</v>
      </c>
      <c r="D20" s="150" t="s">
        <v>32</v>
      </c>
      <c r="E20" s="3" t="str">
        <f t="shared" si="1"/>
        <v>٩</v>
      </c>
      <c r="F20" s="37">
        <v>9</v>
      </c>
      <c r="G20" s="37">
        <v>9</v>
      </c>
      <c r="H20" s="37">
        <v>9</v>
      </c>
      <c r="I20" s="37">
        <v>8</v>
      </c>
      <c r="J20" s="37">
        <v>9</v>
      </c>
      <c r="K20" s="37">
        <v>7</v>
      </c>
      <c r="L20" s="63" t="s">
        <v>56</v>
      </c>
      <c r="M20" s="37">
        <v>9</v>
      </c>
      <c r="N20" s="37">
        <v>9</v>
      </c>
      <c r="O20" s="37">
        <v>7</v>
      </c>
      <c r="P20" s="37">
        <v>8</v>
      </c>
      <c r="Q20" s="37">
        <v>8</v>
      </c>
      <c r="R20" s="37">
        <v>8</v>
      </c>
      <c r="S20" s="37">
        <v>8</v>
      </c>
      <c r="T20" s="4">
        <f t="shared" si="0"/>
        <v>108</v>
      </c>
      <c r="U20" s="44">
        <v>1</v>
      </c>
      <c r="V20" s="44" t="s">
        <v>56</v>
      </c>
    </row>
    <row r="21" spans="1:22" s="1" customFormat="1" ht="25.15" customHeight="1" thickBot="1" x14ac:dyDescent="0.3">
      <c r="A21" s="65">
        <v>20</v>
      </c>
      <c r="B21" s="124" t="s">
        <v>123</v>
      </c>
      <c r="C21" s="85">
        <v>2900</v>
      </c>
      <c r="D21" s="150" t="s">
        <v>33</v>
      </c>
      <c r="E21" s="3" t="str">
        <f t="shared" si="1"/>
        <v>٧</v>
      </c>
      <c r="F21" s="37">
        <v>7</v>
      </c>
      <c r="G21" s="37">
        <v>7</v>
      </c>
      <c r="H21" s="37">
        <v>9</v>
      </c>
      <c r="I21" s="37">
        <v>6</v>
      </c>
      <c r="J21" s="37">
        <v>8</v>
      </c>
      <c r="K21" s="37">
        <v>6</v>
      </c>
      <c r="L21" s="63" t="s">
        <v>56</v>
      </c>
      <c r="M21" s="37">
        <v>9</v>
      </c>
      <c r="N21" s="37">
        <v>5</v>
      </c>
      <c r="O21" s="37">
        <v>8</v>
      </c>
      <c r="P21" s="37">
        <v>8</v>
      </c>
      <c r="Q21" s="37">
        <v>8</v>
      </c>
      <c r="R21" s="37">
        <v>7</v>
      </c>
      <c r="S21" s="37">
        <v>8</v>
      </c>
      <c r="T21" s="4">
        <f t="shared" si="0"/>
        <v>96</v>
      </c>
      <c r="U21" s="44">
        <v>3</v>
      </c>
      <c r="V21" s="44">
        <v>3</v>
      </c>
    </row>
    <row r="22" spans="1:22" s="168" customFormat="1" ht="25.15" customHeight="1" thickBot="1" x14ac:dyDescent="0.3">
      <c r="A22" s="174">
        <v>21</v>
      </c>
      <c r="B22" s="162" t="s">
        <v>124</v>
      </c>
      <c r="C22" s="170">
        <v>2668</v>
      </c>
      <c r="D22" s="164" t="s">
        <v>34</v>
      </c>
      <c r="E22" s="165" t="str">
        <f t="shared" si="1"/>
        <v>٩</v>
      </c>
      <c r="F22" s="166">
        <v>9</v>
      </c>
      <c r="G22" s="166">
        <v>9</v>
      </c>
      <c r="H22" s="166">
        <v>9</v>
      </c>
      <c r="I22" s="166">
        <v>8</v>
      </c>
      <c r="J22" s="166">
        <v>9</v>
      </c>
      <c r="K22" s="166">
        <v>9</v>
      </c>
      <c r="L22" s="172" t="s">
        <v>56</v>
      </c>
      <c r="M22" s="166">
        <v>9</v>
      </c>
      <c r="N22" s="166">
        <v>9</v>
      </c>
      <c r="O22" s="166">
        <v>9</v>
      </c>
      <c r="P22" s="166">
        <v>8</v>
      </c>
      <c r="Q22" s="166">
        <v>8</v>
      </c>
      <c r="R22" s="166">
        <v>8</v>
      </c>
      <c r="S22" s="166">
        <v>8</v>
      </c>
      <c r="T22" s="165">
        <f t="shared" si="0"/>
        <v>112</v>
      </c>
      <c r="U22" s="167">
        <v>1</v>
      </c>
      <c r="V22" s="167" t="s">
        <v>56</v>
      </c>
    </row>
    <row r="23" spans="1:22" s="101" customFormat="1" ht="25.15" customHeight="1" thickBot="1" x14ac:dyDescent="0.3">
      <c r="A23" s="158">
        <v>23</v>
      </c>
      <c r="B23" s="139" t="s">
        <v>125</v>
      </c>
      <c r="C23" s="140">
        <v>2815</v>
      </c>
      <c r="D23" s="150" t="s">
        <v>35</v>
      </c>
      <c r="E23" s="99" t="str">
        <f t="shared" si="1"/>
        <v>٤</v>
      </c>
      <c r="F23" s="156">
        <v>4</v>
      </c>
      <c r="G23" s="156">
        <v>5</v>
      </c>
      <c r="H23" s="156">
        <v>6</v>
      </c>
      <c r="I23" s="156">
        <v>5</v>
      </c>
      <c r="J23" s="156">
        <v>5</v>
      </c>
      <c r="K23" s="156">
        <v>4</v>
      </c>
      <c r="L23" s="157" t="s">
        <v>56</v>
      </c>
      <c r="M23" s="156">
        <v>5</v>
      </c>
      <c r="N23" s="156">
        <v>5</v>
      </c>
      <c r="O23" s="156">
        <v>5</v>
      </c>
      <c r="P23" s="156">
        <v>6</v>
      </c>
      <c r="Q23" s="156">
        <v>6</v>
      </c>
      <c r="R23" s="156">
        <v>7</v>
      </c>
      <c r="S23" s="156">
        <v>7</v>
      </c>
      <c r="T23" s="99">
        <f t="shared" si="0"/>
        <v>70</v>
      </c>
      <c r="U23" s="100">
        <v>6</v>
      </c>
      <c r="V23" s="100">
        <v>9</v>
      </c>
    </row>
    <row r="24" spans="1:22" s="1" customFormat="1" ht="25.15" customHeight="1" thickBot="1" x14ac:dyDescent="0.3">
      <c r="A24" s="130">
        <v>24</v>
      </c>
      <c r="B24" s="124" t="s">
        <v>126</v>
      </c>
      <c r="C24" s="132">
        <v>2676</v>
      </c>
      <c r="D24" s="150" t="s">
        <v>36</v>
      </c>
      <c r="E24" s="3" t="str">
        <f t="shared" si="1"/>
        <v>٩</v>
      </c>
      <c r="F24" s="37">
        <v>9</v>
      </c>
      <c r="G24" s="37">
        <v>9</v>
      </c>
      <c r="H24" s="37">
        <v>9</v>
      </c>
      <c r="I24" s="37">
        <v>8</v>
      </c>
      <c r="J24" s="37">
        <v>7</v>
      </c>
      <c r="K24" s="37">
        <v>7</v>
      </c>
      <c r="L24" s="63" t="s">
        <v>56</v>
      </c>
      <c r="M24" s="37">
        <v>7</v>
      </c>
      <c r="N24" s="37">
        <v>9</v>
      </c>
      <c r="O24" s="37">
        <v>8</v>
      </c>
      <c r="P24" s="37">
        <v>8</v>
      </c>
      <c r="Q24" s="37">
        <v>8</v>
      </c>
      <c r="R24" s="37">
        <v>8</v>
      </c>
      <c r="S24" s="37">
        <v>8</v>
      </c>
      <c r="T24" s="4">
        <f t="shared" si="0"/>
        <v>105</v>
      </c>
      <c r="U24" s="44" t="s">
        <v>56</v>
      </c>
      <c r="V24" s="44" t="s">
        <v>56</v>
      </c>
    </row>
    <row r="25" spans="1:22" s="2" customFormat="1" ht="25.15" customHeight="1" thickBot="1" x14ac:dyDescent="0.3">
      <c r="A25" s="130">
        <v>25</v>
      </c>
      <c r="B25" s="124" t="s">
        <v>127</v>
      </c>
      <c r="C25" s="132">
        <v>2678</v>
      </c>
      <c r="D25" s="150" t="s">
        <v>37</v>
      </c>
      <c r="E25" s="3" t="str">
        <f t="shared" si="1"/>
        <v>٦</v>
      </c>
      <c r="F25" s="37">
        <v>6</v>
      </c>
      <c r="G25" s="37">
        <v>9</v>
      </c>
      <c r="H25" s="37">
        <v>9</v>
      </c>
      <c r="I25" s="37">
        <v>5</v>
      </c>
      <c r="J25" s="37">
        <v>8</v>
      </c>
      <c r="K25" s="37">
        <v>6</v>
      </c>
      <c r="L25" s="63" t="s">
        <v>56</v>
      </c>
      <c r="M25" s="37">
        <v>5</v>
      </c>
      <c r="N25" s="37">
        <v>5</v>
      </c>
      <c r="O25" s="37">
        <v>8</v>
      </c>
      <c r="P25" s="37">
        <v>6</v>
      </c>
      <c r="Q25" s="37">
        <v>6</v>
      </c>
      <c r="R25" s="37">
        <v>7</v>
      </c>
      <c r="S25" s="37">
        <v>8</v>
      </c>
      <c r="T25" s="4">
        <f t="shared" si="0"/>
        <v>88</v>
      </c>
      <c r="U25" s="44" t="s">
        <v>56</v>
      </c>
      <c r="V25" s="44" t="s">
        <v>56</v>
      </c>
    </row>
    <row r="26" spans="1:22" s="2" customFormat="1" ht="25.15" customHeight="1" thickBot="1" x14ac:dyDescent="0.3">
      <c r="A26" s="130">
        <v>26</v>
      </c>
      <c r="B26" s="124" t="s">
        <v>128</v>
      </c>
      <c r="C26" s="85">
        <v>2750</v>
      </c>
      <c r="D26" s="150" t="s">
        <v>38</v>
      </c>
      <c r="E26" s="3" t="str">
        <f t="shared" si="1"/>
        <v>٩</v>
      </c>
      <c r="F26" s="37">
        <v>9</v>
      </c>
      <c r="G26" s="37">
        <v>8</v>
      </c>
      <c r="H26" s="37">
        <v>9</v>
      </c>
      <c r="I26" s="37">
        <v>7</v>
      </c>
      <c r="J26" s="37">
        <v>7</v>
      </c>
      <c r="K26" s="37">
        <v>9</v>
      </c>
      <c r="L26" s="63" t="s">
        <v>56</v>
      </c>
      <c r="M26" s="37">
        <v>9</v>
      </c>
      <c r="N26" s="37">
        <v>8</v>
      </c>
      <c r="O26" s="37">
        <v>7</v>
      </c>
      <c r="P26" s="37">
        <v>8</v>
      </c>
      <c r="Q26" s="37">
        <v>8</v>
      </c>
      <c r="R26" s="37">
        <v>8</v>
      </c>
      <c r="S26" s="37">
        <v>8</v>
      </c>
      <c r="T26" s="4">
        <f t="shared" si="0"/>
        <v>105</v>
      </c>
      <c r="U26" s="44">
        <v>1</v>
      </c>
      <c r="V26" s="44" t="s">
        <v>56</v>
      </c>
    </row>
    <row r="27" spans="1:22" s="2" customFormat="1" ht="25.15" customHeight="1" thickBot="1" x14ac:dyDescent="0.3">
      <c r="A27" s="130">
        <v>27</v>
      </c>
      <c r="B27" s="124" t="s">
        <v>129</v>
      </c>
      <c r="C27" s="132">
        <v>2681</v>
      </c>
      <c r="D27" s="150" t="s">
        <v>39</v>
      </c>
      <c r="E27" s="3" t="str">
        <f t="shared" si="1"/>
        <v>٧</v>
      </c>
      <c r="F27" s="37">
        <v>7</v>
      </c>
      <c r="G27" s="37">
        <v>9</v>
      </c>
      <c r="H27" s="37">
        <v>9</v>
      </c>
      <c r="I27" s="37">
        <v>6</v>
      </c>
      <c r="J27" s="37">
        <v>7</v>
      </c>
      <c r="K27" s="37">
        <v>8</v>
      </c>
      <c r="L27" s="63" t="s">
        <v>56</v>
      </c>
      <c r="M27" s="37">
        <v>7</v>
      </c>
      <c r="N27" s="37">
        <v>9</v>
      </c>
      <c r="O27" s="37">
        <v>8</v>
      </c>
      <c r="P27" s="37">
        <v>8</v>
      </c>
      <c r="Q27" s="37">
        <v>8</v>
      </c>
      <c r="R27" s="37">
        <v>8</v>
      </c>
      <c r="S27" s="37">
        <v>8</v>
      </c>
      <c r="T27" s="4">
        <f t="shared" si="0"/>
        <v>102</v>
      </c>
      <c r="U27" s="44">
        <v>1</v>
      </c>
      <c r="V27" s="44">
        <v>1</v>
      </c>
    </row>
    <row r="28" spans="1:22" s="2" customFormat="1" ht="25.15" customHeight="1" thickBot="1" x14ac:dyDescent="0.3">
      <c r="A28" s="130">
        <v>28</v>
      </c>
      <c r="B28" s="124" t="s">
        <v>130</v>
      </c>
      <c r="C28" s="132">
        <v>2682</v>
      </c>
      <c r="D28" s="150" t="s">
        <v>40</v>
      </c>
      <c r="E28" s="3" t="str">
        <f t="shared" si="1"/>
        <v>٩</v>
      </c>
      <c r="F28" s="37">
        <v>9</v>
      </c>
      <c r="G28" s="37">
        <v>9</v>
      </c>
      <c r="H28" s="37">
        <v>9</v>
      </c>
      <c r="I28" s="37">
        <v>9</v>
      </c>
      <c r="J28" s="37">
        <v>9</v>
      </c>
      <c r="K28" s="37">
        <v>9</v>
      </c>
      <c r="L28" s="63" t="s">
        <v>56</v>
      </c>
      <c r="M28" s="37">
        <v>9</v>
      </c>
      <c r="N28" s="37">
        <v>9</v>
      </c>
      <c r="O28" s="37">
        <v>9</v>
      </c>
      <c r="P28" s="37">
        <v>8</v>
      </c>
      <c r="Q28" s="37">
        <v>8</v>
      </c>
      <c r="R28" s="37">
        <v>8</v>
      </c>
      <c r="S28" s="37">
        <v>8</v>
      </c>
      <c r="T28" s="4">
        <f t="shared" si="0"/>
        <v>113</v>
      </c>
      <c r="U28" s="44" t="s">
        <v>56</v>
      </c>
      <c r="V28" s="44">
        <v>1</v>
      </c>
    </row>
    <row r="29" spans="1:22" s="2" customFormat="1" ht="24.95" customHeight="1" thickBot="1" x14ac:dyDescent="0.3">
      <c r="A29" s="130">
        <v>29</v>
      </c>
      <c r="B29" s="124" t="s">
        <v>131</v>
      </c>
      <c r="C29" s="85">
        <v>2909</v>
      </c>
      <c r="D29" s="150" t="s">
        <v>41</v>
      </c>
      <c r="E29" s="3" t="str">
        <f t="shared" si="1"/>
        <v>٥</v>
      </c>
      <c r="F29" s="37">
        <v>5</v>
      </c>
      <c r="G29" s="37">
        <v>6</v>
      </c>
      <c r="H29" s="37">
        <v>8</v>
      </c>
      <c r="I29" s="37">
        <v>5</v>
      </c>
      <c r="J29" s="37">
        <v>7</v>
      </c>
      <c r="K29" s="37">
        <v>7</v>
      </c>
      <c r="L29" s="63" t="s">
        <v>56</v>
      </c>
      <c r="M29" s="37">
        <v>6</v>
      </c>
      <c r="N29" s="37">
        <v>5</v>
      </c>
      <c r="O29" s="37">
        <v>6</v>
      </c>
      <c r="P29" s="37">
        <v>7</v>
      </c>
      <c r="Q29" s="37">
        <v>7</v>
      </c>
      <c r="R29" s="37">
        <v>8</v>
      </c>
      <c r="S29" s="37">
        <v>8</v>
      </c>
      <c r="T29" s="4">
        <f t="shared" si="0"/>
        <v>85</v>
      </c>
      <c r="U29" s="44" t="s">
        <v>56</v>
      </c>
      <c r="V29" s="44">
        <v>1</v>
      </c>
    </row>
    <row r="30" spans="1:22" s="2" customFormat="1" ht="25.15" customHeight="1" thickBot="1" x14ac:dyDescent="0.3">
      <c r="A30" s="65">
        <v>30</v>
      </c>
      <c r="B30" s="128" t="s">
        <v>135</v>
      </c>
      <c r="C30" s="132">
        <v>2684</v>
      </c>
      <c r="D30" s="150" t="s">
        <v>42</v>
      </c>
      <c r="E30" s="3" t="str">
        <f t="shared" si="1"/>
        <v>٧</v>
      </c>
      <c r="F30" s="37">
        <v>7</v>
      </c>
      <c r="G30" s="37">
        <v>9</v>
      </c>
      <c r="H30" s="37">
        <v>9</v>
      </c>
      <c r="I30" s="37">
        <v>9</v>
      </c>
      <c r="J30" s="37">
        <v>9</v>
      </c>
      <c r="K30" s="37">
        <v>9</v>
      </c>
      <c r="L30" s="63" t="s">
        <v>56</v>
      </c>
      <c r="M30" s="37">
        <v>8</v>
      </c>
      <c r="N30" s="37">
        <v>9</v>
      </c>
      <c r="O30" s="37">
        <v>9</v>
      </c>
      <c r="P30" s="37">
        <v>8</v>
      </c>
      <c r="Q30" s="37">
        <v>8</v>
      </c>
      <c r="R30" s="37">
        <v>7</v>
      </c>
      <c r="S30" s="37">
        <v>8</v>
      </c>
      <c r="T30" s="4">
        <f t="shared" si="0"/>
        <v>109</v>
      </c>
      <c r="U30" s="44" t="s">
        <v>56</v>
      </c>
      <c r="V30" s="44" t="s">
        <v>56</v>
      </c>
    </row>
    <row r="31" spans="1:22" s="2" customFormat="1" ht="25.15" customHeight="1" thickBot="1" x14ac:dyDescent="0.3">
      <c r="A31" s="129">
        <v>31</v>
      </c>
      <c r="B31" s="124" t="s">
        <v>132</v>
      </c>
      <c r="C31" s="132">
        <v>2685</v>
      </c>
      <c r="D31" s="150" t="s">
        <v>43</v>
      </c>
      <c r="E31" s="3" t="str">
        <f t="shared" si="1"/>
        <v>٧</v>
      </c>
      <c r="F31" s="37">
        <v>7</v>
      </c>
      <c r="G31" s="37">
        <v>5</v>
      </c>
      <c r="H31" s="37">
        <v>8</v>
      </c>
      <c r="I31" s="37">
        <v>6</v>
      </c>
      <c r="J31" s="37">
        <v>5</v>
      </c>
      <c r="K31" s="37">
        <v>5</v>
      </c>
      <c r="L31" s="63" t="s">
        <v>56</v>
      </c>
      <c r="M31" s="37">
        <v>6</v>
      </c>
      <c r="N31" s="37">
        <v>6</v>
      </c>
      <c r="O31" s="37">
        <v>6</v>
      </c>
      <c r="P31" s="37">
        <v>7</v>
      </c>
      <c r="Q31" s="37">
        <v>7</v>
      </c>
      <c r="R31" s="37">
        <v>8</v>
      </c>
      <c r="S31" s="37">
        <v>7</v>
      </c>
      <c r="T31" s="4">
        <f t="shared" si="0"/>
        <v>83</v>
      </c>
      <c r="U31" s="44" t="s">
        <v>56</v>
      </c>
      <c r="V31" s="44" t="s">
        <v>56</v>
      </c>
    </row>
    <row r="32" spans="1:22" s="176" customFormat="1" ht="25.15" customHeight="1" thickBot="1" x14ac:dyDescent="0.3">
      <c r="A32" s="175">
        <v>32</v>
      </c>
      <c r="B32" s="169" t="s">
        <v>133</v>
      </c>
      <c r="C32" s="163">
        <v>2786</v>
      </c>
      <c r="D32" s="164" t="s">
        <v>44</v>
      </c>
      <c r="E32" s="165" t="str">
        <f t="shared" si="1"/>
        <v>٥</v>
      </c>
      <c r="F32" s="166">
        <v>5</v>
      </c>
      <c r="G32" s="166">
        <v>6</v>
      </c>
      <c r="H32" s="166">
        <v>8</v>
      </c>
      <c r="I32" s="166">
        <v>6</v>
      </c>
      <c r="J32" s="166">
        <v>6</v>
      </c>
      <c r="K32" s="166">
        <v>5</v>
      </c>
      <c r="L32" s="172" t="s">
        <v>56</v>
      </c>
      <c r="M32" s="166">
        <v>5</v>
      </c>
      <c r="N32" s="166">
        <v>6</v>
      </c>
      <c r="O32" s="166">
        <v>5</v>
      </c>
      <c r="P32" s="166">
        <v>7</v>
      </c>
      <c r="Q32" s="166">
        <v>7</v>
      </c>
      <c r="R32" s="166">
        <v>8</v>
      </c>
      <c r="S32" s="166">
        <v>8</v>
      </c>
      <c r="T32" s="165">
        <f t="shared" si="0"/>
        <v>82</v>
      </c>
      <c r="U32" s="167">
        <v>4</v>
      </c>
      <c r="V32" s="167" t="s">
        <v>56</v>
      </c>
    </row>
    <row r="33" spans="1:22" s="2" customFormat="1" ht="25.15" customHeight="1" thickBot="1" x14ac:dyDescent="0.3">
      <c r="A33" s="131">
        <v>33</v>
      </c>
      <c r="B33" s="125" t="s">
        <v>134</v>
      </c>
      <c r="C33" s="85">
        <v>2912</v>
      </c>
      <c r="D33" s="150" t="s">
        <v>45</v>
      </c>
      <c r="E33" s="3" t="str">
        <f t="shared" si="1"/>
        <v>٧</v>
      </c>
      <c r="F33" s="37">
        <v>7</v>
      </c>
      <c r="G33" s="37">
        <v>8</v>
      </c>
      <c r="H33" s="37">
        <v>9</v>
      </c>
      <c r="I33" s="37">
        <v>6</v>
      </c>
      <c r="J33" s="37">
        <v>6</v>
      </c>
      <c r="K33" s="37">
        <v>7</v>
      </c>
      <c r="L33" s="63" t="s">
        <v>56</v>
      </c>
      <c r="M33" s="37">
        <v>7</v>
      </c>
      <c r="N33" s="37">
        <v>6</v>
      </c>
      <c r="O33" s="37">
        <v>7</v>
      </c>
      <c r="P33" s="37">
        <v>7</v>
      </c>
      <c r="Q33" s="37">
        <v>7</v>
      </c>
      <c r="R33" s="37">
        <v>7</v>
      </c>
      <c r="S33" s="37">
        <v>8</v>
      </c>
      <c r="T33" s="4">
        <f t="shared" si="0"/>
        <v>92</v>
      </c>
      <c r="U33" s="44" t="s">
        <v>56</v>
      </c>
      <c r="V33" s="44" t="s">
        <v>56</v>
      </c>
    </row>
    <row r="34" spans="1:22" s="9" customFormat="1" ht="25.15" customHeight="1" thickBot="1" x14ac:dyDescent="0.3">
      <c r="A34" s="35"/>
      <c r="B34" s="124" t="s">
        <v>49</v>
      </c>
      <c r="C34" s="7"/>
      <c r="D34" s="7"/>
      <c r="E34" s="3" t="str">
        <f t="shared" ref="E34" si="2">TEXT(F34,"[$-2000000]0")</f>
        <v>٢٣٨</v>
      </c>
      <c r="F34" s="38">
        <f t="shared" ref="F34:S34" si="3">SUM(F2:F33)</f>
        <v>238</v>
      </c>
      <c r="G34" s="8">
        <f t="shared" si="3"/>
        <v>241</v>
      </c>
      <c r="H34" s="8">
        <f t="shared" si="3"/>
        <v>272</v>
      </c>
      <c r="I34" s="24">
        <f t="shared" si="3"/>
        <v>222</v>
      </c>
      <c r="J34" s="8">
        <f t="shared" si="3"/>
        <v>239</v>
      </c>
      <c r="K34" s="8">
        <f t="shared" si="3"/>
        <v>228</v>
      </c>
      <c r="L34" s="8">
        <f t="shared" si="3"/>
        <v>0</v>
      </c>
      <c r="M34" s="8">
        <f t="shared" si="3"/>
        <v>241</v>
      </c>
      <c r="N34" s="8">
        <f t="shared" si="3"/>
        <v>238</v>
      </c>
      <c r="O34" s="24">
        <f t="shared" si="3"/>
        <v>237</v>
      </c>
      <c r="P34" s="8">
        <f t="shared" si="3"/>
        <v>242</v>
      </c>
      <c r="Q34" s="8">
        <f t="shared" si="3"/>
        <v>240</v>
      </c>
      <c r="R34" s="8">
        <f t="shared" si="3"/>
        <v>245</v>
      </c>
      <c r="S34" s="8">
        <f t="shared" si="3"/>
        <v>249</v>
      </c>
      <c r="T34" s="4">
        <f t="shared" si="0"/>
        <v>3132</v>
      </c>
      <c r="U34" s="44" t="s">
        <v>56</v>
      </c>
      <c r="V34" s="44" t="s">
        <v>56</v>
      </c>
    </row>
    <row r="35" spans="1:22" ht="15" customHeight="1" thickBot="1" x14ac:dyDescent="0.3">
      <c r="A35" s="17"/>
      <c r="B35" s="124"/>
      <c r="U35" s="44" t="s">
        <v>56</v>
      </c>
      <c r="V35" s="44" t="s">
        <v>56</v>
      </c>
    </row>
    <row r="36" spans="1:22" ht="15" customHeight="1" thickBot="1" x14ac:dyDescent="0.3">
      <c r="A36" s="17"/>
      <c r="B36" s="124"/>
      <c r="U36" s="44" t="s">
        <v>56</v>
      </c>
      <c r="V36" s="44" t="s">
        <v>56</v>
      </c>
    </row>
    <row r="37" spans="1:22" s="18" customFormat="1" ht="15" customHeight="1" thickBot="1" x14ac:dyDescent="0.3">
      <c r="A37" s="17"/>
      <c r="B37" s="124"/>
      <c r="C37" s="7"/>
      <c r="D37" s="7"/>
      <c r="E37" s="3"/>
      <c r="F37" s="5"/>
      <c r="G37" s="5"/>
      <c r="H37" s="5"/>
      <c r="I37" s="25"/>
      <c r="J37" s="5"/>
      <c r="K37" s="5"/>
      <c r="L37" s="5"/>
      <c r="M37" s="5"/>
      <c r="N37" s="5"/>
      <c r="O37" s="25"/>
      <c r="P37" s="5"/>
      <c r="Q37" s="5"/>
      <c r="R37" s="5"/>
      <c r="S37" s="5"/>
      <c r="T37" s="6"/>
      <c r="U37" s="9"/>
      <c r="V37" s="9"/>
    </row>
    <row r="38" spans="1:22" s="18" customFormat="1" ht="20.25" customHeight="1" thickBot="1" x14ac:dyDescent="0.3">
      <c r="A38" s="17"/>
      <c r="B38" s="124"/>
      <c r="C38" s="7"/>
      <c r="D38" s="7"/>
      <c r="E38" s="3"/>
      <c r="F38" s="5"/>
      <c r="G38" s="4"/>
      <c r="H38" s="14" t="s">
        <v>49</v>
      </c>
      <c r="I38" s="23"/>
      <c r="J38" s="5"/>
      <c r="K38" s="5"/>
      <c r="L38" s="5"/>
      <c r="M38" s="5"/>
      <c r="N38" s="5"/>
      <c r="O38" s="25"/>
      <c r="P38" s="5"/>
      <c r="Q38" s="5"/>
      <c r="R38" s="5"/>
      <c r="S38" s="5"/>
      <c r="T38" s="6"/>
      <c r="U38"/>
      <c r="V38"/>
    </row>
    <row r="39" spans="1:22" s="18" customFormat="1" ht="20.25" customHeight="1" thickBot="1" x14ac:dyDescent="0.3">
      <c r="A39" s="17"/>
      <c r="B39" s="124"/>
      <c r="C39" s="7"/>
      <c r="D39" s="7"/>
      <c r="E39" s="3"/>
      <c r="F39" s="5"/>
      <c r="G39" s="5"/>
      <c r="H39" s="16">
        <f>E34/D33</f>
        <v>7</v>
      </c>
      <c r="I39" s="25"/>
      <c r="J39" s="5"/>
      <c r="K39" s="5"/>
      <c r="L39" s="5"/>
      <c r="M39" s="5"/>
      <c r="N39" s="5"/>
      <c r="O39" s="25"/>
      <c r="P39" s="5"/>
      <c r="Q39" s="5"/>
      <c r="R39" s="5"/>
      <c r="S39" s="5"/>
      <c r="T39" s="5"/>
      <c r="U39"/>
      <c r="V39"/>
    </row>
    <row r="40" spans="1:22" s="18" customFormat="1" ht="20.25" customHeight="1" x14ac:dyDescent="0.25">
      <c r="A40" s="17"/>
      <c r="B40" s="7"/>
      <c r="C40" s="7"/>
      <c r="D40" s="7"/>
      <c r="E40" s="3"/>
      <c r="F40" s="5"/>
      <c r="G40" s="5"/>
      <c r="H40" s="16">
        <f>G34/D33</f>
        <v>8</v>
      </c>
      <c r="I40" s="25"/>
      <c r="J40" s="5"/>
      <c r="K40" s="5"/>
      <c r="L40" s="5"/>
      <c r="M40" s="5"/>
      <c r="N40" s="5"/>
      <c r="O40" s="25"/>
      <c r="P40" s="5"/>
      <c r="Q40" s="5"/>
      <c r="R40" s="5"/>
      <c r="S40" s="5"/>
      <c r="T40" s="6"/>
      <c r="U40"/>
      <c r="V40"/>
    </row>
    <row r="41" spans="1:22" s="18" customFormat="1" ht="20.25" customHeight="1" x14ac:dyDescent="0.25">
      <c r="A41" s="17"/>
      <c r="B41" s="159" t="s">
        <v>331</v>
      </c>
      <c r="C41" s="7"/>
      <c r="D41" s="7"/>
      <c r="E41" s="3"/>
      <c r="F41" s="5"/>
      <c r="G41" s="5"/>
      <c r="H41" s="16">
        <f>H34/D33</f>
        <v>9</v>
      </c>
      <c r="I41" s="25"/>
      <c r="J41" s="5"/>
      <c r="K41" s="5"/>
      <c r="L41" s="5"/>
      <c r="M41" s="5"/>
      <c r="N41" s="5"/>
      <c r="O41" s="25"/>
      <c r="P41" s="5"/>
      <c r="Q41" s="5"/>
      <c r="R41" s="5"/>
      <c r="S41" s="5"/>
      <c r="T41" s="6"/>
      <c r="U41"/>
      <c r="V41"/>
    </row>
    <row r="42" spans="1:22" s="18" customFormat="1" ht="20.25" customHeight="1" x14ac:dyDescent="0.25">
      <c r="A42" s="17"/>
      <c r="B42" s="7"/>
      <c r="C42" s="7"/>
      <c r="D42" s="7"/>
      <c r="E42" s="3"/>
      <c r="F42" s="5"/>
      <c r="G42" s="5"/>
      <c r="H42" s="16">
        <f>I34/D33</f>
        <v>7</v>
      </c>
      <c r="I42" s="25"/>
      <c r="J42" s="5"/>
      <c r="K42" s="5"/>
      <c r="L42" s="5"/>
      <c r="M42" s="5"/>
      <c r="N42" s="5"/>
      <c r="O42" s="25"/>
      <c r="P42" s="5"/>
      <c r="Q42" s="5"/>
      <c r="R42" s="5"/>
      <c r="S42" s="5"/>
      <c r="T42" s="6"/>
      <c r="U42"/>
      <c r="V42"/>
    </row>
    <row r="43" spans="1:22" s="18" customFormat="1" ht="20.25" customHeight="1" x14ac:dyDescent="0.25">
      <c r="A43" s="17"/>
      <c r="B43" s="7"/>
      <c r="C43" s="7"/>
      <c r="D43" s="7"/>
      <c r="E43" s="3"/>
      <c r="F43" s="5"/>
      <c r="G43" s="5"/>
      <c r="H43" s="16">
        <f>J34/D33</f>
        <v>7</v>
      </c>
      <c r="I43" s="25"/>
      <c r="J43" s="5"/>
      <c r="K43" s="5"/>
      <c r="L43" s="5"/>
      <c r="M43" s="5"/>
      <c r="N43" s="5"/>
      <c r="O43" s="25"/>
      <c r="P43" s="5"/>
      <c r="Q43" s="5"/>
      <c r="R43" s="5"/>
      <c r="S43" s="5"/>
      <c r="T43" s="6"/>
      <c r="U43"/>
      <c r="V43"/>
    </row>
    <row r="44" spans="1:22" s="18" customFormat="1" ht="20.25" customHeight="1" x14ac:dyDescent="0.25">
      <c r="A44" s="17"/>
      <c r="B44" s="7"/>
      <c r="C44" s="7"/>
      <c r="D44" s="7"/>
      <c r="E44" s="3"/>
      <c r="F44" s="5"/>
      <c r="G44" s="5"/>
      <c r="H44" s="16">
        <f>K34/D33</f>
        <v>7</v>
      </c>
      <c r="I44" s="25"/>
      <c r="J44" s="5"/>
      <c r="K44" s="5"/>
      <c r="L44" s="5"/>
      <c r="M44" s="5"/>
      <c r="N44" s="5"/>
      <c r="O44" s="25"/>
      <c r="P44" s="5"/>
      <c r="Q44" s="5"/>
      <c r="R44" s="5"/>
      <c r="S44" s="5"/>
      <c r="T44" s="6"/>
      <c r="U44"/>
      <c r="V44"/>
    </row>
    <row r="45" spans="1:22" s="18" customFormat="1" ht="20.25" customHeight="1" x14ac:dyDescent="0.25">
      <c r="A45" s="17"/>
      <c r="B45" s="7"/>
      <c r="C45" s="7"/>
      <c r="D45" s="7"/>
      <c r="E45" s="3"/>
      <c r="F45" s="5"/>
      <c r="G45" s="5"/>
      <c r="H45" s="33" t="s">
        <v>56</v>
      </c>
      <c r="I45" s="25"/>
      <c r="J45" s="5"/>
      <c r="K45" s="5"/>
      <c r="L45" s="5"/>
      <c r="M45" s="5"/>
      <c r="N45" s="5"/>
      <c r="O45" s="25"/>
      <c r="P45" s="5"/>
      <c r="Q45" s="5"/>
      <c r="R45" s="5"/>
      <c r="S45" s="5"/>
      <c r="T45" s="6"/>
      <c r="U45" s="45"/>
      <c r="V45" s="45"/>
    </row>
    <row r="46" spans="1:22" s="18" customFormat="1" ht="20.25" customHeight="1" x14ac:dyDescent="0.25">
      <c r="A46" s="17"/>
      <c r="B46" s="7"/>
      <c r="C46" s="7"/>
      <c r="D46" s="7"/>
      <c r="E46" s="3"/>
      <c r="F46" s="5"/>
      <c r="G46" s="5"/>
      <c r="H46" s="16">
        <f>M34/D33</f>
        <v>8</v>
      </c>
      <c r="I46" s="25"/>
      <c r="J46" s="5"/>
      <c r="K46" s="5"/>
      <c r="L46" s="5"/>
      <c r="M46" s="5"/>
      <c r="N46" s="5"/>
      <c r="O46" s="25"/>
      <c r="P46" s="5"/>
      <c r="Q46" s="5"/>
      <c r="R46" s="5"/>
      <c r="S46" s="5"/>
      <c r="T46" s="6"/>
      <c r="U46" s="45"/>
      <c r="V46" s="45"/>
    </row>
    <row r="47" spans="1:22" s="18" customFormat="1" ht="20.25" customHeight="1" x14ac:dyDescent="0.25">
      <c r="A47" s="17"/>
      <c r="B47" s="7"/>
      <c r="C47" s="7"/>
      <c r="D47" s="7"/>
      <c r="E47" s="3"/>
      <c r="F47" s="5"/>
      <c r="G47" s="5"/>
      <c r="H47" s="16">
        <f>N34/D33</f>
        <v>7</v>
      </c>
      <c r="I47" s="25"/>
      <c r="J47" s="5"/>
      <c r="K47" s="5"/>
      <c r="L47" s="5"/>
      <c r="M47" s="5"/>
      <c r="N47" s="5"/>
      <c r="O47" s="25"/>
      <c r="P47" s="5"/>
      <c r="Q47" s="5"/>
      <c r="R47" s="5"/>
      <c r="S47" s="5"/>
      <c r="T47" s="6"/>
      <c r="U47" s="45"/>
      <c r="V47" s="45"/>
    </row>
    <row r="48" spans="1:22" s="18" customFormat="1" ht="20.25" customHeight="1" x14ac:dyDescent="0.25">
      <c r="A48" s="17"/>
      <c r="B48" s="7"/>
      <c r="C48" s="7"/>
      <c r="D48" s="7"/>
      <c r="E48" s="3"/>
      <c r="F48" s="5"/>
      <c r="G48" s="5"/>
      <c r="H48" s="16">
        <f>O34/D33</f>
        <v>7</v>
      </c>
      <c r="I48" s="25"/>
      <c r="J48" s="5"/>
      <c r="K48" s="5"/>
      <c r="L48" s="5"/>
      <c r="M48" s="5"/>
      <c r="N48" s="5"/>
      <c r="O48" s="25"/>
      <c r="P48" s="5"/>
      <c r="Q48" s="5"/>
      <c r="R48" s="5"/>
      <c r="S48" s="5"/>
      <c r="T48" s="6"/>
      <c r="U48" s="45"/>
      <c r="V48" s="45"/>
    </row>
    <row r="49" spans="1:22" s="18" customFormat="1" ht="20.25" customHeight="1" x14ac:dyDescent="0.25">
      <c r="A49" s="17"/>
      <c r="B49" s="7"/>
      <c r="C49" s="7"/>
      <c r="D49" s="7"/>
      <c r="E49" s="3"/>
      <c r="F49" s="5"/>
      <c r="G49" s="5"/>
      <c r="H49" s="16">
        <f>P34/D33</f>
        <v>8</v>
      </c>
      <c r="I49" s="25"/>
      <c r="J49" s="5"/>
      <c r="K49" s="5"/>
      <c r="L49" s="5"/>
      <c r="M49" s="5"/>
      <c r="N49" s="5"/>
      <c r="O49" s="25"/>
      <c r="P49" s="5"/>
      <c r="Q49" s="5"/>
      <c r="R49" s="5"/>
      <c r="S49" s="5"/>
      <c r="T49" s="6"/>
      <c r="U49" s="45"/>
      <c r="V49" s="45"/>
    </row>
    <row r="50" spans="1:22" s="18" customFormat="1" ht="20.25" customHeight="1" x14ac:dyDescent="0.25">
      <c r="A50" s="17"/>
      <c r="B50" s="7"/>
      <c r="C50" s="7"/>
      <c r="D50" s="7"/>
      <c r="E50" s="3"/>
      <c r="F50" s="5"/>
      <c r="G50" s="5"/>
      <c r="H50" s="16">
        <f>Q34/D33</f>
        <v>8</v>
      </c>
      <c r="I50" s="25"/>
      <c r="J50" s="5"/>
      <c r="K50" s="5"/>
      <c r="L50" s="5"/>
      <c r="M50" s="5"/>
      <c r="N50" s="5"/>
      <c r="O50" s="25"/>
      <c r="P50" s="5"/>
      <c r="Q50" s="5"/>
      <c r="R50" s="5"/>
      <c r="S50" s="5"/>
      <c r="T50" s="6"/>
      <c r="U50" s="45"/>
      <c r="V50" s="45"/>
    </row>
    <row r="51" spans="1:22" s="18" customFormat="1" ht="20.25" customHeight="1" x14ac:dyDescent="0.25">
      <c r="A51" s="17"/>
      <c r="B51" s="7"/>
      <c r="C51" s="7"/>
      <c r="D51" s="7"/>
      <c r="E51" s="3"/>
      <c r="F51" s="5"/>
      <c r="G51" s="5"/>
      <c r="H51" s="16">
        <f>R34/D33</f>
        <v>8</v>
      </c>
      <c r="I51" s="25"/>
      <c r="J51" s="5"/>
      <c r="K51" s="5"/>
      <c r="L51" s="5"/>
      <c r="M51" s="5"/>
      <c r="N51" s="5"/>
      <c r="O51" s="25"/>
      <c r="P51" s="5"/>
      <c r="Q51" s="5"/>
      <c r="R51" s="5"/>
      <c r="S51" s="5"/>
      <c r="T51" s="6"/>
      <c r="U51" s="45"/>
      <c r="V51" s="45"/>
    </row>
    <row r="52" spans="1:22" s="18" customFormat="1" ht="25.15" customHeight="1" x14ac:dyDescent="0.25">
      <c r="A52" s="17"/>
      <c r="B52" s="7"/>
      <c r="C52" s="7"/>
      <c r="D52" s="7"/>
      <c r="E52" s="3"/>
      <c r="F52" s="5"/>
      <c r="G52" s="5"/>
      <c r="H52" s="16">
        <f>S34/D33</f>
        <v>8</v>
      </c>
      <c r="I52" s="25"/>
      <c r="J52" s="5"/>
      <c r="K52" s="5"/>
      <c r="L52" s="5"/>
      <c r="M52" s="5"/>
      <c r="N52" s="5"/>
      <c r="O52" s="25"/>
      <c r="P52" s="5"/>
      <c r="Q52" s="5"/>
      <c r="R52" s="5"/>
      <c r="S52" s="5"/>
      <c r="T52" s="6"/>
      <c r="U52" s="45"/>
      <c r="V52" s="45"/>
    </row>
    <row r="53" spans="1:22" s="18" customFormat="1" ht="15" customHeight="1" x14ac:dyDescent="0.25">
      <c r="A53" s="17"/>
      <c r="B53" s="7"/>
      <c r="C53" s="7"/>
      <c r="D53" s="7"/>
      <c r="E53" s="3"/>
      <c r="F53" s="5"/>
      <c r="G53" s="5"/>
      <c r="H53" s="15">
        <f>SUM(H39:H52)</f>
        <v>99</v>
      </c>
      <c r="I53" s="25"/>
      <c r="J53" s="5"/>
      <c r="K53" s="5"/>
      <c r="L53" s="5"/>
      <c r="M53" s="5"/>
      <c r="N53" s="5"/>
      <c r="O53" s="25"/>
      <c r="P53" s="5"/>
      <c r="Q53" s="5"/>
      <c r="R53" s="5"/>
      <c r="S53" s="5"/>
      <c r="T53" s="6"/>
      <c r="U53" s="45"/>
      <c r="V53" s="45"/>
    </row>
    <row r="54" spans="1:22" s="18" customFormat="1" ht="15" customHeight="1" x14ac:dyDescent="0.25">
      <c r="A54" s="17"/>
      <c r="B54" s="7"/>
      <c r="C54" s="7"/>
      <c r="D54" s="7"/>
      <c r="E54" s="3"/>
      <c r="F54" s="5"/>
      <c r="G54" s="5"/>
      <c r="H54" s="5"/>
      <c r="I54" s="25"/>
      <c r="J54" s="5"/>
      <c r="K54" s="5"/>
      <c r="L54" s="5"/>
      <c r="M54" s="5"/>
      <c r="N54" s="5"/>
      <c r="O54" s="25"/>
      <c r="P54" s="5"/>
      <c r="Q54" s="5"/>
      <c r="R54" s="5"/>
      <c r="S54" s="5"/>
      <c r="T54" s="6"/>
      <c r="U54" s="45"/>
      <c r="V54" s="45"/>
    </row>
    <row r="55" spans="1:22" s="18" customFormat="1" ht="15" customHeight="1" x14ac:dyDescent="0.25">
      <c r="A55" s="17"/>
      <c r="B55" s="7"/>
      <c r="C55" s="7"/>
      <c r="D55" s="7"/>
      <c r="E55" s="3"/>
      <c r="F55" s="5"/>
      <c r="G55" s="5"/>
      <c r="H55" s="5"/>
      <c r="I55" s="25"/>
      <c r="J55" s="5"/>
      <c r="K55" s="5"/>
      <c r="L55" s="5"/>
      <c r="M55" s="5"/>
      <c r="N55" s="5"/>
      <c r="O55" s="25"/>
      <c r="P55" s="5"/>
      <c r="Q55" s="5"/>
      <c r="R55" s="5"/>
      <c r="S55" s="5"/>
      <c r="T55" s="6"/>
      <c r="U55" s="45"/>
      <c r="V55" s="45"/>
    </row>
    <row r="56" spans="1:22" s="18" customFormat="1" ht="15" customHeight="1" x14ac:dyDescent="0.25">
      <c r="A56" s="17"/>
      <c r="B56" s="7"/>
      <c r="C56" s="7"/>
      <c r="D56" s="7"/>
      <c r="E56" s="3"/>
      <c r="F56" s="5"/>
      <c r="G56" s="5"/>
      <c r="H56" s="5"/>
      <c r="I56" s="25"/>
      <c r="J56" s="5"/>
      <c r="K56" s="5"/>
      <c r="L56" s="5"/>
      <c r="M56" s="5"/>
      <c r="N56" s="5"/>
      <c r="O56" s="25"/>
      <c r="P56" s="5"/>
      <c r="Q56" s="5"/>
      <c r="R56" s="5"/>
      <c r="S56" s="5"/>
      <c r="T56" s="6"/>
      <c r="U56" s="45"/>
      <c r="V56" s="45"/>
    </row>
    <row r="57" spans="1:22" s="18" customFormat="1" ht="15" customHeight="1" x14ac:dyDescent="0.25">
      <c r="A57" s="17"/>
      <c r="B57" s="7"/>
      <c r="C57" s="7"/>
      <c r="D57" s="7"/>
      <c r="E57" s="3"/>
      <c r="F57" s="5"/>
      <c r="G57" s="5"/>
      <c r="H57" s="5"/>
      <c r="I57" s="25"/>
      <c r="J57" s="5"/>
      <c r="K57" s="5"/>
      <c r="L57" s="5"/>
      <c r="M57" s="5"/>
      <c r="N57" s="5"/>
      <c r="O57" s="25"/>
      <c r="P57" s="5"/>
      <c r="Q57" s="5"/>
      <c r="R57" s="5"/>
      <c r="S57" s="5"/>
      <c r="T57" s="6"/>
      <c r="U57" s="45"/>
      <c r="V57" s="45"/>
    </row>
    <row r="58" spans="1:22" s="18" customFormat="1" ht="15" customHeight="1" x14ac:dyDescent="0.25">
      <c r="A58" s="17"/>
      <c r="B58" s="7"/>
      <c r="C58" s="7"/>
      <c r="D58" s="7"/>
      <c r="E58" s="3"/>
      <c r="F58" s="5"/>
      <c r="G58" s="5"/>
      <c r="H58" s="5"/>
      <c r="I58" s="25"/>
      <c r="J58" s="5"/>
      <c r="K58" s="5"/>
      <c r="L58" s="5"/>
      <c r="M58" s="5"/>
      <c r="N58" s="5"/>
      <c r="O58" s="25"/>
      <c r="P58" s="5"/>
      <c r="Q58" s="5"/>
      <c r="R58" s="5"/>
      <c r="S58" s="5"/>
      <c r="T58" s="6"/>
      <c r="U58" s="45"/>
      <c r="V58" s="45"/>
    </row>
    <row r="59" spans="1:22" s="18" customFormat="1" ht="15" customHeight="1" x14ac:dyDescent="0.25">
      <c r="A59" s="17"/>
      <c r="B59" s="7"/>
      <c r="C59" s="7"/>
      <c r="D59" s="7"/>
      <c r="E59" s="3"/>
      <c r="F59" s="5"/>
      <c r="G59" s="5"/>
      <c r="H59" s="5"/>
      <c r="I59" s="25"/>
      <c r="J59" s="5"/>
      <c r="K59" s="5"/>
      <c r="L59" s="5"/>
      <c r="M59" s="5"/>
      <c r="N59" s="5"/>
      <c r="O59" s="25"/>
      <c r="P59" s="5"/>
      <c r="Q59" s="5"/>
      <c r="R59" s="5"/>
      <c r="S59" s="5"/>
      <c r="T59" s="6"/>
      <c r="U59" s="45"/>
      <c r="V59" s="45"/>
    </row>
    <row r="60" spans="1:22" s="18" customFormat="1" ht="15" customHeight="1" x14ac:dyDescent="0.25">
      <c r="A60" s="17"/>
      <c r="B60" s="7"/>
      <c r="C60" s="7"/>
      <c r="D60" s="7"/>
      <c r="E60" s="3"/>
      <c r="F60" s="5"/>
      <c r="G60" s="5"/>
      <c r="H60" s="5"/>
      <c r="I60" s="25"/>
      <c r="J60" s="5"/>
      <c r="K60" s="5"/>
      <c r="L60" s="5"/>
      <c r="M60" s="5"/>
      <c r="N60" s="5"/>
      <c r="O60" s="25"/>
      <c r="P60" s="5"/>
      <c r="Q60" s="5"/>
      <c r="R60" s="5"/>
      <c r="S60" s="5"/>
      <c r="T60" s="6"/>
      <c r="U60" s="45"/>
      <c r="V60" s="45"/>
    </row>
    <row r="61" spans="1:22" s="18" customFormat="1" ht="15" customHeight="1" x14ac:dyDescent="0.25">
      <c r="A61" s="17"/>
      <c r="B61" s="7"/>
      <c r="C61" s="7"/>
      <c r="D61" s="7"/>
      <c r="E61" s="3"/>
      <c r="F61" s="5"/>
      <c r="G61" s="5"/>
      <c r="H61" s="5"/>
      <c r="I61" s="25"/>
      <c r="J61" s="5"/>
      <c r="K61" s="5"/>
      <c r="L61" s="5"/>
      <c r="M61" s="5"/>
      <c r="N61" s="5"/>
      <c r="O61" s="25"/>
      <c r="P61" s="5"/>
      <c r="Q61" s="5"/>
      <c r="R61" s="5"/>
      <c r="S61" s="5"/>
      <c r="T61" s="6"/>
      <c r="U61" s="45"/>
      <c r="V61" s="45"/>
    </row>
    <row r="62" spans="1:22" s="18" customFormat="1" ht="15" customHeight="1" x14ac:dyDescent="0.25">
      <c r="A62" s="17"/>
      <c r="B62" s="7"/>
      <c r="C62" s="7"/>
      <c r="D62" s="7"/>
      <c r="E62" s="3"/>
      <c r="F62" s="5"/>
      <c r="G62" s="5"/>
      <c r="H62" s="5"/>
      <c r="I62" s="25"/>
      <c r="J62" s="5"/>
      <c r="K62" s="5"/>
      <c r="L62" s="5"/>
      <c r="M62" s="5"/>
      <c r="N62" s="5"/>
      <c r="O62" s="25"/>
      <c r="P62" s="5"/>
      <c r="Q62" s="5"/>
      <c r="R62" s="5"/>
      <c r="S62" s="5"/>
      <c r="T62" s="6"/>
      <c r="U62" s="45"/>
      <c r="V62" s="45"/>
    </row>
    <row r="63" spans="1:22" s="18" customFormat="1" ht="15" customHeight="1" x14ac:dyDescent="0.25">
      <c r="A63" s="17"/>
      <c r="B63" s="7"/>
      <c r="C63" s="7"/>
      <c r="D63" s="7"/>
      <c r="E63" s="3"/>
      <c r="F63" s="5"/>
      <c r="G63" s="5"/>
      <c r="H63" s="5"/>
      <c r="I63" s="25"/>
      <c r="J63" s="5"/>
      <c r="K63" s="5"/>
      <c r="L63" s="5"/>
      <c r="M63" s="5"/>
      <c r="N63" s="5"/>
      <c r="O63" s="25"/>
      <c r="P63" s="5"/>
      <c r="Q63" s="5"/>
      <c r="R63" s="5"/>
      <c r="S63" s="5"/>
      <c r="T63" s="6"/>
      <c r="U63" s="45"/>
      <c r="V63" s="45"/>
    </row>
    <row r="64" spans="1:22" s="18" customFormat="1" ht="15" customHeight="1" x14ac:dyDescent="0.25">
      <c r="A64" s="17"/>
      <c r="B64" s="7"/>
      <c r="C64" s="7"/>
      <c r="D64" s="7"/>
      <c r="E64" s="3"/>
      <c r="F64" s="5"/>
      <c r="G64" s="5"/>
      <c r="H64" s="5"/>
      <c r="I64" s="25"/>
      <c r="J64" s="5"/>
      <c r="K64" s="5"/>
      <c r="L64" s="5"/>
      <c r="M64" s="5"/>
      <c r="N64" s="5"/>
      <c r="O64" s="25"/>
      <c r="P64" s="5"/>
      <c r="Q64" s="5"/>
      <c r="R64" s="5"/>
      <c r="S64" s="5"/>
      <c r="T64" s="6"/>
      <c r="U64" s="45"/>
      <c r="V64" s="45"/>
    </row>
    <row r="65" spans="1:22" s="18" customFormat="1" ht="15" customHeight="1" x14ac:dyDescent="0.25">
      <c r="A65" s="17"/>
      <c r="B65" s="7"/>
      <c r="C65" s="7"/>
      <c r="D65" s="7"/>
      <c r="E65" s="3"/>
      <c r="F65" s="5"/>
      <c r="G65" s="5"/>
      <c r="H65" s="5"/>
      <c r="I65" s="25"/>
      <c r="J65" s="5"/>
      <c r="K65" s="5"/>
      <c r="L65" s="5"/>
      <c r="M65" s="5"/>
      <c r="N65" s="5"/>
      <c r="O65" s="25"/>
      <c r="P65" s="5"/>
      <c r="Q65" s="5"/>
      <c r="R65" s="5"/>
      <c r="S65" s="5"/>
      <c r="T65" s="6"/>
      <c r="U65" s="45"/>
      <c r="V65" s="45"/>
    </row>
    <row r="66" spans="1:22" s="18" customFormat="1" ht="15" customHeight="1" x14ac:dyDescent="0.25">
      <c r="A66" s="17"/>
      <c r="B66" s="7"/>
      <c r="C66" s="7"/>
      <c r="D66" s="7"/>
      <c r="E66" s="3"/>
      <c r="F66" s="5"/>
      <c r="G66" s="5"/>
      <c r="H66" s="5"/>
      <c r="I66" s="25"/>
      <c r="J66" s="5"/>
      <c r="K66" s="5"/>
      <c r="L66" s="5"/>
      <c r="M66" s="5"/>
      <c r="N66" s="5"/>
      <c r="O66" s="25"/>
      <c r="P66" s="5"/>
      <c r="Q66" s="5"/>
      <c r="R66" s="5"/>
      <c r="S66" s="5"/>
      <c r="T66" s="6"/>
      <c r="U66" s="45"/>
      <c r="V66" s="45"/>
    </row>
    <row r="67" spans="1:22" s="18" customFormat="1" ht="15" customHeight="1" x14ac:dyDescent="0.25">
      <c r="A67" s="17"/>
      <c r="B67" s="7"/>
      <c r="C67" s="7"/>
      <c r="D67" s="7"/>
      <c r="E67" s="3"/>
      <c r="F67" s="5"/>
      <c r="G67" s="5"/>
      <c r="H67" s="5"/>
      <c r="I67" s="25"/>
      <c r="J67" s="5"/>
      <c r="K67" s="5"/>
      <c r="L67" s="5"/>
      <c r="M67" s="5"/>
      <c r="N67" s="5"/>
      <c r="O67" s="25"/>
      <c r="P67" s="5"/>
      <c r="Q67" s="5"/>
      <c r="R67" s="5"/>
      <c r="S67" s="5"/>
      <c r="T67" s="6"/>
      <c r="U67" s="45"/>
      <c r="V67" s="45"/>
    </row>
    <row r="68" spans="1:22" s="18" customFormat="1" ht="15" customHeight="1" x14ac:dyDescent="0.25">
      <c r="A68" s="17"/>
      <c r="B68" s="7"/>
      <c r="C68" s="7"/>
      <c r="D68" s="7"/>
      <c r="E68" s="3"/>
      <c r="F68" s="5"/>
      <c r="G68" s="5"/>
      <c r="H68" s="5"/>
      <c r="I68" s="25"/>
      <c r="J68" s="5"/>
      <c r="K68" s="5"/>
      <c r="L68" s="5"/>
      <c r="M68" s="5"/>
      <c r="N68" s="5"/>
      <c r="O68" s="25"/>
      <c r="P68" s="5"/>
      <c r="Q68" s="5"/>
      <c r="R68" s="5"/>
      <c r="S68" s="5"/>
      <c r="T68" s="6"/>
      <c r="U68" s="45"/>
      <c r="V68" s="45"/>
    </row>
    <row r="69" spans="1:22" s="18" customFormat="1" ht="15" customHeight="1" x14ac:dyDescent="0.25">
      <c r="A69" s="17"/>
      <c r="B69" s="7"/>
      <c r="C69" s="7"/>
      <c r="D69" s="7"/>
      <c r="E69" s="3"/>
      <c r="F69" s="5"/>
      <c r="G69" s="5"/>
      <c r="H69" s="5"/>
      <c r="I69" s="25"/>
      <c r="J69" s="5"/>
      <c r="K69" s="5"/>
      <c r="L69" s="5"/>
      <c r="M69" s="5"/>
      <c r="N69" s="5"/>
      <c r="O69" s="25"/>
      <c r="P69" s="5"/>
      <c r="Q69" s="5"/>
      <c r="R69" s="5"/>
      <c r="S69" s="5"/>
      <c r="T69" s="6"/>
      <c r="U69" s="45"/>
      <c r="V69" s="45"/>
    </row>
    <row r="70" spans="1:22" s="18" customFormat="1" ht="15" customHeight="1" x14ac:dyDescent="0.25">
      <c r="A70" s="17"/>
      <c r="B70" s="7"/>
      <c r="C70" s="7"/>
      <c r="D70" s="7"/>
      <c r="E70" s="3"/>
      <c r="F70" s="5"/>
      <c r="G70" s="5"/>
      <c r="H70" s="5"/>
      <c r="I70" s="25"/>
      <c r="J70" s="5"/>
      <c r="K70" s="5"/>
      <c r="L70" s="5"/>
      <c r="M70" s="5"/>
      <c r="N70" s="5"/>
      <c r="O70" s="25"/>
      <c r="P70" s="5"/>
      <c r="Q70" s="5"/>
      <c r="R70" s="5"/>
      <c r="S70" s="5"/>
      <c r="T70" s="6"/>
      <c r="U70" s="45"/>
      <c r="V70" s="45"/>
    </row>
    <row r="71" spans="1:22" s="18" customFormat="1" ht="15" customHeight="1" x14ac:dyDescent="0.25">
      <c r="A71" s="17"/>
      <c r="B71" s="7"/>
      <c r="C71" s="7"/>
      <c r="D71" s="7"/>
      <c r="E71" s="3"/>
      <c r="F71" s="5"/>
      <c r="G71" s="5"/>
      <c r="H71" s="5"/>
      <c r="I71" s="25"/>
      <c r="J71" s="5"/>
      <c r="K71" s="5"/>
      <c r="L71" s="5"/>
      <c r="M71" s="5"/>
      <c r="N71" s="5"/>
      <c r="O71" s="25"/>
      <c r="P71" s="5"/>
      <c r="Q71" s="5"/>
      <c r="R71" s="5"/>
      <c r="S71" s="5"/>
      <c r="T71" s="6"/>
      <c r="U71" s="45"/>
      <c r="V71" s="45"/>
    </row>
    <row r="72" spans="1:22" s="18" customFormat="1" ht="15" customHeight="1" x14ac:dyDescent="0.25">
      <c r="A72" s="17"/>
      <c r="B72" s="7"/>
      <c r="C72" s="7"/>
      <c r="D72" s="7"/>
      <c r="E72" s="3"/>
      <c r="F72" s="5"/>
      <c r="G72" s="5"/>
      <c r="H72" s="5"/>
      <c r="I72" s="25"/>
      <c r="J72" s="5"/>
      <c r="K72" s="5"/>
      <c r="L72" s="5"/>
      <c r="M72" s="5"/>
      <c r="N72" s="5"/>
      <c r="O72" s="25"/>
      <c r="P72" s="5"/>
      <c r="Q72" s="5"/>
      <c r="R72" s="5"/>
      <c r="S72" s="5"/>
      <c r="T72" s="6"/>
      <c r="U72" s="45"/>
      <c r="V72" s="45"/>
    </row>
    <row r="73" spans="1:22" s="18" customFormat="1" ht="15" customHeight="1" x14ac:dyDescent="0.25">
      <c r="A73" s="17"/>
      <c r="B73" s="7"/>
      <c r="C73" s="7"/>
      <c r="D73" s="7"/>
      <c r="E73" s="3"/>
      <c r="F73" s="5"/>
      <c r="G73" s="5"/>
      <c r="H73" s="5"/>
      <c r="I73" s="25"/>
      <c r="J73" s="5"/>
      <c r="K73" s="5"/>
      <c r="L73" s="5"/>
      <c r="M73" s="5"/>
      <c r="N73" s="5"/>
      <c r="O73" s="25"/>
      <c r="P73" s="5"/>
      <c r="Q73" s="5"/>
      <c r="R73" s="5"/>
      <c r="S73" s="5"/>
      <c r="T73" s="6"/>
      <c r="U73" s="45"/>
      <c r="V73" s="45"/>
    </row>
    <row r="74" spans="1:22" s="18" customFormat="1" ht="15" customHeight="1" x14ac:dyDescent="0.25">
      <c r="A74" s="17"/>
      <c r="B74" s="7"/>
      <c r="C74" s="7"/>
      <c r="D74" s="7"/>
      <c r="E74" s="3"/>
      <c r="F74" s="5"/>
      <c r="G74" s="5"/>
      <c r="H74" s="5"/>
      <c r="I74" s="25"/>
      <c r="J74" s="5"/>
      <c r="K74" s="5"/>
      <c r="L74" s="5"/>
      <c r="M74" s="5"/>
      <c r="N74" s="5"/>
      <c r="O74" s="25"/>
      <c r="P74" s="5"/>
      <c r="Q74" s="5"/>
      <c r="R74" s="5"/>
      <c r="S74" s="5"/>
      <c r="T74" s="6"/>
      <c r="U74" s="45"/>
      <c r="V74" s="45"/>
    </row>
    <row r="75" spans="1:22" s="18" customFormat="1" ht="15" customHeight="1" x14ac:dyDescent="0.25">
      <c r="A75" s="17"/>
      <c r="B75" s="7"/>
      <c r="C75" s="7"/>
      <c r="D75" s="7"/>
      <c r="E75" s="3"/>
      <c r="F75" s="5"/>
      <c r="G75" s="5"/>
      <c r="H75" s="5"/>
      <c r="I75" s="25"/>
      <c r="J75" s="5"/>
      <c r="K75" s="5"/>
      <c r="L75" s="5"/>
      <c r="M75" s="5"/>
      <c r="N75" s="5"/>
      <c r="O75" s="25"/>
      <c r="P75" s="5"/>
      <c r="Q75" s="5"/>
      <c r="R75" s="5"/>
      <c r="S75" s="5"/>
      <c r="T75" s="6"/>
      <c r="U75" s="45"/>
      <c r="V75" s="45"/>
    </row>
    <row r="76" spans="1:22" s="18" customFormat="1" ht="15" customHeight="1" x14ac:dyDescent="0.25">
      <c r="A76" s="17"/>
      <c r="B76" s="7"/>
      <c r="C76" s="7"/>
      <c r="D76" s="7"/>
      <c r="E76" s="3"/>
      <c r="F76" s="5"/>
      <c r="G76" s="5"/>
      <c r="H76" s="5"/>
      <c r="I76" s="25"/>
      <c r="J76" s="5"/>
      <c r="K76" s="5"/>
      <c r="L76" s="5"/>
      <c r="M76" s="5"/>
      <c r="N76" s="5"/>
      <c r="O76" s="25"/>
      <c r="P76" s="5"/>
      <c r="Q76" s="5"/>
      <c r="R76" s="5"/>
      <c r="S76" s="5"/>
      <c r="T76" s="6"/>
      <c r="U76" s="45"/>
      <c r="V76" s="45"/>
    </row>
    <row r="77" spans="1:22" s="18" customFormat="1" ht="15" customHeight="1" x14ac:dyDescent="0.25">
      <c r="A77" s="17"/>
      <c r="B77" s="7"/>
      <c r="C77" s="7"/>
      <c r="D77" s="7"/>
      <c r="E77" s="3"/>
      <c r="F77" s="5"/>
      <c r="G77" s="5"/>
      <c r="H77" s="5"/>
      <c r="I77" s="25"/>
      <c r="J77" s="5"/>
      <c r="K77" s="5"/>
      <c r="L77" s="5"/>
      <c r="M77" s="5"/>
      <c r="N77" s="5"/>
      <c r="O77" s="25"/>
      <c r="P77" s="5"/>
      <c r="Q77" s="5"/>
      <c r="R77" s="5"/>
      <c r="S77" s="5"/>
      <c r="T77" s="6"/>
      <c r="U77" s="45"/>
      <c r="V77" s="45"/>
    </row>
    <row r="78" spans="1:22" s="18" customFormat="1" ht="15" customHeight="1" x14ac:dyDescent="0.25">
      <c r="A78" s="17"/>
      <c r="B78" s="7"/>
      <c r="C78" s="7"/>
      <c r="D78" s="7"/>
      <c r="E78" s="3"/>
      <c r="F78" s="5"/>
      <c r="G78" s="5"/>
      <c r="H78" s="5"/>
      <c r="I78" s="25"/>
      <c r="J78" s="5"/>
      <c r="K78" s="5"/>
      <c r="L78" s="5"/>
      <c r="M78" s="5"/>
      <c r="N78" s="5"/>
      <c r="O78" s="25"/>
      <c r="P78" s="5"/>
      <c r="Q78" s="5"/>
      <c r="R78" s="5"/>
      <c r="S78" s="5"/>
      <c r="T78" s="6"/>
      <c r="U78" s="45"/>
      <c r="V78" s="45"/>
    </row>
    <row r="79" spans="1:22" ht="15" customHeight="1" x14ac:dyDescent="0.25">
      <c r="A79" s="17"/>
    </row>
    <row r="80" spans="1:22" ht="15" customHeight="1" x14ac:dyDescent="0.25">
      <c r="A80" s="17"/>
    </row>
    <row r="81" spans="1:20" ht="15" customHeight="1" x14ac:dyDescent="0.25">
      <c r="A81" s="17"/>
    </row>
    <row r="82" spans="1:20" ht="15" customHeight="1" x14ac:dyDescent="0.25">
      <c r="A82" s="17"/>
    </row>
    <row r="83" spans="1:20" ht="15" customHeight="1" x14ac:dyDescent="0.25">
      <c r="A83" s="17"/>
    </row>
    <row r="84" spans="1:20" ht="15" customHeight="1" x14ac:dyDescent="0.25">
      <c r="A84" s="17"/>
    </row>
    <row r="85" spans="1:20" ht="15" customHeight="1" x14ac:dyDescent="0.25">
      <c r="A85" s="17"/>
    </row>
    <row r="86" spans="1:20" ht="15" customHeight="1" x14ac:dyDescent="0.25">
      <c r="A86" s="17"/>
    </row>
    <row r="87" spans="1:20" ht="15" customHeight="1" x14ac:dyDescent="0.25">
      <c r="A87" s="17"/>
    </row>
    <row r="88" spans="1:20" ht="15" customHeight="1" x14ac:dyDescent="0.25">
      <c r="A88" s="17"/>
      <c r="G88"/>
      <c r="J88"/>
      <c r="K88"/>
      <c r="L88"/>
      <c r="M88"/>
      <c r="N88"/>
      <c r="P88"/>
      <c r="Q88"/>
      <c r="R88"/>
      <c r="S88"/>
      <c r="T88"/>
    </row>
    <row r="89" spans="1:20" ht="15" customHeight="1" x14ac:dyDescent="0.25">
      <c r="A89" s="17"/>
      <c r="G89"/>
      <c r="H89"/>
      <c r="J89"/>
      <c r="K89"/>
      <c r="L89"/>
      <c r="M89"/>
      <c r="N89"/>
      <c r="P89"/>
      <c r="Q89"/>
      <c r="R89"/>
      <c r="S89"/>
      <c r="T89"/>
    </row>
    <row r="90" spans="1:20" ht="15" customHeight="1" x14ac:dyDescent="0.25">
      <c r="A90" s="17"/>
      <c r="G90"/>
      <c r="H90"/>
      <c r="J90"/>
      <c r="K90"/>
      <c r="L90"/>
      <c r="M90"/>
      <c r="N90"/>
      <c r="P90"/>
      <c r="Q90"/>
      <c r="R90"/>
      <c r="S90"/>
      <c r="T90"/>
    </row>
    <row r="91" spans="1:20" ht="15" customHeight="1" x14ac:dyDescent="0.25">
      <c r="A91" s="17"/>
      <c r="G91"/>
      <c r="H91"/>
      <c r="J91"/>
      <c r="K91"/>
      <c r="L91"/>
      <c r="M91"/>
      <c r="N91"/>
      <c r="P91"/>
      <c r="Q91"/>
      <c r="R91"/>
      <c r="S91"/>
      <c r="T91"/>
    </row>
    <row r="92" spans="1:20" ht="15" customHeight="1" x14ac:dyDescent="0.25">
      <c r="A92" s="17"/>
      <c r="G92"/>
      <c r="H92"/>
      <c r="J92"/>
      <c r="K92"/>
      <c r="L92"/>
      <c r="M92"/>
      <c r="N92"/>
      <c r="P92"/>
      <c r="Q92"/>
      <c r="R92"/>
      <c r="S92"/>
      <c r="T92"/>
    </row>
    <row r="93" spans="1:20" ht="15" customHeight="1" x14ac:dyDescent="0.25">
      <c r="A93" s="17"/>
      <c r="G93"/>
      <c r="H93"/>
      <c r="J93"/>
      <c r="K93"/>
      <c r="L93"/>
      <c r="M93"/>
      <c r="N93"/>
      <c r="P93"/>
      <c r="Q93"/>
      <c r="R93"/>
      <c r="S93"/>
      <c r="T93"/>
    </row>
    <row r="94" spans="1:20" ht="15" customHeight="1" x14ac:dyDescent="0.25">
      <c r="A94" s="17"/>
      <c r="G94"/>
      <c r="H94"/>
      <c r="J94"/>
      <c r="K94"/>
      <c r="L94"/>
      <c r="M94"/>
      <c r="N94"/>
      <c r="P94"/>
      <c r="Q94"/>
      <c r="R94"/>
      <c r="S94"/>
      <c r="T94"/>
    </row>
    <row r="95" spans="1:20" ht="15" customHeight="1" x14ac:dyDescent="0.25">
      <c r="A95" s="17"/>
      <c r="G95"/>
      <c r="H95"/>
      <c r="J95"/>
      <c r="K95"/>
      <c r="L95"/>
      <c r="M95"/>
      <c r="N95"/>
      <c r="P95"/>
      <c r="Q95"/>
      <c r="R95"/>
      <c r="S95"/>
      <c r="T95"/>
    </row>
    <row r="96" spans="1:20" ht="15" customHeight="1" x14ac:dyDescent="0.25">
      <c r="A96" s="17"/>
      <c r="G96"/>
      <c r="H96"/>
      <c r="J96"/>
      <c r="K96"/>
      <c r="L96"/>
      <c r="M96"/>
      <c r="N96"/>
      <c r="P96"/>
      <c r="Q96"/>
      <c r="R96"/>
      <c r="S96"/>
      <c r="T96"/>
    </row>
    <row r="97" spans="1:22" ht="15" customHeight="1" x14ac:dyDescent="0.25">
      <c r="A97" s="17"/>
      <c r="G97"/>
      <c r="H97"/>
      <c r="J97"/>
      <c r="K97"/>
      <c r="L97"/>
      <c r="M97"/>
      <c r="N97"/>
      <c r="P97"/>
      <c r="Q97"/>
      <c r="R97"/>
      <c r="S97"/>
      <c r="T97"/>
    </row>
    <row r="98" spans="1:22" ht="15" customHeight="1" x14ac:dyDescent="0.25">
      <c r="A98" s="17"/>
      <c r="G98"/>
      <c r="H98"/>
      <c r="J98"/>
      <c r="K98"/>
      <c r="L98"/>
      <c r="M98"/>
      <c r="N98"/>
      <c r="P98"/>
      <c r="Q98"/>
      <c r="R98"/>
      <c r="S98"/>
      <c r="T98"/>
      <c r="U98" s="46"/>
      <c r="V98" s="46"/>
    </row>
    <row r="99" spans="1:22" ht="15" customHeight="1" x14ac:dyDescent="0.25">
      <c r="A99" s="17"/>
      <c r="G99"/>
      <c r="H99"/>
      <c r="J99"/>
      <c r="K99"/>
      <c r="L99"/>
      <c r="M99"/>
      <c r="N99"/>
      <c r="P99"/>
      <c r="Q99"/>
      <c r="R99"/>
      <c r="S99"/>
      <c r="T99"/>
      <c r="U99" s="46"/>
      <c r="V99" s="46"/>
    </row>
    <row r="100" spans="1:22" ht="15" customHeight="1" x14ac:dyDescent="0.25">
      <c r="A100" s="17"/>
      <c r="G100"/>
      <c r="H100"/>
      <c r="J100"/>
      <c r="K100"/>
      <c r="L100"/>
      <c r="M100"/>
      <c r="N100"/>
      <c r="P100"/>
      <c r="Q100"/>
      <c r="R100"/>
      <c r="S100"/>
      <c r="T100"/>
      <c r="U100" s="46"/>
      <c r="V100" s="46"/>
    </row>
    <row r="101" spans="1:22" ht="15" customHeight="1" x14ac:dyDescent="0.25">
      <c r="A101" s="17"/>
      <c r="G101"/>
      <c r="H101"/>
      <c r="J101"/>
      <c r="K101"/>
      <c r="L101"/>
      <c r="M101"/>
      <c r="N101"/>
      <c r="P101"/>
      <c r="Q101"/>
      <c r="R101"/>
      <c r="S101"/>
      <c r="T101"/>
      <c r="U101" s="46"/>
      <c r="V101" s="46"/>
    </row>
    <row r="102" spans="1:22" ht="15" customHeight="1" x14ac:dyDescent="0.25">
      <c r="A102" s="17"/>
      <c r="G102"/>
      <c r="H102"/>
      <c r="J102"/>
      <c r="K102"/>
      <c r="L102"/>
      <c r="M102"/>
      <c r="N102"/>
      <c r="P102"/>
      <c r="Q102"/>
      <c r="R102"/>
      <c r="S102"/>
      <c r="T102"/>
      <c r="U102" s="46"/>
      <c r="V102" s="46"/>
    </row>
    <row r="103" spans="1:22" ht="15" customHeight="1" x14ac:dyDescent="0.25">
      <c r="A103" s="17"/>
      <c r="G103"/>
      <c r="H103"/>
      <c r="J103"/>
      <c r="K103"/>
      <c r="L103"/>
      <c r="M103"/>
      <c r="N103"/>
      <c r="P103"/>
      <c r="Q103"/>
      <c r="R103"/>
      <c r="S103"/>
      <c r="T103"/>
      <c r="U103" s="46"/>
      <c r="V103" s="46"/>
    </row>
    <row r="104" spans="1:22" ht="15" customHeight="1" x14ac:dyDescent="0.25">
      <c r="A104" s="17"/>
      <c r="G104"/>
      <c r="H104"/>
      <c r="J104"/>
      <c r="K104"/>
      <c r="L104"/>
      <c r="M104"/>
      <c r="N104"/>
      <c r="P104"/>
      <c r="Q104"/>
      <c r="R104"/>
      <c r="S104"/>
      <c r="T104"/>
      <c r="U104" s="46"/>
      <c r="V104" s="46"/>
    </row>
    <row r="105" spans="1:22" ht="15" customHeight="1" x14ac:dyDescent="0.25">
      <c r="A105" s="17"/>
      <c r="G105"/>
      <c r="H105"/>
      <c r="J105"/>
      <c r="K105"/>
      <c r="L105"/>
      <c r="M105"/>
      <c r="N105"/>
      <c r="P105"/>
      <c r="Q105"/>
      <c r="R105"/>
      <c r="S105"/>
      <c r="T105"/>
      <c r="U105" s="46"/>
      <c r="V105" s="46"/>
    </row>
    <row r="106" spans="1:22" ht="15" customHeight="1" x14ac:dyDescent="0.25">
      <c r="A106" s="17"/>
      <c r="G106"/>
      <c r="H106"/>
      <c r="J106"/>
      <c r="K106"/>
      <c r="L106"/>
      <c r="M106"/>
      <c r="N106"/>
      <c r="P106"/>
      <c r="Q106"/>
      <c r="R106"/>
      <c r="S106"/>
      <c r="T106"/>
      <c r="U106" s="46"/>
      <c r="V106" s="46"/>
    </row>
    <row r="107" spans="1:22" ht="15" customHeight="1" x14ac:dyDescent="0.25">
      <c r="A107" s="17"/>
      <c r="G107"/>
      <c r="H107"/>
      <c r="J107"/>
      <c r="K107"/>
      <c r="L107"/>
      <c r="M107"/>
      <c r="N107"/>
      <c r="P107"/>
      <c r="Q107"/>
      <c r="R107"/>
      <c r="S107"/>
      <c r="T107"/>
      <c r="U107" s="46"/>
      <c r="V107" s="46"/>
    </row>
    <row r="108" spans="1:22" ht="15" customHeight="1" x14ac:dyDescent="0.25">
      <c r="A108" s="17"/>
      <c r="G108"/>
      <c r="H108"/>
      <c r="J108"/>
      <c r="K108"/>
      <c r="L108"/>
      <c r="M108"/>
      <c r="N108"/>
      <c r="P108"/>
      <c r="Q108"/>
      <c r="R108"/>
      <c r="S108"/>
      <c r="T108"/>
      <c r="U108" s="46"/>
      <c r="V108" s="46"/>
    </row>
    <row r="109" spans="1:22" ht="15" customHeight="1" x14ac:dyDescent="0.25">
      <c r="A109" s="17"/>
      <c r="G109"/>
      <c r="H109"/>
      <c r="J109"/>
      <c r="K109"/>
      <c r="L109"/>
      <c r="M109"/>
      <c r="N109"/>
      <c r="P109"/>
      <c r="Q109"/>
      <c r="R109"/>
      <c r="S109"/>
      <c r="T109"/>
      <c r="U109" s="46"/>
      <c r="V109" s="46"/>
    </row>
    <row r="110" spans="1:22" ht="15" customHeight="1" x14ac:dyDescent="0.25">
      <c r="A110" s="17"/>
      <c r="G110"/>
      <c r="H110"/>
      <c r="J110"/>
      <c r="K110"/>
      <c r="L110"/>
      <c r="M110"/>
      <c r="N110"/>
      <c r="P110"/>
      <c r="Q110"/>
      <c r="R110"/>
      <c r="S110"/>
      <c r="T110"/>
      <c r="U110" s="46"/>
      <c r="V110" s="46"/>
    </row>
    <row r="111" spans="1:22" ht="15" customHeight="1" x14ac:dyDescent="0.25">
      <c r="A111" s="17"/>
      <c r="G111"/>
      <c r="H111"/>
      <c r="J111"/>
      <c r="K111"/>
      <c r="L111"/>
      <c r="M111"/>
      <c r="N111"/>
      <c r="P111"/>
      <c r="Q111"/>
      <c r="R111"/>
      <c r="S111"/>
      <c r="T111"/>
      <c r="U111" s="46"/>
      <c r="V111" s="46"/>
    </row>
    <row r="112" spans="1:22" ht="15" customHeight="1" x14ac:dyDescent="0.25">
      <c r="A112" s="17"/>
      <c r="G112"/>
      <c r="H112"/>
      <c r="J112"/>
      <c r="K112"/>
      <c r="L112"/>
      <c r="M112"/>
      <c r="N112"/>
      <c r="P112"/>
      <c r="Q112"/>
      <c r="R112"/>
      <c r="S112"/>
      <c r="T112"/>
      <c r="U112" s="46"/>
      <c r="V112" s="46"/>
    </row>
    <row r="113" spans="1:22" ht="15" customHeight="1" x14ac:dyDescent="0.25">
      <c r="A113" s="17"/>
      <c r="G113"/>
      <c r="H113"/>
      <c r="J113"/>
      <c r="K113"/>
      <c r="L113"/>
      <c r="M113"/>
      <c r="N113"/>
      <c r="P113"/>
      <c r="Q113"/>
      <c r="R113"/>
      <c r="S113"/>
      <c r="T113"/>
      <c r="U113" s="46"/>
      <c r="V113" s="46"/>
    </row>
    <row r="114" spans="1:22" ht="15" customHeight="1" x14ac:dyDescent="0.25">
      <c r="A114" s="17"/>
      <c r="G114"/>
      <c r="H114"/>
      <c r="J114"/>
      <c r="K114"/>
      <c r="L114"/>
      <c r="M114"/>
      <c r="N114"/>
      <c r="P114"/>
      <c r="Q114"/>
      <c r="R114"/>
      <c r="S114"/>
      <c r="T114"/>
      <c r="U114" s="46"/>
      <c r="V114" s="46"/>
    </row>
    <row r="115" spans="1:22" ht="15" customHeight="1" x14ac:dyDescent="0.25">
      <c r="A115" s="17"/>
      <c r="G115"/>
      <c r="H115"/>
      <c r="J115"/>
      <c r="K115"/>
      <c r="L115"/>
      <c r="M115"/>
      <c r="N115"/>
      <c r="P115"/>
      <c r="Q115"/>
      <c r="R115"/>
      <c r="S115"/>
      <c r="T115"/>
      <c r="U115" s="46"/>
      <c r="V115" s="46"/>
    </row>
    <row r="116" spans="1:22" ht="15" customHeight="1" x14ac:dyDescent="0.25">
      <c r="A116" s="17"/>
      <c r="G116"/>
      <c r="H116"/>
      <c r="J116"/>
      <c r="K116"/>
      <c r="L116"/>
      <c r="M116"/>
      <c r="N116"/>
      <c r="P116"/>
      <c r="Q116"/>
      <c r="R116"/>
      <c r="S116"/>
      <c r="T116"/>
      <c r="U116" s="46"/>
      <c r="V116" s="46"/>
    </row>
    <row r="117" spans="1:22" ht="15" customHeight="1" x14ac:dyDescent="0.25">
      <c r="A117" s="17"/>
      <c r="G117"/>
      <c r="H117"/>
      <c r="J117"/>
      <c r="K117"/>
      <c r="L117"/>
      <c r="M117"/>
      <c r="N117"/>
      <c r="P117"/>
      <c r="Q117"/>
      <c r="R117"/>
      <c r="S117"/>
      <c r="T117"/>
      <c r="U117" s="46"/>
      <c r="V117" s="46"/>
    </row>
    <row r="118" spans="1:22" ht="15" customHeight="1" x14ac:dyDescent="0.25">
      <c r="A118" s="17"/>
      <c r="G118"/>
      <c r="H118"/>
      <c r="J118"/>
      <c r="K118"/>
      <c r="L118"/>
      <c r="M118"/>
      <c r="N118"/>
      <c r="P118"/>
      <c r="Q118"/>
      <c r="R118"/>
      <c r="S118"/>
      <c r="T118"/>
      <c r="U118" s="46"/>
      <c r="V118" s="46"/>
    </row>
    <row r="119" spans="1:22" ht="15" customHeight="1" x14ac:dyDescent="0.25">
      <c r="A119" s="17"/>
      <c r="G119"/>
      <c r="H119"/>
      <c r="J119"/>
      <c r="K119"/>
      <c r="L119"/>
      <c r="M119"/>
      <c r="N119"/>
      <c r="P119"/>
      <c r="Q119"/>
      <c r="R119"/>
      <c r="S119"/>
      <c r="T119"/>
      <c r="U119" s="46"/>
      <c r="V119" s="46"/>
    </row>
    <row r="120" spans="1:22" ht="15" customHeight="1" x14ac:dyDescent="0.25">
      <c r="A120" s="17"/>
      <c r="G120"/>
      <c r="H120"/>
      <c r="J120"/>
      <c r="K120"/>
      <c r="L120"/>
      <c r="M120"/>
      <c r="N120"/>
      <c r="P120"/>
      <c r="Q120"/>
      <c r="R120"/>
      <c r="S120"/>
      <c r="T120"/>
      <c r="U120" s="46"/>
      <c r="V120" s="46"/>
    </row>
    <row r="121" spans="1:22" ht="15" customHeight="1" x14ac:dyDescent="0.25">
      <c r="A121" s="17"/>
      <c r="G121"/>
      <c r="H121"/>
      <c r="J121"/>
      <c r="K121"/>
      <c r="L121"/>
      <c r="M121"/>
      <c r="N121"/>
      <c r="P121"/>
      <c r="Q121"/>
      <c r="R121"/>
      <c r="S121"/>
      <c r="T121"/>
      <c r="U121" s="46"/>
      <c r="V121" s="46"/>
    </row>
    <row r="122" spans="1:22" ht="15" customHeight="1" x14ac:dyDescent="0.25">
      <c r="A122" s="17"/>
      <c r="G122"/>
      <c r="H122"/>
      <c r="J122"/>
      <c r="K122"/>
      <c r="L122"/>
      <c r="M122"/>
      <c r="N122"/>
      <c r="P122"/>
      <c r="Q122"/>
      <c r="R122"/>
      <c r="S122"/>
      <c r="T122"/>
      <c r="U122" s="46"/>
      <c r="V122" s="46"/>
    </row>
    <row r="123" spans="1:22" ht="15" customHeight="1" x14ac:dyDescent="0.25">
      <c r="A123" s="17"/>
      <c r="G123"/>
      <c r="H123"/>
      <c r="J123"/>
      <c r="K123"/>
      <c r="L123"/>
      <c r="M123"/>
      <c r="N123"/>
      <c r="P123"/>
      <c r="Q123"/>
      <c r="R123"/>
      <c r="S123"/>
      <c r="T123"/>
      <c r="U123" s="46"/>
      <c r="V123" s="46"/>
    </row>
    <row r="124" spans="1:22" ht="15" customHeight="1" x14ac:dyDescent="0.25">
      <c r="A124" s="17"/>
      <c r="G124"/>
      <c r="H124"/>
      <c r="J124"/>
      <c r="K124"/>
      <c r="L124"/>
      <c r="M124"/>
      <c r="N124"/>
      <c r="P124"/>
      <c r="Q124"/>
      <c r="R124"/>
      <c r="S124"/>
      <c r="T124"/>
      <c r="U124" s="46"/>
      <c r="V124" s="46"/>
    </row>
    <row r="125" spans="1:22" ht="15" customHeight="1" x14ac:dyDescent="0.25">
      <c r="A125" s="17"/>
      <c r="G125"/>
      <c r="H125"/>
      <c r="J125"/>
      <c r="K125"/>
      <c r="L125"/>
      <c r="M125"/>
      <c r="N125"/>
      <c r="P125"/>
      <c r="Q125"/>
      <c r="R125"/>
      <c r="S125"/>
      <c r="T125"/>
      <c r="U125" s="46"/>
      <c r="V125" s="46"/>
    </row>
    <row r="126" spans="1:22" ht="15" customHeight="1" x14ac:dyDescent="0.25">
      <c r="A126" s="17"/>
      <c r="G126"/>
      <c r="H126"/>
      <c r="J126"/>
      <c r="K126"/>
      <c r="L126"/>
      <c r="M126"/>
      <c r="N126"/>
      <c r="P126"/>
      <c r="Q126"/>
      <c r="R126"/>
      <c r="S126"/>
      <c r="T126"/>
      <c r="U126" s="46"/>
      <c r="V126" s="46"/>
    </row>
    <row r="127" spans="1:22" ht="15" customHeight="1" x14ac:dyDescent="0.25">
      <c r="A127" s="17"/>
      <c r="G127"/>
      <c r="H127"/>
      <c r="J127"/>
      <c r="K127"/>
      <c r="L127"/>
      <c r="M127"/>
      <c r="N127"/>
      <c r="P127"/>
      <c r="Q127"/>
      <c r="R127"/>
      <c r="S127"/>
      <c r="T127"/>
      <c r="U127" s="46"/>
      <c r="V127" s="46"/>
    </row>
    <row r="128" spans="1:22" ht="15" customHeight="1" x14ac:dyDescent="0.25">
      <c r="A128" s="17"/>
      <c r="G128"/>
      <c r="H128"/>
      <c r="J128"/>
      <c r="K128"/>
      <c r="L128"/>
      <c r="M128"/>
      <c r="N128"/>
      <c r="P128"/>
      <c r="Q128"/>
      <c r="R128"/>
      <c r="S128"/>
      <c r="T128"/>
      <c r="U128" s="46"/>
      <c r="V128" s="46"/>
    </row>
    <row r="129" spans="1:22" ht="15" customHeight="1" x14ac:dyDescent="0.25">
      <c r="A129" s="17"/>
      <c r="G129"/>
      <c r="H129"/>
      <c r="J129"/>
      <c r="K129"/>
      <c r="L129"/>
      <c r="M129"/>
      <c r="N129"/>
      <c r="P129"/>
      <c r="Q129"/>
      <c r="R129"/>
      <c r="S129"/>
      <c r="T129"/>
      <c r="U129" s="46"/>
      <c r="V129" s="46"/>
    </row>
    <row r="130" spans="1:22" ht="15" customHeight="1" x14ac:dyDescent="0.25">
      <c r="A130" s="17"/>
      <c r="G130"/>
      <c r="H130"/>
      <c r="J130"/>
      <c r="K130"/>
      <c r="L130"/>
      <c r="M130"/>
      <c r="N130"/>
      <c r="P130"/>
      <c r="Q130"/>
      <c r="R130"/>
      <c r="S130"/>
      <c r="T130"/>
      <c r="U130" s="46"/>
      <c r="V130" s="46"/>
    </row>
    <row r="131" spans="1:22" ht="15" customHeight="1" x14ac:dyDescent="0.25">
      <c r="A131" s="17"/>
      <c r="G131"/>
      <c r="H131"/>
      <c r="J131"/>
      <c r="K131"/>
      <c r="L131"/>
      <c r="M131"/>
      <c r="N131"/>
      <c r="P131"/>
      <c r="Q131"/>
      <c r="R131"/>
      <c r="S131"/>
      <c r="T131"/>
      <c r="U131" s="46"/>
      <c r="V131" s="46"/>
    </row>
    <row r="132" spans="1:22" ht="15" customHeight="1" x14ac:dyDescent="0.25">
      <c r="A132" s="17"/>
      <c r="G132"/>
      <c r="H132"/>
      <c r="J132"/>
      <c r="K132"/>
      <c r="L132"/>
      <c r="M132"/>
      <c r="N132"/>
      <c r="P132"/>
      <c r="Q132"/>
      <c r="R132"/>
      <c r="S132"/>
      <c r="T132"/>
      <c r="U132" s="46"/>
      <c r="V132" s="46"/>
    </row>
    <row r="133" spans="1:22" ht="15" customHeight="1" x14ac:dyDescent="0.25">
      <c r="A133" s="17"/>
      <c r="G133"/>
      <c r="H133"/>
      <c r="J133"/>
      <c r="K133"/>
      <c r="L133"/>
      <c r="M133"/>
      <c r="N133"/>
      <c r="P133"/>
      <c r="Q133"/>
      <c r="R133"/>
      <c r="S133"/>
      <c r="T133"/>
      <c r="U133" s="46"/>
      <c r="V133" s="46"/>
    </row>
    <row r="134" spans="1:22" ht="15" customHeight="1" x14ac:dyDescent="0.25">
      <c r="A134" s="17"/>
      <c r="G134"/>
      <c r="H134"/>
      <c r="J134"/>
      <c r="K134"/>
      <c r="L134"/>
      <c r="M134"/>
      <c r="N134"/>
      <c r="P134"/>
      <c r="Q134"/>
      <c r="R134"/>
      <c r="S134"/>
      <c r="T134"/>
      <c r="U134" s="46"/>
      <c r="V134" s="46"/>
    </row>
    <row r="135" spans="1:22" ht="15" customHeight="1" x14ac:dyDescent="0.25">
      <c r="A135" s="17"/>
      <c r="G135"/>
      <c r="H135"/>
      <c r="J135"/>
      <c r="K135"/>
      <c r="L135"/>
      <c r="M135"/>
      <c r="N135"/>
      <c r="P135"/>
      <c r="Q135"/>
      <c r="R135"/>
      <c r="S135"/>
      <c r="T135"/>
      <c r="U135" s="46"/>
      <c r="V135" s="46"/>
    </row>
    <row r="136" spans="1:22" ht="15" customHeight="1" x14ac:dyDescent="0.25">
      <c r="A136" s="17"/>
      <c r="G136"/>
      <c r="H136"/>
      <c r="J136"/>
      <c r="K136"/>
      <c r="L136"/>
      <c r="M136"/>
      <c r="N136"/>
      <c r="P136"/>
      <c r="Q136"/>
      <c r="R136"/>
      <c r="S136"/>
      <c r="T136"/>
      <c r="U136" s="46"/>
      <c r="V136" s="46"/>
    </row>
    <row r="137" spans="1:22" ht="15" customHeight="1" x14ac:dyDescent="0.25">
      <c r="A137" s="17"/>
      <c r="G137"/>
      <c r="H137"/>
      <c r="J137"/>
      <c r="K137"/>
      <c r="L137"/>
      <c r="M137"/>
      <c r="N137"/>
      <c r="P137"/>
      <c r="Q137"/>
      <c r="R137"/>
      <c r="S137"/>
      <c r="T137"/>
      <c r="U137" s="46"/>
      <c r="V137" s="46"/>
    </row>
    <row r="138" spans="1:22" ht="15" customHeight="1" x14ac:dyDescent="0.25">
      <c r="A138" s="17"/>
      <c r="G138"/>
      <c r="H138"/>
      <c r="J138"/>
      <c r="K138"/>
      <c r="L138"/>
      <c r="M138"/>
      <c r="N138"/>
      <c r="P138"/>
      <c r="Q138"/>
      <c r="R138"/>
      <c r="S138"/>
      <c r="T138"/>
      <c r="U138" s="46"/>
      <c r="V138" s="46"/>
    </row>
    <row r="139" spans="1:22" ht="15" customHeight="1" x14ac:dyDescent="0.25">
      <c r="A139" s="17"/>
      <c r="G139"/>
      <c r="H139"/>
      <c r="J139"/>
      <c r="K139"/>
      <c r="L139"/>
      <c r="M139"/>
      <c r="N139"/>
      <c r="P139"/>
      <c r="Q139"/>
      <c r="R139"/>
      <c r="S139"/>
      <c r="T139"/>
      <c r="U139" s="46"/>
      <c r="V139" s="46"/>
    </row>
    <row r="140" spans="1:22" ht="15" customHeight="1" x14ac:dyDescent="0.25">
      <c r="A140" s="17"/>
      <c r="G140"/>
      <c r="H140"/>
      <c r="J140"/>
      <c r="K140"/>
      <c r="L140"/>
      <c r="M140"/>
      <c r="N140"/>
      <c r="P140"/>
      <c r="Q140"/>
      <c r="R140"/>
      <c r="S140"/>
      <c r="T140"/>
      <c r="U140" s="46"/>
      <c r="V140" s="46"/>
    </row>
    <row r="141" spans="1:22" ht="15" customHeight="1" x14ac:dyDescent="0.25">
      <c r="A141" s="17"/>
      <c r="G141"/>
      <c r="H141"/>
      <c r="J141"/>
      <c r="K141"/>
      <c r="L141"/>
      <c r="M141"/>
      <c r="N141"/>
      <c r="P141"/>
      <c r="Q141"/>
      <c r="R141"/>
      <c r="S141"/>
      <c r="T141"/>
      <c r="U141" s="46"/>
      <c r="V141" s="46"/>
    </row>
    <row r="142" spans="1:22" ht="15" customHeight="1" x14ac:dyDescent="0.25">
      <c r="A142" s="17"/>
      <c r="G142"/>
      <c r="H142"/>
      <c r="J142"/>
      <c r="K142"/>
      <c r="L142"/>
      <c r="M142"/>
      <c r="N142"/>
      <c r="P142"/>
      <c r="Q142"/>
      <c r="R142"/>
      <c r="S142"/>
      <c r="T142"/>
      <c r="U142" s="46"/>
      <c r="V142" s="46"/>
    </row>
    <row r="143" spans="1:22" ht="15" customHeight="1" x14ac:dyDescent="0.25">
      <c r="A143" s="17"/>
      <c r="G143"/>
      <c r="H143"/>
      <c r="J143"/>
      <c r="K143"/>
      <c r="L143"/>
      <c r="M143"/>
      <c r="N143"/>
      <c r="P143"/>
      <c r="Q143"/>
      <c r="R143"/>
      <c r="S143"/>
      <c r="T143"/>
      <c r="U143" s="46"/>
      <c r="V143" s="46"/>
    </row>
    <row r="144" spans="1:22" ht="15" customHeight="1" x14ac:dyDescent="0.25">
      <c r="A144" s="17"/>
      <c r="G144"/>
      <c r="H144"/>
      <c r="J144"/>
      <c r="K144"/>
      <c r="L144"/>
      <c r="M144"/>
      <c r="N144"/>
      <c r="P144"/>
      <c r="Q144"/>
      <c r="R144"/>
      <c r="S144"/>
      <c r="T144"/>
      <c r="U144" s="46"/>
      <c r="V144" s="46"/>
    </row>
    <row r="145" spans="1:22" ht="15" customHeight="1" x14ac:dyDescent="0.25">
      <c r="A145" s="17"/>
      <c r="G145"/>
      <c r="H145"/>
      <c r="J145"/>
      <c r="K145"/>
      <c r="L145"/>
      <c r="M145"/>
      <c r="N145"/>
      <c r="P145"/>
      <c r="Q145"/>
      <c r="R145"/>
      <c r="S145"/>
      <c r="T145"/>
      <c r="U145" s="46"/>
      <c r="V145" s="46"/>
    </row>
    <row r="146" spans="1:22" ht="15" customHeight="1" x14ac:dyDescent="0.25">
      <c r="A146" s="17"/>
      <c r="G146"/>
      <c r="H146"/>
      <c r="J146"/>
      <c r="K146"/>
      <c r="L146"/>
      <c r="M146"/>
      <c r="N146"/>
      <c r="P146"/>
      <c r="Q146"/>
      <c r="R146"/>
      <c r="S146"/>
      <c r="T146"/>
      <c r="U146" s="46"/>
      <c r="V146" s="46"/>
    </row>
    <row r="147" spans="1:22" ht="15" customHeight="1" x14ac:dyDescent="0.25">
      <c r="A147" s="17"/>
      <c r="G147"/>
      <c r="H147"/>
      <c r="J147"/>
      <c r="K147"/>
      <c r="L147"/>
      <c r="M147"/>
      <c r="N147"/>
      <c r="P147"/>
      <c r="Q147"/>
      <c r="R147"/>
      <c r="S147"/>
      <c r="T147"/>
      <c r="U147" s="46"/>
      <c r="V147" s="46"/>
    </row>
    <row r="148" spans="1:22" ht="15" customHeight="1" x14ac:dyDescent="0.25">
      <c r="A148" s="17"/>
      <c r="G148"/>
      <c r="H148"/>
      <c r="J148"/>
      <c r="K148"/>
      <c r="L148"/>
      <c r="M148"/>
      <c r="N148"/>
      <c r="P148"/>
      <c r="Q148"/>
      <c r="R148"/>
      <c r="S148"/>
      <c r="T148"/>
      <c r="U148" s="46"/>
      <c r="V148" s="46"/>
    </row>
    <row r="149" spans="1:22" ht="15" customHeight="1" x14ac:dyDescent="0.25">
      <c r="A149" s="17"/>
      <c r="G149"/>
      <c r="H149"/>
      <c r="J149"/>
      <c r="K149"/>
      <c r="L149"/>
      <c r="M149"/>
      <c r="N149"/>
      <c r="P149"/>
      <c r="Q149"/>
      <c r="R149"/>
      <c r="S149"/>
      <c r="T149"/>
      <c r="U149" s="46"/>
      <c r="V149" s="46"/>
    </row>
    <row r="150" spans="1:22" ht="15" customHeight="1" x14ac:dyDescent="0.25">
      <c r="A150" s="17"/>
      <c r="G150"/>
      <c r="H150"/>
      <c r="J150"/>
      <c r="K150"/>
      <c r="L150"/>
      <c r="M150"/>
      <c r="N150"/>
      <c r="P150"/>
      <c r="Q150"/>
      <c r="R150"/>
      <c r="S150"/>
      <c r="T150"/>
      <c r="U150" s="46"/>
      <c r="V150" s="46"/>
    </row>
    <row r="151" spans="1:22" ht="15" customHeight="1" x14ac:dyDescent="0.25">
      <c r="A151" s="17"/>
      <c r="G151"/>
      <c r="H151"/>
      <c r="J151"/>
      <c r="K151"/>
      <c r="L151"/>
      <c r="M151"/>
      <c r="N151"/>
      <c r="P151"/>
      <c r="Q151"/>
      <c r="R151"/>
      <c r="S151"/>
      <c r="T151"/>
      <c r="U151" s="46"/>
      <c r="V151" s="46"/>
    </row>
    <row r="152" spans="1:22" ht="15" customHeight="1" x14ac:dyDescent="0.25">
      <c r="A152" s="17"/>
      <c r="G152"/>
      <c r="H152"/>
      <c r="J152"/>
      <c r="K152"/>
      <c r="L152"/>
      <c r="M152"/>
      <c r="N152"/>
      <c r="P152"/>
      <c r="Q152"/>
      <c r="R152"/>
      <c r="S152"/>
      <c r="T152"/>
      <c r="U152" s="46"/>
      <c r="V152" s="46"/>
    </row>
    <row r="153" spans="1:22" ht="15" customHeight="1" x14ac:dyDescent="0.25">
      <c r="A153" s="17"/>
      <c r="G153"/>
      <c r="H153"/>
      <c r="J153"/>
      <c r="K153"/>
      <c r="L153"/>
      <c r="M153"/>
      <c r="N153"/>
      <c r="P153"/>
      <c r="Q153"/>
      <c r="R153"/>
      <c r="S153"/>
      <c r="T153"/>
      <c r="U153" s="46"/>
      <c r="V153" s="46"/>
    </row>
    <row r="154" spans="1:22" ht="15" customHeight="1" x14ac:dyDescent="0.25">
      <c r="A154" s="17"/>
      <c r="G154"/>
      <c r="H154"/>
      <c r="J154"/>
      <c r="K154"/>
      <c r="L154"/>
      <c r="M154"/>
      <c r="N154"/>
      <c r="P154"/>
      <c r="Q154"/>
      <c r="R154"/>
      <c r="S154"/>
      <c r="T154"/>
      <c r="U154" s="46"/>
      <c r="V154" s="46"/>
    </row>
    <row r="155" spans="1:22" ht="15" customHeight="1" x14ac:dyDescent="0.25">
      <c r="A155" s="17"/>
      <c r="G155"/>
      <c r="H155"/>
      <c r="J155"/>
      <c r="K155"/>
      <c r="L155"/>
      <c r="M155"/>
      <c r="N155"/>
      <c r="P155"/>
      <c r="Q155"/>
      <c r="R155"/>
      <c r="S155"/>
      <c r="T155"/>
      <c r="U155" s="46"/>
      <c r="V155" s="46"/>
    </row>
    <row r="156" spans="1:22" ht="15" customHeight="1" x14ac:dyDescent="0.25">
      <c r="A156" s="17"/>
      <c r="G156"/>
      <c r="H156"/>
      <c r="J156"/>
      <c r="K156"/>
      <c r="L156"/>
      <c r="M156"/>
      <c r="N156"/>
      <c r="P156"/>
      <c r="Q156"/>
      <c r="R156"/>
      <c r="S156"/>
      <c r="T156"/>
      <c r="U156" s="46"/>
      <c r="V156" s="46"/>
    </row>
    <row r="157" spans="1:22" ht="15" customHeight="1" x14ac:dyDescent="0.25">
      <c r="A157" s="17"/>
      <c r="G157"/>
      <c r="H157"/>
      <c r="J157"/>
      <c r="K157"/>
      <c r="L157"/>
      <c r="M157"/>
      <c r="N157"/>
      <c r="P157"/>
      <c r="Q157"/>
      <c r="R157"/>
      <c r="S157"/>
      <c r="T157"/>
      <c r="U157" s="46"/>
      <c r="V157" s="46"/>
    </row>
    <row r="158" spans="1:22" ht="15" customHeight="1" x14ac:dyDescent="0.25">
      <c r="A158" s="17"/>
      <c r="G158"/>
      <c r="H158"/>
      <c r="J158"/>
      <c r="K158"/>
      <c r="L158"/>
      <c r="M158"/>
      <c r="N158"/>
      <c r="P158"/>
      <c r="Q158"/>
      <c r="R158"/>
      <c r="S158"/>
      <c r="T158"/>
      <c r="U158" s="46"/>
      <c r="V158" s="46"/>
    </row>
    <row r="159" spans="1:22" ht="15" customHeight="1" x14ac:dyDescent="0.25">
      <c r="A159" s="17"/>
      <c r="G159"/>
      <c r="H159"/>
      <c r="J159"/>
      <c r="K159"/>
      <c r="L159"/>
      <c r="M159"/>
      <c r="N159"/>
      <c r="P159"/>
      <c r="Q159"/>
      <c r="R159"/>
      <c r="S159"/>
      <c r="T159"/>
      <c r="U159" s="46"/>
      <c r="V159" s="46"/>
    </row>
    <row r="160" spans="1:22" ht="15" customHeight="1" x14ac:dyDescent="0.25">
      <c r="A160" s="17"/>
      <c r="G160"/>
      <c r="H160"/>
      <c r="J160"/>
      <c r="K160"/>
      <c r="L160"/>
      <c r="M160"/>
      <c r="N160"/>
      <c r="P160"/>
      <c r="Q160"/>
      <c r="R160"/>
      <c r="S160"/>
      <c r="T160"/>
      <c r="U160" s="46"/>
      <c r="V160" s="46"/>
    </row>
    <row r="161" spans="1:22" ht="15" customHeight="1" x14ac:dyDescent="0.25">
      <c r="A161" s="17"/>
      <c r="G161"/>
      <c r="H161"/>
      <c r="J161"/>
      <c r="K161"/>
      <c r="L161"/>
      <c r="M161"/>
      <c r="N161"/>
      <c r="P161"/>
      <c r="Q161"/>
      <c r="R161"/>
      <c r="S161"/>
      <c r="T161"/>
      <c r="U161" s="46"/>
      <c r="V161" s="46"/>
    </row>
    <row r="162" spans="1:22" ht="15" customHeight="1" x14ac:dyDescent="0.25">
      <c r="A162" s="17"/>
      <c r="G162"/>
      <c r="H162"/>
      <c r="J162"/>
      <c r="K162"/>
      <c r="L162"/>
      <c r="M162"/>
      <c r="N162"/>
      <c r="P162"/>
      <c r="Q162"/>
      <c r="R162"/>
      <c r="S162"/>
      <c r="T162"/>
      <c r="U162" s="46"/>
      <c r="V162" s="46"/>
    </row>
    <row r="163" spans="1:22" ht="15" customHeight="1" x14ac:dyDescent="0.25">
      <c r="A163" s="17"/>
      <c r="G163"/>
      <c r="H163"/>
      <c r="J163"/>
      <c r="K163"/>
      <c r="L163"/>
      <c r="M163"/>
      <c r="N163"/>
      <c r="P163"/>
      <c r="Q163"/>
      <c r="R163"/>
      <c r="S163"/>
      <c r="T163"/>
      <c r="U163" s="46"/>
      <c r="V163" s="46"/>
    </row>
    <row r="164" spans="1:22" ht="15" customHeight="1" x14ac:dyDescent="0.25">
      <c r="A164" s="17"/>
      <c r="G164"/>
      <c r="H164"/>
      <c r="J164"/>
      <c r="K164"/>
      <c r="L164"/>
      <c r="M164"/>
      <c r="N164"/>
      <c r="P164"/>
      <c r="Q164"/>
      <c r="R164"/>
      <c r="S164"/>
      <c r="T164"/>
      <c r="U164" s="46"/>
      <c r="V164" s="46"/>
    </row>
    <row r="165" spans="1:22" ht="15" customHeight="1" x14ac:dyDescent="0.25">
      <c r="A165" s="17"/>
      <c r="G165"/>
      <c r="H165"/>
      <c r="J165"/>
      <c r="K165"/>
      <c r="L165"/>
      <c r="M165"/>
      <c r="N165"/>
      <c r="P165"/>
      <c r="Q165"/>
      <c r="R165"/>
      <c r="S165"/>
      <c r="T165"/>
      <c r="U165" s="46"/>
      <c r="V165" s="46"/>
    </row>
    <row r="166" spans="1:22" ht="15" customHeight="1" x14ac:dyDescent="0.25">
      <c r="A166" s="17"/>
      <c r="G166"/>
      <c r="H166"/>
      <c r="J166"/>
      <c r="K166"/>
      <c r="L166"/>
      <c r="M166"/>
      <c r="N166"/>
      <c r="P166"/>
      <c r="Q166"/>
      <c r="R166"/>
      <c r="S166"/>
      <c r="T166"/>
      <c r="U166" s="46"/>
      <c r="V166" s="46"/>
    </row>
    <row r="167" spans="1:22" ht="15" customHeight="1" x14ac:dyDescent="0.25">
      <c r="A167" s="17"/>
      <c r="G167"/>
      <c r="H167"/>
      <c r="J167"/>
      <c r="K167"/>
      <c r="L167"/>
      <c r="M167"/>
      <c r="N167"/>
      <c r="P167"/>
      <c r="Q167"/>
      <c r="R167"/>
      <c r="S167"/>
      <c r="T167"/>
      <c r="U167" s="46"/>
      <c r="V167" s="46"/>
    </row>
    <row r="168" spans="1:22" ht="15" customHeight="1" x14ac:dyDescent="0.25">
      <c r="A168" s="17"/>
      <c r="G168"/>
      <c r="H168"/>
      <c r="J168"/>
      <c r="K168"/>
      <c r="L168"/>
      <c r="M168"/>
      <c r="N168"/>
      <c r="P168"/>
      <c r="Q168"/>
      <c r="R168"/>
      <c r="S168"/>
      <c r="T168"/>
      <c r="U168" s="46"/>
      <c r="V168" s="46"/>
    </row>
    <row r="169" spans="1:22" ht="15" customHeight="1" x14ac:dyDescent="0.25">
      <c r="A169" s="17"/>
      <c r="G169"/>
      <c r="H169"/>
      <c r="J169"/>
      <c r="K169"/>
      <c r="L169"/>
      <c r="M169"/>
      <c r="N169"/>
      <c r="P169"/>
      <c r="Q169"/>
      <c r="R169"/>
      <c r="S169"/>
      <c r="T169"/>
      <c r="U169" s="46"/>
      <c r="V169" s="46"/>
    </row>
    <row r="170" spans="1:22" ht="15" customHeight="1" x14ac:dyDescent="0.25">
      <c r="A170" s="17"/>
      <c r="G170"/>
      <c r="H170"/>
      <c r="J170"/>
      <c r="K170"/>
      <c r="L170"/>
      <c r="M170"/>
      <c r="N170"/>
      <c r="P170"/>
      <c r="Q170"/>
      <c r="R170"/>
      <c r="S170"/>
      <c r="T170"/>
      <c r="U170" s="46"/>
      <c r="V170" s="46"/>
    </row>
    <row r="171" spans="1:22" ht="15" customHeight="1" x14ac:dyDescent="0.25">
      <c r="A171" s="17"/>
      <c r="G171"/>
      <c r="H171"/>
      <c r="J171"/>
      <c r="K171"/>
      <c r="L171"/>
      <c r="M171"/>
      <c r="N171"/>
      <c r="P171"/>
      <c r="Q171"/>
      <c r="R171"/>
      <c r="S171"/>
      <c r="T171"/>
      <c r="U171" s="46"/>
      <c r="V171" s="46"/>
    </row>
    <row r="172" spans="1:22" ht="15" customHeight="1" x14ac:dyDescent="0.25">
      <c r="A172" s="17"/>
      <c r="G172"/>
      <c r="H172"/>
      <c r="J172"/>
      <c r="K172"/>
      <c r="L172"/>
      <c r="M172"/>
      <c r="N172"/>
      <c r="P172"/>
      <c r="Q172"/>
      <c r="R172"/>
      <c r="S172"/>
      <c r="T172"/>
      <c r="U172" s="46"/>
      <c r="V172" s="46"/>
    </row>
    <row r="173" spans="1:22" ht="15" customHeight="1" x14ac:dyDescent="0.25">
      <c r="A173" s="17"/>
      <c r="G173"/>
      <c r="H173"/>
      <c r="J173"/>
      <c r="K173"/>
      <c r="L173"/>
      <c r="M173"/>
      <c r="N173"/>
      <c r="P173"/>
      <c r="Q173"/>
      <c r="R173"/>
      <c r="S173"/>
      <c r="T173"/>
      <c r="U173" s="46"/>
      <c r="V173" s="46"/>
    </row>
    <row r="174" spans="1:22" ht="15" customHeight="1" x14ac:dyDescent="0.25">
      <c r="A174" s="17"/>
      <c r="G174"/>
      <c r="H174"/>
      <c r="J174"/>
      <c r="K174"/>
      <c r="L174"/>
      <c r="M174"/>
      <c r="N174"/>
      <c r="P174"/>
      <c r="Q174"/>
      <c r="R174"/>
      <c r="S174"/>
      <c r="T174"/>
      <c r="U174" s="46"/>
      <c r="V174" s="46"/>
    </row>
    <row r="175" spans="1:22" ht="15" customHeight="1" x14ac:dyDescent="0.25">
      <c r="A175" s="17"/>
      <c r="G175"/>
      <c r="H175"/>
      <c r="J175"/>
      <c r="K175"/>
      <c r="L175"/>
      <c r="M175"/>
      <c r="N175"/>
      <c r="P175"/>
      <c r="Q175"/>
      <c r="R175"/>
      <c r="S175"/>
      <c r="T175"/>
      <c r="U175" s="46"/>
      <c r="V175" s="46"/>
    </row>
    <row r="176" spans="1:22" ht="15" customHeight="1" x14ac:dyDescent="0.25">
      <c r="A176" s="17"/>
      <c r="G176"/>
      <c r="H176"/>
      <c r="J176"/>
      <c r="K176"/>
      <c r="L176"/>
      <c r="M176"/>
      <c r="N176"/>
      <c r="P176"/>
      <c r="Q176"/>
      <c r="R176"/>
      <c r="S176"/>
      <c r="T176"/>
      <c r="U176" s="46"/>
      <c r="V176" s="46"/>
    </row>
    <row r="177" spans="1:22" ht="15" customHeight="1" x14ac:dyDescent="0.25">
      <c r="A177" s="17"/>
      <c r="G177"/>
      <c r="H177"/>
      <c r="J177"/>
      <c r="K177"/>
      <c r="L177"/>
      <c r="M177"/>
      <c r="N177"/>
      <c r="P177"/>
      <c r="Q177"/>
      <c r="R177"/>
      <c r="S177"/>
      <c r="T177"/>
      <c r="U177" s="46"/>
      <c r="V177" s="46"/>
    </row>
    <row r="178" spans="1:22" ht="15" customHeight="1" x14ac:dyDescent="0.25">
      <c r="A178" s="17"/>
      <c r="G178"/>
      <c r="H178"/>
      <c r="J178"/>
      <c r="K178"/>
      <c r="L178"/>
      <c r="M178"/>
      <c r="N178"/>
      <c r="P178"/>
      <c r="Q178"/>
      <c r="R178"/>
      <c r="S178"/>
      <c r="T178"/>
      <c r="U178" s="46"/>
      <c r="V178" s="46"/>
    </row>
    <row r="179" spans="1:22" ht="15" customHeight="1" x14ac:dyDescent="0.25">
      <c r="A179" s="17"/>
      <c r="G179"/>
      <c r="H179"/>
      <c r="J179"/>
      <c r="K179"/>
      <c r="L179"/>
      <c r="M179"/>
      <c r="N179"/>
      <c r="P179"/>
      <c r="Q179"/>
      <c r="R179"/>
      <c r="S179"/>
      <c r="T179"/>
      <c r="U179" s="46"/>
      <c r="V179" s="46"/>
    </row>
    <row r="180" spans="1:22" ht="15" customHeight="1" x14ac:dyDescent="0.25">
      <c r="A180" s="17"/>
      <c r="G180"/>
      <c r="H180"/>
      <c r="J180"/>
      <c r="K180"/>
      <c r="L180"/>
      <c r="M180"/>
      <c r="N180"/>
      <c r="P180"/>
      <c r="Q180"/>
      <c r="R180"/>
      <c r="S180"/>
      <c r="T180"/>
      <c r="U180" s="46"/>
      <c r="V180" s="46"/>
    </row>
    <row r="181" spans="1:22" ht="15" customHeight="1" x14ac:dyDescent="0.25">
      <c r="A181" s="17"/>
      <c r="G181"/>
      <c r="H181"/>
      <c r="J181"/>
      <c r="K181"/>
      <c r="L181"/>
      <c r="M181"/>
      <c r="N181"/>
      <c r="P181"/>
      <c r="Q181"/>
      <c r="R181"/>
      <c r="S181"/>
      <c r="T181"/>
      <c r="U181" s="46"/>
      <c r="V181" s="46"/>
    </row>
    <row r="182" spans="1:22" ht="15" customHeight="1" x14ac:dyDescent="0.25">
      <c r="A182" s="17"/>
      <c r="G182"/>
      <c r="H182"/>
      <c r="J182"/>
      <c r="K182"/>
      <c r="L182"/>
      <c r="M182"/>
      <c r="N182"/>
      <c r="P182"/>
      <c r="Q182"/>
      <c r="R182"/>
      <c r="S182"/>
      <c r="T182"/>
      <c r="U182" s="46"/>
      <c r="V182" s="46"/>
    </row>
    <row r="183" spans="1:22" ht="15" customHeight="1" x14ac:dyDescent="0.25">
      <c r="A183" s="17"/>
      <c r="G183"/>
      <c r="H183"/>
      <c r="J183"/>
      <c r="K183"/>
      <c r="L183"/>
      <c r="M183"/>
      <c r="N183"/>
      <c r="P183"/>
      <c r="Q183"/>
      <c r="R183"/>
      <c r="S183"/>
      <c r="T183"/>
      <c r="U183" s="46"/>
      <c r="V183" s="46"/>
    </row>
    <row r="184" spans="1:22" ht="15" customHeight="1" x14ac:dyDescent="0.25">
      <c r="A184" s="17"/>
      <c r="G184"/>
      <c r="H184"/>
      <c r="J184"/>
      <c r="K184"/>
      <c r="L184"/>
      <c r="M184"/>
      <c r="N184"/>
      <c r="P184"/>
      <c r="Q184"/>
      <c r="R184"/>
      <c r="S184"/>
      <c r="T184"/>
      <c r="U184" s="46"/>
      <c r="V184" s="46"/>
    </row>
    <row r="185" spans="1:22" ht="15" customHeight="1" x14ac:dyDescent="0.25">
      <c r="A185" s="17"/>
      <c r="G185"/>
      <c r="H185"/>
      <c r="J185"/>
      <c r="K185"/>
      <c r="L185"/>
      <c r="M185"/>
      <c r="N185"/>
      <c r="P185"/>
      <c r="Q185"/>
      <c r="R185"/>
      <c r="S185"/>
      <c r="T185"/>
      <c r="U185" s="46"/>
      <c r="V185" s="46"/>
    </row>
    <row r="186" spans="1:22" ht="15" customHeight="1" x14ac:dyDescent="0.25">
      <c r="A186" s="17"/>
      <c r="G186"/>
      <c r="H186"/>
      <c r="J186"/>
      <c r="K186"/>
      <c r="L186"/>
      <c r="M186"/>
      <c r="N186"/>
      <c r="P186"/>
      <c r="Q186"/>
      <c r="R186"/>
      <c r="S186"/>
      <c r="T186"/>
      <c r="U186" s="46"/>
      <c r="V186" s="46"/>
    </row>
    <row r="187" spans="1:22" ht="15" customHeight="1" x14ac:dyDescent="0.25">
      <c r="A187" s="17"/>
      <c r="G187"/>
      <c r="H187"/>
      <c r="J187"/>
      <c r="K187"/>
      <c r="L187"/>
      <c r="M187"/>
      <c r="N187"/>
      <c r="P187"/>
      <c r="Q187"/>
      <c r="R187"/>
      <c r="S187"/>
      <c r="T187"/>
      <c r="U187" s="46"/>
      <c r="V187" s="46"/>
    </row>
    <row r="188" spans="1:22" ht="15" customHeight="1" x14ac:dyDescent="0.25">
      <c r="A188" s="17"/>
      <c r="G188"/>
      <c r="H188"/>
      <c r="J188"/>
      <c r="K188"/>
      <c r="L188"/>
      <c r="M188"/>
      <c r="N188"/>
      <c r="P188"/>
      <c r="Q188"/>
      <c r="R188"/>
      <c r="S188"/>
      <c r="T188"/>
      <c r="U188" s="46"/>
      <c r="V188" s="46"/>
    </row>
    <row r="189" spans="1:22" ht="15" customHeight="1" x14ac:dyDescent="0.25">
      <c r="A189" s="17"/>
      <c r="G189"/>
      <c r="H189"/>
      <c r="J189"/>
      <c r="K189"/>
      <c r="L189"/>
      <c r="M189"/>
      <c r="N189"/>
      <c r="P189"/>
      <c r="Q189"/>
      <c r="R189"/>
      <c r="S189"/>
      <c r="T189"/>
      <c r="U189" s="46"/>
      <c r="V189" s="46"/>
    </row>
    <row r="190" spans="1:22" ht="15" customHeight="1" x14ac:dyDescent="0.25">
      <c r="A190" s="17"/>
      <c r="G190"/>
      <c r="H190"/>
      <c r="J190"/>
      <c r="K190"/>
      <c r="L190"/>
      <c r="M190"/>
      <c r="N190"/>
      <c r="P190"/>
      <c r="Q190"/>
      <c r="R190"/>
      <c r="S190"/>
      <c r="T190"/>
      <c r="U190" s="46"/>
      <c r="V190" s="46"/>
    </row>
    <row r="191" spans="1:22" ht="15" customHeight="1" x14ac:dyDescent="0.25">
      <c r="A191" s="17"/>
      <c r="G191"/>
      <c r="H191"/>
      <c r="J191"/>
      <c r="K191"/>
      <c r="L191"/>
      <c r="M191"/>
      <c r="N191"/>
      <c r="P191"/>
      <c r="Q191"/>
      <c r="R191"/>
      <c r="S191"/>
      <c r="T191"/>
      <c r="U191" s="46"/>
      <c r="V191" s="46"/>
    </row>
    <row r="192" spans="1:22" ht="15" customHeight="1" x14ac:dyDescent="0.25">
      <c r="A192" s="17"/>
      <c r="G192"/>
      <c r="H192"/>
      <c r="J192"/>
      <c r="K192"/>
      <c r="L192"/>
      <c r="M192"/>
      <c r="N192"/>
      <c r="P192"/>
      <c r="Q192"/>
      <c r="R192"/>
      <c r="S192"/>
      <c r="T192"/>
      <c r="U192" s="46"/>
      <c r="V192" s="46"/>
    </row>
    <row r="193" spans="1:22" ht="15" customHeight="1" x14ac:dyDescent="0.25">
      <c r="A193" s="17"/>
      <c r="G193"/>
      <c r="H193"/>
      <c r="J193"/>
      <c r="K193"/>
      <c r="L193"/>
      <c r="M193"/>
      <c r="N193"/>
      <c r="P193"/>
      <c r="Q193"/>
      <c r="R193"/>
      <c r="S193"/>
      <c r="T193"/>
      <c r="U193" s="46"/>
      <c r="V193" s="46"/>
    </row>
    <row r="194" spans="1:22" ht="15" customHeight="1" x14ac:dyDescent="0.25">
      <c r="A194" s="17"/>
      <c r="G194"/>
      <c r="H194"/>
      <c r="J194"/>
      <c r="K194"/>
      <c r="L194"/>
      <c r="M194"/>
      <c r="N194"/>
      <c r="P194"/>
      <c r="Q194"/>
      <c r="R194"/>
      <c r="S194"/>
      <c r="T194"/>
      <c r="U194" s="46"/>
      <c r="V194" s="46"/>
    </row>
    <row r="195" spans="1:22" ht="15" customHeight="1" x14ac:dyDescent="0.25">
      <c r="A195" s="17"/>
      <c r="G195"/>
      <c r="H195"/>
      <c r="J195"/>
      <c r="K195"/>
      <c r="L195"/>
      <c r="M195"/>
      <c r="N195"/>
      <c r="P195"/>
      <c r="Q195"/>
      <c r="R195"/>
      <c r="S195"/>
      <c r="T195"/>
      <c r="U195" s="46"/>
      <c r="V195" s="46"/>
    </row>
    <row r="196" spans="1:22" ht="15" customHeight="1" x14ac:dyDescent="0.25">
      <c r="A196" s="17"/>
      <c r="G196"/>
      <c r="H196"/>
      <c r="J196"/>
      <c r="K196"/>
      <c r="L196"/>
      <c r="M196"/>
      <c r="N196"/>
      <c r="P196"/>
      <c r="Q196"/>
      <c r="R196"/>
      <c r="S196"/>
      <c r="T196"/>
      <c r="U196" s="46"/>
      <c r="V196" s="46"/>
    </row>
    <row r="197" spans="1:22" ht="15" customHeight="1" x14ac:dyDescent="0.25">
      <c r="A197" s="17"/>
      <c r="G197"/>
      <c r="H197"/>
      <c r="J197"/>
      <c r="K197"/>
      <c r="L197"/>
      <c r="M197"/>
      <c r="N197"/>
      <c r="P197"/>
      <c r="Q197"/>
      <c r="R197"/>
      <c r="S197"/>
      <c r="T197"/>
      <c r="U197" s="46"/>
      <c r="V197" s="46"/>
    </row>
    <row r="198" spans="1:22" ht="15" customHeight="1" x14ac:dyDescent="0.25">
      <c r="A198" s="17"/>
      <c r="G198"/>
      <c r="H198"/>
      <c r="J198"/>
      <c r="K198"/>
      <c r="L198"/>
      <c r="M198"/>
      <c r="N198"/>
      <c r="P198"/>
      <c r="Q198"/>
      <c r="R198"/>
      <c r="S198"/>
      <c r="T198"/>
      <c r="U198" s="46"/>
      <c r="V198" s="46"/>
    </row>
    <row r="199" spans="1:22" ht="15" customHeight="1" x14ac:dyDescent="0.25">
      <c r="A199" s="17"/>
      <c r="G199"/>
      <c r="H199"/>
      <c r="J199"/>
      <c r="K199"/>
      <c r="L199"/>
      <c r="M199"/>
      <c r="N199"/>
      <c r="P199"/>
      <c r="Q199"/>
      <c r="R199"/>
      <c r="S199"/>
      <c r="T199"/>
      <c r="U199" s="46"/>
      <c r="V199" s="46"/>
    </row>
    <row r="200" spans="1:22" ht="15" customHeight="1" x14ac:dyDescent="0.25">
      <c r="A200" s="17"/>
      <c r="G200"/>
      <c r="H200"/>
      <c r="J200"/>
      <c r="K200"/>
      <c r="L200"/>
      <c r="M200"/>
      <c r="N200"/>
      <c r="P200"/>
      <c r="Q200"/>
      <c r="R200"/>
      <c r="S200"/>
      <c r="T200"/>
      <c r="U200" s="46"/>
      <c r="V200" s="46"/>
    </row>
    <row r="201" spans="1:22" ht="15" customHeight="1" x14ac:dyDescent="0.25">
      <c r="A201" s="17"/>
      <c r="G201"/>
      <c r="H201"/>
      <c r="J201"/>
      <c r="K201"/>
      <c r="L201"/>
      <c r="M201"/>
      <c r="N201"/>
      <c r="P201"/>
      <c r="Q201"/>
      <c r="R201"/>
      <c r="S201"/>
      <c r="T201"/>
      <c r="U201" s="46"/>
      <c r="V201" s="46"/>
    </row>
    <row r="202" spans="1:22" ht="15" customHeight="1" x14ac:dyDescent="0.25">
      <c r="A202" s="17"/>
      <c r="G202"/>
      <c r="H202"/>
      <c r="J202"/>
      <c r="K202"/>
      <c r="L202"/>
      <c r="M202"/>
      <c r="N202"/>
      <c r="P202"/>
      <c r="Q202"/>
      <c r="R202"/>
      <c r="S202"/>
      <c r="T202"/>
      <c r="U202" s="46"/>
      <c r="V202" s="46"/>
    </row>
    <row r="203" spans="1:22" ht="15" customHeight="1" x14ac:dyDescent="0.25">
      <c r="A203" s="17"/>
      <c r="G203"/>
      <c r="H203"/>
      <c r="J203"/>
      <c r="K203"/>
      <c r="L203"/>
      <c r="M203"/>
      <c r="N203"/>
      <c r="P203"/>
      <c r="Q203"/>
      <c r="R203"/>
      <c r="S203"/>
      <c r="T203"/>
      <c r="U203" s="46"/>
      <c r="V203" s="46"/>
    </row>
    <row r="204" spans="1:22" ht="15" customHeight="1" x14ac:dyDescent="0.25">
      <c r="A204" s="17"/>
      <c r="G204"/>
      <c r="H204"/>
      <c r="J204"/>
      <c r="K204"/>
      <c r="L204"/>
      <c r="M204"/>
      <c r="N204"/>
      <c r="P204"/>
      <c r="Q204"/>
      <c r="R204"/>
      <c r="S204"/>
      <c r="T204"/>
      <c r="U204" s="46"/>
      <c r="V204" s="46"/>
    </row>
    <row r="205" spans="1:22" ht="15" customHeight="1" x14ac:dyDescent="0.25">
      <c r="A205" s="17"/>
      <c r="G205"/>
      <c r="H205"/>
      <c r="J205"/>
      <c r="K205"/>
      <c r="L205"/>
      <c r="M205"/>
      <c r="N205"/>
      <c r="P205"/>
      <c r="Q205"/>
      <c r="R205"/>
      <c r="S205"/>
      <c r="T205"/>
      <c r="U205" s="46"/>
      <c r="V205" s="46"/>
    </row>
    <row r="206" spans="1:22" ht="15" customHeight="1" x14ac:dyDescent="0.25">
      <c r="A206" s="17"/>
      <c r="G206"/>
      <c r="H206"/>
      <c r="J206"/>
      <c r="K206"/>
      <c r="L206"/>
      <c r="M206"/>
      <c r="N206"/>
      <c r="P206"/>
      <c r="Q206"/>
      <c r="R206"/>
      <c r="S206"/>
      <c r="T206"/>
      <c r="U206" s="46"/>
      <c r="V206" s="46"/>
    </row>
    <row r="207" spans="1:22" ht="15" customHeight="1" x14ac:dyDescent="0.25">
      <c r="A207" s="17"/>
      <c r="G207"/>
      <c r="H207"/>
      <c r="J207"/>
      <c r="K207"/>
      <c r="L207"/>
      <c r="M207"/>
      <c r="N207"/>
      <c r="P207"/>
      <c r="Q207"/>
      <c r="R207"/>
      <c r="S207"/>
      <c r="T207"/>
      <c r="U207" s="46"/>
      <c r="V207" s="46"/>
    </row>
    <row r="208" spans="1:22" ht="15" customHeight="1" x14ac:dyDescent="0.25">
      <c r="A208" s="17"/>
      <c r="G208"/>
      <c r="H208"/>
      <c r="J208"/>
      <c r="K208"/>
      <c r="L208"/>
      <c r="M208"/>
      <c r="N208"/>
      <c r="P208"/>
      <c r="Q208"/>
      <c r="R208"/>
      <c r="S208"/>
      <c r="T208"/>
      <c r="U208" s="46"/>
      <c r="V208" s="46"/>
    </row>
    <row r="209" spans="1:22" ht="15" customHeight="1" x14ac:dyDescent="0.25">
      <c r="A209" s="17"/>
      <c r="G209"/>
      <c r="H209"/>
      <c r="J209"/>
      <c r="K209"/>
      <c r="L209"/>
      <c r="M209"/>
      <c r="N209"/>
      <c r="P209"/>
      <c r="Q209"/>
      <c r="R209"/>
      <c r="S209"/>
      <c r="T209"/>
      <c r="U209" s="46"/>
      <c r="V209" s="46"/>
    </row>
    <row r="210" spans="1:22" ht="15" customHeight="1" x14ac:dyDescent="0.25">
      <c r="A210" s="17"/>
      <c r="G210"/>
      <c r="H210"/>
      <c r="J210"/>
      <c r="K210"/>
      <c r="L210"/>
      <c r="M210"/>
      <c r="N210"/>
      <c r="P210"/>
      <c r="Q210"/>
      <c r="R210"/>
      <c r="S210"/>
      <c r="T210"/>
      <c r="U210" s="46"/>
      <c r="V210" s="46"/>
    </row>
    <row r="211" spans="1:22" ht="15" customHeight="1" x14ac:dyDescent="0.25">
      <c r="A211" s="17"/>
      <c r="G211"/>
      <c r="H211"/>
      <c r="J211"/>
      <c r="K211"/>
      <c r="L211"/>
      <c r="M211"/>
      <c r="N211"/>
      <c r="P211"/>
      <c r="Q211"/>
      <c r="R211"/>
      <c r="S211"/>
      <c r="T211"/>
      <c r="U211" s="46"/>
      <c r="V211" s="46"/>
    </row>
    <row r="212" spans="1:22" ht="15" customHeight="1" x14ac:dyDescent="0.25">
      <c r="A212" s="17"/>
      <c r="G212"/>
      <c r="H212"/>
      <c r="J212"/>
      <c r="K212"/>
      <c r="L212"/>
      <c r="M212"/>
      <c r="N212"/>
      <c r="P212"/>
      <c r="Q212"/>
      <c r="R212"/>
      <c r="S212"/>
      <c r="T212"/>
      <c r="U212" s="46"/>
      <c r="V212" s="46"/>
    </row>
    <row r="213" spans="1:22" ht="15" customHeight="1" x14ac:dyDescent="0.25">
      <c r="A213" s="17"/>
      <c r="G213"/>
      <c r="H213"/>
      <c r="J213"/>
      <c r="K213"/>
      <c r="L213"/>
      <c r="M213"/>
      <c r="N213"/>
      <c r="P213"/>
      <c r="Q213"/>
      <c r="R213"/>
      <c r="S213"/>
      <c r="T213"/>
      <c r="U213" s="46"/>
      <c r="V213" s="46"/>
    </row>
    <row r="214" spans="1:22" ht="15" customHeight="1" x14ac:dyDescent="0.25">
      <c r="A214" s="17"/>
      <c r="G214"/>
      <c r="H214"/>
      <c r="J214"/>
      <c r="K214"/>
      <c r="L214"/>
      <c r="M214"/>
      <c r="N214"/>
      <c r="P214"/>
      <c r="Q214"/>
      <c r="R214"/>
      <c r="S214"/>
      <c r="T214"/>
      <c r="U214" s="46"/>
      <c r="V214" s="46"/>
    </row>
    <row r="215" spans="1:22" ht="15" customHeight="1" x14ac:dyDescent="0.25">
      <c r="A215" s="17"/>
      <c r="G215"/>
      <c r="H215"/>
      <c r="J215"/>
      <c r="K215"/>
      <c r="L215"/>
      <c r="M215"/>
      <c r="N215"/>
      <c r="P215"/>
      <c r="Q215"/>
      <c r="R215"/>
      <c r="S215"/>
      <c r="T215"/>
      <c r="U215" s="46"/>
      <c r="V215" s="46"/>
    </row>
    <row r="216" spans="1:22" ht="15" customHeight="1" x14ac:dyDescent="0.25">
      <c r="A216" s="17"/>
      <c r="G216"/>
      <c r="H216"/>
      <c r="J216"/>
      <c r="K216"/>
      <c r="L216"/>
      <c r="M216"/>
      <c r="N216"/>
      <c r="P216"/>
      <c r="Q216"/>
      <c r="R216"/>
      <c r="S216"/>
      <c r="T216"/>
      <c r="U216" s="46"/>
      <c r="V216" s="46"/>
    </row>
    <row r="217" spans="1:22" ht="15" customHeight="1" x14ac:dyDescent="0.25">
      <c r="A217" s="17"/>
      <c r="G217"/>
      <c r="H217"/>
      <c r="J217"/>
      <c r="K217"/>
      <c r="L217"/>
      <c r="M217"/>
      <c r="N217"/>
      <c r="P217"/>
      <c r="Q217"/>
      <c r="R217"/>
      <c r="S217"/>
      <c r="T217"/>
      <c r="U217" s="46"/>
      <c r="V217" s="46"/>
    </row>
    <row r="218" spans="1:22" ht="15" customHeight="1" x14ac:dyDescent="0.25">
      <c r="A218" s="17"/>
      <c r="G218"/>
      <c r="H218"/>
      <c r="J218"/>
      <c r="K218"/>
      <c r="L218"/>
      <c r="M218"/>
      <c r="N218"/>
      <c r="P218"/>
      <c r="Q218"/>
      <c r="R218"/>
      <c r="S218"/>
      <c r="T218"/>
      <c r="U218" s="46"/>
      <c r="V218" s="46"/>
    </row>
    <row r="219" spans="1:22" ht="15" customHeight="1" x14ac:dyDescent="0.25">
      <c r="A219" s="17"/>
      <c r="G219"/>
      <c r="H219"/>
      <c r="J219"/>
      <c r="K219"/>
      <c r="L219"/>
      <c r="M219"/>
      <c r="N219"/>
      <c r="P219"/>
      <c r="Q219"/>
      <c r="R219"/>
      <c r="S219"/>
      <c r="T219"/>
      <c r="U219" s="46"/>
      <c r="V219" s="46"/>
    </row>
    <row r="220" spans="1:22" ht="15" customHeight="1" x14ac:dyDescent="0.25">
      <c r="A220" s="17"/>
      <c r="G220"/>
      <c r="H220"/>
      <c r="J220"/>
      <c r="K220"/>
      <c r="L220"/>
      <c r="M220"/>
      <c r="N220"/>
      <c r="P220"/>
      <c r="Q220"/>
      <c r="R220"/>
      <c r="S220"/>
      <c r="T220"/>
      <c r="U220" s="46"/>
      <c r="V220" s="46"/>
    </row>
    <row r="221" spans="1:22" ht="15" customHeight="1" x14ac:dyDescent="0.25">
      <c r="A221" s="17"/>
      <c r="G221"/>
      <c r="H221"/>
      <c r="J221"/>
      <c r="K221"/>
      <c r="L221"/>
      <c r="M221"/>
      <c r="N221"/>
      <c r="P221"/>
      <c r="Q221"/>
      <c r="R221"/>
      <c r="S221"/>
      <c r="T221"/>
      <c r="U221" s="46"/>
      <c r="V221" s="46"/>
    </row>
    <row r="222" spans="1:22" ht="15" customHeight="1" x14ac:dyDescent="0.25">
      <c r="A222" s="17"/>
      <c r="G222"/>
      <c r="H222"/>
      <c r="J222"/>
      <c r="K222"/>
      <c r="L222"/>
      <c r="M222"/>
      <c r="N222"/>
      <c r="P222"/>
      <c r="Q222"/>
      <c r="R222"/>
      <c r="S222"/>
      <c r="T222"/>
      <c r="U222" s="46"/>
      <c r="V222" s="46"/>
    </row>
    <row r="223" spans="1:22" ht="15" customHeight="1" x14ac:dyDescent="0.25">
      <c r="A223" s="17"/>
      <c r="G223"/>
      <c r="H223"/>
      <c r="J223"/>
      <c r="K223"/>
      <c r="L223"/>
      <c r="M223"/>
      <c r="N223"/>
      <c r="P223"/>
      <c r="Q223"/>
      <c r="R223"/>
      <c r="S223"/>
      <c r="T223"/>
      <c r="U223" s="46"/>
      <c r="V223" s="46"/>
    </row>
    <row r="224" spans="1:22" ht="15" customHeight="1" x14ac:dyDescent="0.25">
      <c r="A224" s="17"/>
      <c r="G224"/>
      <c r="H224"/>
      <c r="J224"/>
      <c r="K224"/>
      <c r="L224"/>
      <c r="M224"/>
      <c r="N224"/>
      <c r="P224"/>
      <c r="Q224"/>
      <c r="R224"/>
      <c r="S224"/>
      <c r="T224"/>
      <c r="U224" s="46"/>
      <c r="V224" s="46"/>
    </row>
    <row r="225" spans="1:22" ht="15" customHeight="1" x14ac:dyDescent="0.25">
      <c r="A225" s="17"/>
      <c r="G225"/>
      <c r="H225"/>
      <c r="J225"/>
      <c r="K225"/>
      <c r="L225"/>
      <c r="M225"/>
      <c r="N225"/>
      <c r="P225"/>
      <c r="Q225"/>
      <c r="R225"/>
      <c r="S225"/>
      <c r="T225"/>
      <c r="U225" s="46"/>
      <c r="V225" s="46"/>
    </row>
    <row r="226" spans="1:22" ht="15" customHeight="1" x14ac:dyDescent="0.25">
      <c r="A226" s="17"/>
      <c r="G226"/>
      <c r="H226"/>
      <c r="J226"/>
      <c r="K226"/>
      <c r="L226"/>
      <c r="M226"/>
      <c r="N226"/>
      <c r="P226"/>
      <c r="Q226"/>
      <c r="R226"/>
      <c r="S226"/>
      <c r="T226"/>
      <c r="U226" s="46"/>
      <c r="V226" s="46"/>
    </row>
    <row r="227" spans="1:22" ht="15" customHeight="1" x14ac:dyDescent="0.25">
      <c r="A227" s="17"/>
      <c r="G227"/>
      <c r="H227"/>
      <c r="J227"/>
      <c r="K227"/>
      <c r="L227"/>
      <c r="M227"/>
      <c r="N227"/>
      <c r="P227"/>
      <c r="Q227"/>
      <c r="R227"/>
      <c r="S227"/>
      <c r="T227"/>
      <c r="U227" s="46"/>
      <c r="V227" s="46"/>
    </row>
    <row r="228" spans="1:22" ht="15" customHeight="1" x14ac:dyDescent="0.25">
      <c r="A228" s="17"/>
      <c r="G228"/>
      <c r="H228"/>
      <c r="J228"/>
      <c r="K228"/>
      <c r="L228"/>
      <c r="M228"/>
      <c r="N228"/>
      <c r="P228"/>
      <c r="Q228"/>
      <c r="R228"/>
      <c r="S228"/>
      <c r="T228"/>
      <c r="U228" s="46"/>
      <c r="V228" s="46"/>
    </row>
    <row r="229" spans="1:22" ht="15" customHeight="1" x14ac:dyDescent="0.25">
      <c r="A229" s="17"/>
      <c r="G229"/>
      <c r="H229"/>
      <c r="J229"/>
      <c r="K229"/>
      <c r="L229"/>
      <c r="M229"/>
      <c r="N229"/>
      <c r="P229"/>
      <c r="Q229"/>
      <c r="R229"/>
      <c r="S229"/>
      <c r="T229"/>
      <c r="U229" s="46"/>
      <c r="V229" s="46"/>
    </row>
    <row r="230" spans="1:22" ht="15" customHeight="1" x14ac:dyDescent="0.25">
      <c r="A230" s="17"/>
      <c r="G230"/>
      <c r="H230"/>
      <c r="J230"/>
      <c r="K230"/>
      <c r="L230"/>
      <c r="M230"/>
      <c r="N230"/>
      <c r="P230"/>
      <c r="Q230"/>
      <c r="R230"/>
      <c r="S230"/>
      <c r="T230"/>
      <c r="U230" s="46"/>
      <c r="V230" s="46"/>
    </row>
    <row r="231" spans="1:22" ht="15" customHeight="1" x14ac:dyDescent="0.25">
      <c r="A231" s="17"/>
      <c r="G231"/>
      <c r="H231"/>
      <c r="J231"/>
      <c r="K231"/>
      <c r="L231"/>
      <c r="M231"/>
      <c r="N231"/>
      <c r="P231"/>
      <c r="Q231"/>
      <c r="R231"/>
      <c r="S231"/>
      <c r="T231"/>
      <c r="U231" s="46"/>
      <c r="V231" s="46"/>
    </row>
    <row r="232" spans="1:22" ht="15" customHeight="1" x14ac:dyDescent="0.25">
      <c r="A232" s="17"/>
      <c r="G232"/>
      <c r="H232"/>
      <c r="J232"/>
      <c r="K232"/>
      <c r="L232"/>
      <c r="M232"/>
      <c r="N232"/>
      <c r="P232"/>
      <c r="Q232"/>
      <c r="R232"/>
      <c r="S232"/>
      <c r="T232"/>
      <c r="U232" s="46"/>
      <c r="V232" s="46"/>
    </row>
    <row r="233" spans="1:22" ht="15" customHeight="1" x14ac:dyDescent="0.25">
      <c r="A233" s="17"/>
      <c r="G233"/>
      <c r="H233"/>
      <c r="J233"/>
      <c r="K233"/>
      <c r="L233"/>
      <c r="M233"/>
      <c r="N233"/>
      <c r="P233"/>
      <c r="Q233"/>
      <c r="R233"/>
      <c r="S233"/>
      <c r="T233"/>
      <c r="U233" s="46"/>
      <c r="V233" s="46"/>
    </row>
    <row r="234" spans="1:22" ht="15" customHeight="1" x14ac:dyDescent="0.25">
      <c r="A234" s="17"/>
      <c r="G234"/>
      <c r="H234"/>
      <c r="J234"/>
      <c r="K234"/>
      <c r="L234"/>
      <c r="M234"/>
      <c r="N234"/>
      <c r="P234"/>
      <c r="Q234"/>
      <c r="R234"/>
      <c r="S234"/>
      <c r="T234"/>
      <c r="U234" s="46"/>
      <c r="V234" s="46"/>
    </row>
    <row r="235" spans="1:22" ht="15" customHeight="1" x14ac:dyDescent="0.25">
      <c r="A235" s="17"/>
      <c r="G235"/>
      <c r="H235"/>
      <c r="J235"/>
      <c r="K235"/>
      <c r="L235"/>
      <c r="M235"/>
      <c r="N235"/>
      <c r="P235"/>
      <c r="Q235"/>
      <c r="R235"/>
      <c r="S235"/>
      <c r="T235"/>
      <c r="U235" s="46"/>
      <c r="V235" s="46"/>
    </row>
    <row r="236" spans="1:22" ht="15" customHeight="1" x14ac:dyDescent="0.25">
      <c r="A236" s="17"/>
      <c r="G236"/>
      <c r="H236"/>
      <c r="J236"/>
      <c r="K236"/>
      <c r="L236"/>
      <c r="M236"/>
      <c r="N236"/>
      <c r="P236"/>
      <c r="Q236"/>
      <c r="R236"/>
      <c r="S236"/>
      <c r="T236"/>
      <c r="U236" s="46"/>
      <c r="V236" s="46"/>
    </row>
    <row r="237" spans="1:22" ht="15" customHeight="1" x14ac:dyDescent="0.25">
      <c r="A237" s="17"/>
      <c r="G237"/>
      <c r="H237"/>
      <c r="J237"/>
      <c r="K237"/>
      <c r="L237"/>
      <c r="M237"/>
      <c r="N237"/>
      <c r="P237"/>
      <c r="Q237"/>
      <c r="R237"/>
      <c r="S237"/>
      <c r="T237"/>
      <c r="U237" s="46"/>
      <c r="V237" s="46"/>
    </row>
    <row r="238" spans="1:22" ht="15" customHeight="1" x14ac:dyDescent="0.25">
      <c r="A238" s="17"/>
      <c r="G238"/>
      <c r="H238"/>
      <c r="J238"/>
      <c r="K238"/>
      <c r="L238"/>
      <c r="M238"/>
      <c r="N238"/>
      <c r="P238"/>
      <c r="Q238"/>
      <c r="R238"/>
      <c r="S238"/>
      <c r="T238"/>
      <c r="U238" s="46"/>
      <c r="V238" s="46"/>
    </row>
    <row r="239" spans="1:22" ht="15" customHeight="1" x14ac:dyDescent="0.25">
      <c r="A239" s="17"/>
      <c r="G239"/>
      <c r="H239"/>
      <c r="J239"/>
      <c r="K239"/>
      <c r="L239"/>
      <c r="M239"/>
      <c r="N239"/>
      <c r="P239"/>
      <c r="Q239"/>
      <c r="R239"/>
      <c r="S239"/>
      <c r="T239"/>
      <c r="U239" s="46"/>
      <c r="V239" s="46"/>
    </row>
    <row r="240" spans="1:22" ht="15" customHeight="1" x14ac:dyDescent="0.25">
      <c r="A240" s="17"/>
      <c r="G240"/>
      <c r="H240"/>
      <c r="J240"/>
      <c r="K240"/>
      <c r="L240"/>
      <c r="M240"/>
      <c r="N240"/>
      <c r="P240"/>
      <c r="Q240"/>
      <c r="R240"/>
      <c r="S240"/>
      <c r="T240"/>
      <c r="U240" s="46"/>
      <c r="V240" s="46"/>
    </row>
    <row r="241" spans="1:22" ht="15" customHeight="1" x14ac:dyDescent="0.25">
      <c r="A241" s="17"/>
      <c r="G241"/>
      <c r="H241"/>
      <c r="J241"/>
      <c r="K241"/>
      <c r="L241"/>
      <c r="M241"/>
      <c r="N241"/>
      <c r="P241"/>
      <c r="Q241"/>
      <c r="R241"/>
      <c r="S241"/>
      <c r="T241"/>
      <c r="U241" s="46"/>
      <c r="V241" s="46"/>
    </row>
    <row r="242" spans="1:22" ht="15" customHeight="1" x14ac:dyDescent="0.25">
      <c r="A242" s="17"/>
      <c r="G242"/>
      <c r="H242"/>
      <c r="J242"/>
      <c r="K242"/>
      <c r="L242"/>
      <c r="M242"/>
      <c r="N242"/>
      <c r="P242"/>
      <c r="Q242"/>
      <c r="R242"/>
      <c r="S242"/>
      <c r="T242"/>
      <c r="U242" s="46"/>
      <c r="V242" s="46"/>
    </row>
    <row r="243" spans="1:22" ht="15" customHeight="1" x14ac:dyDescent="0.25">
      <c r="A243" s="17"/>
      <c r="G243"/>
      <c r="H243"/>
      <c r="J243"/>
      <c r="K243"/>
      <c r="L243"/>
      <c r="M243"/>
      <c r="N243"/>
      <c r="P243"/>
      <c r="Q243"/>
      <c r="R243"/>
      <c r="S243"/>
      <c r="T243"/>
      <c r="U243" s="46"/>
      <c r="V243" s="46"/>
    </row>
    <row r="244" spans="1:22" ht="15" customHeight="1" x14ac:dyDescent="0.25">
      <c r="A244" s="17"/>
      <c r="G244"/>
      <c r="H244"/>
      <c r="J244"/>
      <c r="K244"/>
      <c r="L244"/>
      <c r="M244"/>
      <c r="N244"/>
      <c r="P244"/>
      <c r="Q244"/>
      <c r="R244"/>
      <c r="S244"/>
      <c r="T244"/>
      <c r="U244" s="46"/>
      <c r="V244" s="46"/>
    </row>
    <row r="245" spans="1:22" ht="15" customHeight="1" x14ac:dyDescent="0.25">
      <c r="A245" s="17"/>
      <c r="G245"/>
      <c r="H245"/>
      <c r="J245"/>
      <c r="K245"/>
      <c r="L245"/>
      <c r="M245"/>
      <c r="N245"/>
      <c r="P245"/>
      <c r="Q245"/>
      <c r="R245"/>
      <c r="S245"/>
      <c r="T245"/>
      <c r="U245" s="46"/>
      <c r="V245" s="46"/>
    </row>
    <row r="246" spans="1:22" ht="15" customHeight="1" x14ac:dyDescent="0.25">
      <c r="A246" s="17"/>
      <c r="G246"/>
      <c r="H246"/>
      <c r="J246"/>
      <c r="K246"/>
      <c r="L246"/>
      <c r="M246"/>
      <c r="N246"/>
      <c r="P246"/>
      <c r="Q246"/>
      <c r="R246"/>
      <c r="S246"/>
      <c r="T246"/>
      <c r="U246" s="46"/>
      <c r="V246" s="46"/>
    </row>
    <row r="247" spans="1:22" ht="15" customHeight="1" x14ac:dyDescent="0.25">
      <c r="A247" s="17"/>
      <c r="G247"/>
      <c r="H247"/>
      <c r="J247"/>
      <c r="K247"/>
      <c r="L247"/>
      <c r="M247"/>
      <c r="N247"/>
      <c r="P247"/>
      <c r="Q247"/>
      <c r="R247"/>
      <c r="S247"/>
      <c r="T247"/>
      <c r="U247" s="46"/>
      <c r="V247" s="46"/>
    </row>
    <row r="248" spans="1:22" ht="15" customHeight="1" x14ac:dyDescent="0.25">
      <c r="A248" s="17"/>
      <c r="G248"/>
      <c r="H248"/>
      <c r="J248"/>
      <c r="K248"/>
      <c r="L248"/>
      <c r="M248"/>
      <c r="N248"/>
      <c r="P248"/>
      <c r="Q248"/>
      <c r="R248"/>
      <c r="S248"/>
      <c r="T248"/>
      <c r="U248" s="46"/>
      <c r="V248" s="46"/>
    </row>
    <row r="249" spans="1:22" ht="15" customHeight="1" x14ac:dyDescent="0.25">
      <c r="A249" s="17"/>
      <c r="G249"/>
      <c r="H249"/>
      <c r="J249"/>
      <c r="K249"/>
      <c r="L249"/>
      <c r="M249"/>
      <c r="N249"/>
      <c r="P249"/>
      <c r="Q249"/>
      <c r="R249"/>
      <c r="S249"/>
      <c r="T249"/>
      <c r="U249" s="46"/>
      <c r="V249" s="46"/>
    </row>
    <row r="250" spans="1:22" ht="15" customHeight="1" x14ac:dyDescent="0.25">
      <c r="A250" s="17"/>
      <c r="G250"/>
      <c r="H250"/>
      <c r="J250"/>
      <c r="K250"/>
      <c r="L250"/>
      <c r="M250"/>
      <c r="N250"/>
      <c r="P250"/>
      <c r="Q250"/>
      <c r="R250"/>
      <c r="S250"/>
      <c r="T250"/>
      <c r="U250" s="46"/>
      <c r="V250" s="46"/>
    </row>
    <row r="251" spans="1:22" ht="15" customHeight="1" x14ac:dyDescent="0.25">
      <c r="A251" s="17"/>
      <c r="G251"/>
      <c r="H251"/>
      <c r="J251"/>
      <c r="K251"/>
      <c r="L251"/>
      <c r="M251"/>
      <c r="N251"/>
      <c r="P251"/>
      <c r="Q251"/>
      <c r="R251"/>
      <c r="S251"/>
      <c r="T251"/>
      <c r="U251" s="46"/>
      <c r="V251" s="46"/>
    </row>
    <row r="252" spans="1:22" ht="15" customHeight="1" x14ac:dyDescent="0.25">
      <c r="A252" s="17"/>
      <c r="G252"/>
      <c r="H252"/>
      <c r="J252"/>
      <c r="K252"/>
      <c r="L252"/>
      <c r="M252"/>
      <c r="N252"/>
      <c r="P252"/>
      <c r="Q252"/>
      <c r="R252"/>
      <c r="S252"/>
      <c r="T252"/>
      <c r="U252" s="46"/>
      <c r="V252" s="46"/>
    </row>
    <row r="253" spans="1:22" ht="15" customHeight="1" x14ac:dyDescent="0.25">
      <c r="A253" s="17"/>
      <c r="G253"/>
      <c r="H253"/>
      <c r="J253"/>
      <c r="K253"/>
      <c r="L253"/>
      <c r="M253"/>
      <c r="N253"/>
      <c r="P253"/>
      <c r="Q253"/>
      <c r="R253"/>
      <c r="S253"/>
      <c r="T253"/>
      <c r="U253" s="46"/>
      <c r="V253" s="46"/>
    </row>
    <row r="254" spans="1:22" ht="15" customHeight="1" x14ac:dyDescent="0.25">
      <c r="A254" s="17"/>
      <c r="G254"/>
      <c r="H254"/>
      <c r="J254"/>
      <c r="K254"/>
      <c r="L254"/>
      <c r="M254"/>
      <c r="N254"/>
      <c r="P254"/>
      <c r="Q254"/>
      <c r="R254"/>
      <c r="S254"/>
      <c r="T254"/>
      <c r="U254" s="46"/>
      <c r="V254" s="46"/>
    </row>
    <row r="255" spans="1:22" ht="15" customHeight="1" x14ac:dyDescent="0.25">
      <c r="A255" s="17"/>
      <c r="G255"/>
      <c r="H255"/>
      <c r="J255"/>
      <c r="K255"/>
      <c r="L255"/>
      <c r="M255"/>
      <c r="N255"/>
      <c r="P255"/>
      <c r="Q255"/>
      <c r="R255"/>
      <c r="S255"/>
      <c r="T255"/>
      <c r="U255" s="46"/>
      <c r="V255" s="46"/>
    </row>
    <row r="256" spans="1:22" ht="15" customHeight="1" x14ac:dyDescent="0.25">
      <c r="A256" s="17"/>
      <c r="G256"/>
      <c r="H256"/>
      <c r="J256"/>
      <c r="K256"/>
      <c r="L256"/>
      <c r="M256"/>
      <c r="N256"/>
      <c r="P256"/>
      <c r="Q256"/>
      <c r="R256"/>
      <c r="S256"/>
      <c r="T256"/>
      <c r="U256" s="46"/>
      <c r="V256" s="46"/>
    </row>
    <row r="257" spans="1:22" ht="15" customHeight="1" x14ac:dyDescent="0.25">
      <c r="A257" s="17"/>
      <c r="G257"/>
      <c r="H257"/>
      <c r="J257"/>
      <c r="K257"/>
      <c r="L257"/>
      <c r="M257"/>
      <c r="N257"/>
      <c r="P257"/>
      <c r="Q257"/>
      <c r="R257"/>
      <c r="S257"/>
      <c r="T257"/>
      <c r="U257" s="46"/>
      <c r="V257" s="46"/>
    </row>
    <row r="258" spans="1:22" ht="15" customHeight="1" x14ac:dyDescent="0.25">
      <c r="A258" s="17"/>
      <c r="G258"/>
      <c r="H258"/>
      <c r="J258"/>
      <c r="K258"/>
      <c r="L258"/>
      <c r="M258"/>
      <c r="N258"/>
      <c r="P258"/>
      <c r="Q258"/>
      <c r="R258"/>
      <c r="S258"/>
      <c r="T258"/>
      <c r="U258" s="46"/>
      <c r="V258" s="46"/>
    </row>
    <row r="259" spans="1:22" ht="15" customHeight="1" x14ac:dyDescent="0.25">
      <c r="A259" s="17"/>
      <c r="G259"/>
      <c r="H259"/>
      <c r="J259"/>
      <c r="K259"/>
      <c r="L259"/>
      <c r="M259"/>
      <c r="N259"/>
      <c r="P259"/>
      <c r="Q259"/>
      <c r="R259"/>
      <c r="S259"/>
      <c r="T259"/>
      <c r="U259" s="46"/>
      <c r="V259" s="46"/>
    </row>
    <row r="260" spans="1:22" ht="15" customHeight="1" x14ac:dyDescent="0.25">
      <c r="A260" s="17"/>
      <c r="G260"/>
      <c r="H260"/>
      <c r="J260"/>
      <c r="K260"/>
      <c r="L260"/>
      <c r="M260"/>
      <c r="N260"/>
      <c r="P260"/>
      <c r="Q260"/>
      <c r="R260"/>
      <c r="S260"/>
      <c r="T260"/>
      <c r="U260" s="46"/>
      <c r="V260" s="46"/>
    </row>
    <row r="261" spans="1:22" ht="15" customHeight="1" x14ac:dyDescent="0.25">
      <c r="A261" s="17"/>
      <c r="G261"/>
      <c r="H261"/>
      <c r="J261"/>
      <c r="K261"/>
      <c r="L261"/>
      <c r="M261"/>
      <c r="N261"/>
      <c r="P261"/>
      <c r="Q261"/>
      <c r="R261"/>
      <c r="S261"/>
      <c r="T261"/>
      <c r="U261" s="46"/>
      <c r="V261" s="46"/>
    </row>
    <row r="262" spans="1:22" ht="15" customHeight="1" x14ac:dyDescent="0.25">
      <c r="A262" s="17"/>
      <c r="G262"/>
      <c r="H262"/>
      <c r="J262"/>
      <c r="K262"/>
      <c r="L262"/>
      <c r="M262"/>
      <c r="N262"/>
      <c r="P262"/>
      <c r="Q262"/>
      <c r="R262"/>
      <c r="S262"/>
      <c r="T262"/>
      <c r="U262" s="46"/>
      <c r="V262" s="46"/>
    </row>
    <row r="263" spans="1:22" ht="15" customHeight="1" x14ac:dyDescent="0.25">
      <c r="A263" s="17"/>
      <c r="G263"/>
      <c r="H263"/>
      <c r="J263"/>
      <c r="K263"/>
      <c r="L263"/>
      <c r="M263"/>
      <c r="N263"/>
      <c r="P263"/>
      <c r="Q263"/>
      <c r="R263"/>
      <c r="S263"/>
      <c r="T263"/>
      <c r="U263" s="46"/>
      <c r="V263" s="46"/>
    </row>
    <row r="264" spans="1:22" ht="15" customHeight="1" x14ac:dyDescent="0.25">
      <c r="A264" s="17"/>
      <c r="G264"/>
      <c r="H264"/>
      <c r="J264"/>
      <c r="K264"/>
      <c r="L264"/>
      <c r="M264"/>
      <c r="N264"/>
      <c r="P264"/>
      <c r="Q264"/>
      <c r="R264"/>
      <c r="S264"/>
      <c r="T264"/>
      <c r="U264" s="46"/>
      <c r="V264" s="46"/>
    </row>
    <row r="265" spans="1:22" ht="15" customHeight="1" x14ac:dyDescent="0.25">
      <c r="A265" s="17"/>
      <c r="G265"/>
      <c r="H265"/>
      <c r="J265"/>
      <c r="K265"/>
      <c r="L265"/>
      <c r="M265"/>
      <c r="N265"/>
      <c r="P265"/>
      <c r="Q265"/>
      <c r="R265"/>
      <c r="S265"/>
      <c r="T265"/>
      <c r="U265" s="46"/>
      <c r="V265" s="46"/>
    </row>
    <row r="266" spans="1:22" ht="15" customHeight="1" x14ac:dyDescent="0.25">
      <c r="A266" s="17"/>
      <c r="G266"/>
      <c r="H266"/>
      <c r="J266"/>
      <c r="K266"/>
      <c r="L266"/>
      <c r="M266"/>
      <c r="N266"/>
      <c r="P266"/>
      <c r="Q266"/>
      <c r="R266"/>
      <c r="S266"/>
      <c r="T266"/>
      <c r="U266" s="46"/>
      <c r="V266" s="46"/>
    </row>
    <row r="267" spans="1:22" ht="15" customHeight="1" x14ac:dyDescent="0.25">
      <c r="A267" s="17"/>
      <c r="G267"/>
      <c r="H267"/>
      <c r="J267"/>
      <c r="K267"/>
      <c r="L267"/>
      <c r="M267"/>
      <c r="N267"/>
      <c r="P267"/>
      <c r="Q267"/>
      <c r="R267"/>
      <c r="S267"/>
      <c r="T267"/>
      <c r="U267" s="46"/>
      <c r="V267" s="46"/>
    </row>
    <row r="268" spans="1:22" ht="15" customHeight="1" x14ac:dyDescent="0.25">
      <c r="A268" s="17"/>
      <c r="G268"/>
      <c r="H268"/>
      <c r="J268"/>
      <c r="K268"/>
      <c r="L268"/>
      <c r="M268"/>
      <c r="N268"/>
      <c r="P268"/>
      <c r="Q268"/>
      <c r="R268"/>
      <c r="S268"/>
      <c r="T268"/>
      <c r="U268" s="46"/>
      <c r="V268" s="46"/>
    </row>
    <row r="269" spans="1:22" ht="15" customHeight="1" x14ac:dyDescent="0.25">
      <c r="A269" s="17"/>
      <c r="G269"/>
      <c r="H269"/>
      <c r="J269"/>
      <c r="K269"/>
      <c r="L269"/>
      <c r="M269"/>
      <c r="N269"/>
      <c r="P269"/>
      <c r="Q269"/>
      <c r="R269"/>
      <c r="S269"/>
      <c r="T269"/>
      <c r="U269" s="46"/>
      <c r="V269" s="46"/>
    </row>
    <row r="270" spans="1:22" ht="15" customHeight="1" x14ac:dyDescent="0.25">
      <c r="A270" s="17"/>
      <c r="G270"/>
      <c r="H270"/>
      <c r="J270"/>
      <c r="K270"/>
      <c r="L270"/>
      <c r="M270"/>
      <c r="N270"/>
      <c r="P270"/>
      <c r="Q270"/>
      <c r="R270"/>
      <c r="S270"/>
      <c r="T270"/>
      <c r="U270" s="46"/>
      <c r="V270" s="46"/>
    </row>
    <row r="271" spans="1:22" ht="15" customHeight="1" x14ac:dyDescent="0.25">
      <c r="A271" s="17"/>
      <c r="G271"/>
      <c r="H271"/>
      <c r="J271"/>
      <c r="K271"/>
      <c r="L271"/>
      <c r="M271"/>
      <c r="N271"/>
      <c r="P271"/>
      <c r="Q271"/>
      <c r="R271"/>
      <c r="S271"/>
      <c r="T271"/>
      <c r="U271" s="46"/>
      <c r="V271" s="46"/>
    </row>
    <row r="272" spans="1:22" ht="15" customHeight="1" x14ac:dyDescent="0.25">
      <c r="A272" s="17"/>
      <c r="G272"/>
      <c r="H272"/>
      <c r="J272"/>
      <c r="K272"/>
      <c r="L272"/>
      <c r="M272"/>
      <c r="N272"/>
      <c r="P272"/>
      <c r="Q272"/>
      <c r="R272"/>
      <c r="S272"/>
      <c r="T272"/>
      <c r="U272" s="46"/>
      <c r="V272" s="46"/>
    </row>
    <row r="273" spans="1:22" ht="15" customHeight="1" x14ac:dyDescent="0.25">
      <c r="A273" s="17"/>
      <c r="G273"/>
      <c r="H273"/>
      <c r="J273"/>
      <c r="K273"/>
      <c r="L273"/>
      <c r="M273"/>
      <c r="N273"/>
      <c r="P273"/>
      <c r="Q273"/>
      <c r="R273"/>
      <c r="S273"/>
      <c r="T273"/>
      <c r="U273" s="46"/>
      <c r="V273" s="46"/>
    </row>
    <row r="274" spans="1:22" ht="15" customHeight="1" x14ac:dyDescent="0.25">
      <c r="A274" s="17"/>
      <c r="G274"/>
      <c r="H274"/>
      <c r="J274"/>
      <c r="K274"/>
      <c r="L274"/>
      <c r="M274"/>
      <c r="N274"/>
      <c r="P274"/>
      <c r="Q274"/>
      <c r="R274"/>
      <c r="S274"/>
      <c r="T274"/>
      <c r="U274" s="46"/>
      <c r="V274" s="46"/>
    </row>
    <row r="275" spans="1:22" ht="15" customHeight="1" x14ac:dyDescent="0.25">
      <c r="A275" s="17"/>
      <c r="G275"/>
      <c r="H275"/>
      <c r="J275"/>
      <c r="K275"/>
      <c r="L275"/>
      <c r="M275"/>
      <c r="N275"/>
      <c r="P275"/>
      <c r="Q275"/>
      <c r="R275"/>
      <c r="S275"/>
      <c r="T275"/>
      <c r="U275" s="46"/>
      <c r="V275" s="46"/>
    </row>
    <row r="276" spans="1:22" ht="15" customHeight="1" x14ac:dyDescent="0.25">
      <c r="A276" s="17"/>
      <c r="G276"/>
      <c r="H276"/>
      <c r="J276"/>
      <c r="K276"/>
      <c r="L276"/>
      <c r="M276"/>
      <c r="N276"/>
      <c r="P276"/>
      <c r="Q276"/>
      <c r="R276"/>
      <c r="S276"/>
      <c r="T276"/>
      <c r="U276" s="46"/>
      <c r="V276" s="46"/>
    </row>
    <row r="277" spans="1:22" ht="15" customHeight="1" x14ac:dyDescent="0.25">
      <c r="A277" s="17"/>
      <c r="G277"/>
      <c r="H277"/>
      <c r="J277"/>
      <c r="K277"/>
      <c r="L277"/>
      <c r="M277"/>
      <c r="N277"/>
      <c r="P277"/>
      <c r="Q277"/>
      <c r="R277"/>
      <c r="S277"/>
      <c r="T277"/>
      <c r="U277" s="46"/>
      <c r="V277" s="46"/>
    </row>
    <row r="278" spans="1:22" ht="15" customHeight="1" x14ac:dyDescent="0.25">
      <c r="A278" s="17"/>
      <c r="G278"/>
      <c r="H278"/>
      <c r="J278"/>
      <c r="K278"/>
      <c r="L278"/>
      <c r="M278"/>
      <c r="N278"/>
      <c r="P278"/>
      <c r="Q278"/>
      <c r="R278"/>
      <c r="S278"/>
      <c r="T278"/>
      <c r="U278" s="46"/>
      <c r="V278" s="46"/>
    </row>
    <row r="279" spans="1:22" ht="15" customHeight="1" x14ac:dyDescent="0.25">
      <c r="A279" s="17"/>
      <c r="G279"/>
      <c r="H279"/>
      <c r="J279"/>
      <c r="K279"/>
      <c r="L279"/>
      <c r="M279"/>
      <c r="N279"/>
      <c r="P279"/>
      <c r="Q279"/>
      <c r="R279"/>
      <c r="S279"/>
      <c r="T279"/>
      <c r="U279" s="46"/>
      <c r="V279" s="46"/>
    </row>
    <row r="280" spans="1:22" ht="15" customHeight="1" x14ac:dyDescent="0.25">
      <c r="A280" s="17"/>
      <c r="G280"/>
      <c r="H280"/>
      <c r="J280"/>
      <c r="K280"/>
      <c r="L280"/>
      <c r="M280"/>
      <c r="N280"/>
      <c r="P280"/>
      <c r="Q280"/>
      <c r="R280"/>
      <c r="S280"/>
      <c r="T280"/>
      <c r="U280" s="46"/>
      <c r="V280" s="46"/>
    </row>
    <row r="281" spans="1:22" ht="15" customHeight="1" x14ac:dyDescent="0.25">
      <c r="A281" s="17"/>
      <c r="G281"/>
      <c r="H281"/>
      <c r="J281"/>
      <c r="K281"/>
      <c r="L281"/>
      <c r="M281"/>
      <c r="N281"/>
      <c r="P281"/>
      <c r="Q281"/>
      <c r="R281"/>
      <c r="S281"/>
      <c r="T281"/>
      <c r="U281" s="46"/>
      <c r="V281" s="46"/>
    </row>
    <row r="282" spans="1:22" ht="15" customHeight="1" x14ac:dyDescent="0.25">
      <c r="A282" s="17"/>
      <c r="G282"/>
      <c r="H282"/>
      <c r="J282"/>
      <c r="K282"/>
      <c r="L282"/>
      <c r="M282"/>
      <c r="N282"/>
      <c r="P282"/>
      <c r="Q282"/>
      <c r="R282"/>
      <c r="S282"/>
      <c r="T282"/>
      <c r="U282" s="46"/>
      <c r="V282" s="46"/>
    </row>
    <row r="283" spans="1:22" ht="15" customHeight="1" x14ac:dyDescent="0.25">
      <c r="A283" s="17"/>
      <c r="G283"/>
      <c r="H283"/>
      <c r="J283"/>
      <c r="K283"/>
      <c r="L283"/>
      <c r="M283"/>
      <c r="N283"/>
      <c r="P283"/>
      <c r="Q283"/>
      <c r="R283"/>
      <c r="S283"/>
      <c r="T283"/>
      <c r="U283" s="46"/>
      <c r="V283" s="46"/>
    </row>
    <row r="284" spans="1:22" ht="15" customHeight="1" x14ac:dyDescent="0.25">
      <c r="A284" s="17"/>
      <c r="G284"/>
      <c r="H284"/>
      <c r="J284"/>
      <c r="K284"/>
      <c r="L284"/>
      <c r="M284"/>
      <c r="N284"/>
      <c r="P284"/>
      <c r="Q284"/>
      <c r="R284"/>
      <c r="S284"/>
      <c r="T284"/>
      <c r="U284" s="46"/>
      <c r="V284" s="46"/>
    </row>
    <row r="285" spans="1:22" ht="15" customHeight="1" x14ac:dyDescent="0.25">
      <c r="A285" s="17"/>
      <c r="G285"/>
      <c r="H285"/>
      <c r="J285"/>
      <c r="K285"/>
      <c r="L285"/>
      <c r="M285"/>
      <c r="N285"/>
      <c r="P285"/>
      <c r="Q285"/>
      <c r="R285"/>
      <c r="S285"/>
      <c r="T285"/>
      <c r="U285" s="46"/>
      <c r="V285" s="46"/>
    </row>
    <row r="286" spans="1:22" ht="15" customHeight="1" x14ac:dyDescent="0.25">
      <c r="A286" s="17"/>
      <c r="G286"/>
      <c r="H286"/>
      <c r="J286"/>
      <c r="K286"/>
      <c r="L286"/>
      <c r="M286"/>
      <c r="N286"/>
      <c r="P286"/>
      <c r="Q286"/>
      <c r="R286"/>
      <c r="S286"/>
      <c r="T286"/>
      <c r="U286" s="46"/>
      <c r="V286" s="46"/>
    </row>
    <row r="287" spans="1:22" ht="15" customHeight="1" x14ac:dyDescent="0.25">
      <c r="A287" s="17"/>
      <c r="G287"/>
      <c r="H287"/>
      <c r="J287"/>
      <c r="K287"/>
      <c r="L287"/>
      <c r="M287"/>
      <c r="N287"/>
      <c r="P287"/>
      <c r="Q287"/>
      <c r="R287"/>
      <c r="S287"/>
      <c r="T287"/>
      <c r="U287" s="46"/>
      <c r="V287" s="46"/>
    </row>
    <row r="288" spans="1:22" ht="15" customHeight="1" x14ac:dyDescent="0.25">
      <c r="A288" s="17"/>
      <c r="G288"/>
      <c r="H288"/>
      <c r="J288"/>
      <c r="K288"/>
      <c r="L288"/>
      <c r="M288"/>
      <c r="N288"/>
      <c r="P288"/>
      <c r="Q288"/>
      <c r="R288"/>
      <c r="S288"/>
      <c r="T288"/>
      <c r="U288" s="46"/>
      <c r="V288" s="46"/>
    </row>
    <row r="289" spans="1:22" ht="15" customHeight="1" x14ac:dyDescent="0.25">
      <c r="A289" s="17"/>
      <c r="G289"/>
      <c r="H289"/>
      <c r="J289"/>
      <c r="K289"/>
      <c r="L289"/>
      <c r="M289"/>
      <c r="N289"/>
      <c r="P289"/>
      <c r="Q289"/>
      <c r="R289"/>
      <c r="S289"/>
      <c r="T289"/>
      <c r="U289" s="46"/>
      <c r="V289" s="46"/>
    </row>
    <row r="290" spans="1:22" ht="15" customHeight="1" x14ac:dyDescent="0.25">
      <c r="A290" s="17"/>
      <c r="G290"/>
      <c r="H290"/>
      <c r="J290"/>
      <c r="K290"/>
      <c r="L290"/>
      <c r="M290"/>
      <c r="N290"/>
      <c r="P290"/>
      <c r="Q290"/>
      <c r="R290"/>
      <c r="S290"/>
      <c r="T290"/>
      <c r="U290" s="46"/>
      <c r="V290" s="46"/>
    </row>
    <row r="291" spans="1:22" ht="15" customHeight="1" x14ac:dyDescent="0.25">
      <c r="A291" s="17"/>
      <c r="G291"/>
      <c r="H291"/>
      <c r="J291"/>
      <c r="K291"/>
      <c r="L291"/>
      <c r="M291"/>
      <c r="N291"/>
      <c r="P291"/>
      <c r="Q291"/>
      <c r="R291"/>
      <c r="S291"/>
      <c r="T291"/>
      <c r="U291" s="46"/>
      <c r="V291" s="46"/>
    </row>
    <row r="292" spans="1:22" ht="15" customHeight="1" x14ac:dyDescent="0.25">
      <c r="A292" s="17"/>
      <c r="G292"/>
      <c r="H292"/>
      <c r="J292"/>
      <c r="K292"/>
      <c r="L292"/>
      <c r="M292"/>
      <c r="N292"/>
      <c r="P292"/>
      <c r="Q292"/>
      <c r="R292"/>
      <c r="S292"/>
      <c r="T292"/>
      <c r="U292" s="46"/>
      <c r="V292" s="46"/>
    </row>
    <row r="293" spans="1:22" ht="15" customHeight="1" x14ac:dyDescent="0.25">
      <c r="A293" s="17"/>
      <c r="G293"/>
      <c r="H293"/>
      <c r="J293"/>
      <c r="K293"/>
      <c r="L293"/>
      <c r="M293"/>
      <c r="N293"/>
      <c r="P293"/>
      <c r="Q293"/>
      <c r="R293"/>
      <c r="S293"/>
      <c r="T293"/>
      <c r="U293" s="46"/>
      <c r="V293" s="46"/>
    </row>
    <row r="294" spans="1:22" ht="15" customHeight="1" x14ac:dyDescent="0.25">
      <c r="A294" s="17"/>
      <c r="G294"/>
      <c r="H294"/>
      <c r="J294"/>
      <c r="K294"/>
      <c r="L294"/>
      <c r="M294"/>
      <c r="N294"/>
      <c r="P294"/>
      <c r="Q294"/>
      <c r="R294"/>
      <c r="S294"/>
      <c r="T294"/>
      <c r="U294" s="46"/>
      <c r="V294" s="46"/>
    </row>
    <row r="295" spans="1:22" ht="15" customHeight="1" x14ac:dyDescent="0.25">
      <c r="A295" s="17"/>
      <c r="G295"/>
      <c r="H295"/>
      <c r="J295"/>
      <c r="K295"/>
      <c r="L295"/>
      <c r="M295"/>
      <c r="N295"/>
      <c r="P295"/>
      <c r="Q295"/>
      <c r="R295"/>
      <c r="S295"/>
      <c r="T295"/>
      <c r="U295" s="46"/>
      <c r="V295" s="46"/>
    </row>
    <row r="296" spans="1:22" ht="15" customHeight="1" x14ac:dyDescent="0.25">
      <c r="A296" s="17"/>
      <c r="G296"/>
      <c r="H296"/>
      <c r="J296"/>
      <c r="K296"/>
      <c r="L296"/>
      <c r="M296"/>
      <c r="N296"/>
      <c r="P296"/>
      <c r="Q296"/>
      <c r="R296"/>
      <c r="S296"/>
      <c r="T296"/>
      <c r="U296" s="46"/>
      <c r="V296" s="46"/>
    </row>
    <row r="297" spans="1:22" ht="15" customHeight="1" x14ac:dyDescent="0.25">
      <c r="A297" s="17"/>
      <c r="G297"/>
      <c r="H297"/>
      <c r="J297"/>
      <c r="K297"/>
      <c r="L297"/>
      <c r="M297"/>
      <c r="N297"/>
      <c r="P297"/>
      <c r="Q297"/>
      <c r="R297"/>
      <c r="S297"/>
      <c r="T297"/>
      <c r="U297" s="46"/>
      <c r="V297" s="46"/>
    </row>
    <row r="298" spans="1:22" ht="15" customHeight="1" x14ac:dyDescent="0.25">
      <c r="A298" s="17"/>
      <c r="G298"/>
      <c r="H298"/>
      <c r="J298"/>
      <c r="K298"/>
      <c r="L298"/>
      <c r="M298"/>
      <c r="N298"/>
      <c r="P298"/>
      <c r="Q298"/>
      <c r="R298"/>
      <c r="S298"/>
      <c r="T298"/>
      <c r="U298" s="46"/>
      <c r="V298" s="46"/>
    </row>
    <row r="299" spans="1:22" ht="15" customHeight="1" x14ac:dyDescent="0.25">
      <c r="A299" s="17"/>
      <c r="G299"/>
      <c r="H299"/>
      <c r="J299"/>
      <c r="K299"/>
      <c r="L299"/>
      <c r="M299"/>
      <c r="N299"/>
      <c r="P299"/>
      <c r="Q299"/>
      <c r="R299"/>
      <c r="S299"/>
      <c r="T299"/>
      <c r="U299" s="46"/>
      <c r="V299" s="46"/>
    </row>
    <row r="300" spans="1:22" ht="15" customHeight="1" x14ac:dyDescent="0.25">
      <c r="A300" s="17"/>
      <c r="G300"/>
      <c r="H300"/>
      <c r="J300"/>
      <c r="K300"/>
      <c r="L300"/>
      <c r="M300"/>
      <c r="N300"/>
      <c r="P300"/>
      <c r="Q300"/>
      <c r="R300"/>
      <c r="S300"/>
      <c r="T300"/>
      <c r="U300" s="46"/>
      <c r="V300" s="46"/>
    </row>
    <row r="301" spans="1:22" ht="15" customHeight="1" x14ac:dyDescent="0.25">
      <c r="A301" s="17"/>
      <c r="G301"/>
      <c r="H301"/>
      <c r="J301"/>
      <c r="K301"/>
      <c r="L301"/>
      <c r="M301"/>
      <c r="N301"/>
      <c r="P301"/>
      <c r="Q301"/>
      <c r="R301"/>
      <c r="S301"/>
      <c r="T301"/>
      <c r="U301" s="46"/>
      <c r="V301" s="46"/>
    </row>
    <row r="302" spans="1:22" ht="15" customHeight="1" x14ac:dyDescent="0.25">
      <c r="A302" s="17"/>
      <c r="G302"/>
      <c r="H302"/>
      <c r="J302"/>
      <c r="K302"/>
      <c r="L302"/>
      <c r="M302"/>
      <c r="N302"/>
      <c r="P302"/>
      <c r="Q302"/>
      <c r="R302"/>
      <c r="S302"/>
      <c r="T302"/>
      <c r="U302" s="46"/>
      <c r="V302" s="46"/>
    </row>
    <row r="303" spans="1:22" ht="15" customHeight="1" x14ac:dyDescent="0.25">
      <c r="A303" s="17"/>
      <c r="G303"/>
      <c r="H303"/>
      <c r="J303"/>
      <c r="K303"/>
      <c r="L303"/>
      <c r="M303"/>
      <c r="N303"/>
      <c r="P303"/>
      <c r="Q303"/>
      <c r="R303"/>
      <c r="S303"/>
      <c r="T303"/>
      <c r="U303" s="46"/>
      <c r="V303" s="46"/>
    </row>
    <row r="304" spans="1:22" ht="15" customHeight="1" x14ac:dyDescent="0.25">
      <c r="A304" s="17"/>
      <c r="G304"/>
      <c r="H304"/>
      <c r="J304"/>
      <c r="K304"/>
      <c r="L304"/>
      <c r="M304"/>
      <c r="N304"/>
      <c r="P304"/>
      <c r="Q304"/>
      <c r="R304"/>
      <c r="S304"/>
      <c r="T304"/>
      <c r="U304" s="46"/>
      <c r="V304" s="46"/>
    </row>
    <row r="305" spans="1:22" ht="15" customHeight="1" x14ac:dyDescent="0.25">
      <c r="A305" s="17"/>
      <c r="G305"/>
      <c r="H305"/>
      <c r="J305"/>
      <c r="K305"/>
      <c r="L305"/>
      <c r="M305"/>
      <c r="N305"/>
      <c r="P305"/>
      <c r="Q305"/>
      <c r="R305"/>
      <c r="S305"/>
      <c r="T305"/>
      <c r="U305" s="46"/>
      <c r="V305" s="46"/>
    </row>
    <row r="306" spans="1:22" ht="15" customHeight="1" x14ac:dyDescent="0.25">
      <c r="A306" s="17"/>
      <c r="G306"/>
      <c r="H306"/>
      <c r="J306"/>
      <c r="K306"/>
      <c r="L306"/>
      <c r="M306"/>
      <c r="N306"/>
      <c r="P306"/>
      <c r="Q306"/>
      <c r="R306"/>
      <c r="S306"/>
      <c r="T306"/>
      <c r="U306" s="46"/>
      <c r="V306" s="46"/>
    </row>
    <row r="307" spans="1:22" ht="15" customHeight="1" x14ac:dyDescent="0.25">
      <c r="A307" s="17"/>
      <c r="G307"/>
      <c r="H307"/>
      <c r="J307"/>
      <c r="K307"/>
      <c r="L307"/>
      <c r="M307"/>
      <c r="N307"/>
      <c r="P307"/>
      <c r="Q307"/>
      <c r="R307"/>
      <c r="S307"/>
      <c r="T307"/>
      <c r="U307" s="46"/>
      <c r="V307" s="46"/>
    </row>
    <row r="308" spans="1:22" ht="15" customHeight="1" x14ac:dyDescent="0.25">
      <c r="A308" s="17"/>
      <c r="G308"/>
      <c r="H308"/>
      <c r="J308"/>
      <c r="K308"/>
      <c r="L308"/>
      <c r="M308"/>
      <c r="N308"/>
      <c r="P308"/>
      <c r="Q308"/>
      <c r="R308"/>
      <c r="S308"/>
      <c r="T308"/>
      <c r="U308" s="46"/>
      <c r="V308" s="46"/>
    </row>
    <row r="309" spans="1:22" ht="15" customHeight="1" x14ac:dyDescent="0.25">
      <c r="A309" s="17"/>
      <c r="G309"/>
      <c r="H309"/>
      <c r="J309"/>
      <c r="K309"/>
      <c r="L309"/>
      <c r="M309"/>
      <c r="N309"/>
      <c r="P309"/>
      <c r="Q309"/>
      <c r="R309"/>
      <c r="S309"/>
      <c r="T309"/>
      <c r="U309" s="46"/>
      <c r="V309" s="46"/>
    </row>
    <row r="310" spans="1:22" ht="15" customHeight="1" x14ac:dyDescent="0.25">
      <c r="A310" s="17"/>
      <c r="G310"/>
      <c r="H310"/>
      <c r="J310"/>
      <c r="K310"/>
      <c r="L310"/>
      <c r="M310"/>
      <c r="N310"/>
      <c r="P310"/>
      <c r="Q310"/>
      <c r="R310"/>
      <c r="S310"/>
      <c r="T310"/>
      <c r="U310" s="46"/>
      <c r="V310" s="46"/>
    </row>
    <row r="311" spans="1:22" ht="15" customHeight="1" x14ac:dyDescent="0.25">
      <c r="A311" s="17"/>
      <c r="G311"/>
      <c r="H311"/>
      <c r="J311"/>
      <c r="K311"/>
      <c r="L311"/>
      <c r="M311"/>
      <c r="N311"/>
      <c r="P311"/>
      <c r="Q311"/>
      <c r="R311"/>
      <c r="S311"/>
      <c r="T311"/>
      <c r="U311" s="46"/>
      <c r="V311" s="46"/>
    </row>
    <row r="312" spans="1:22" ht="15" customHeight="1" x14ac:dyDescent="0.25">
      <c r="A312" s="17"/>
      <c r="G312"/>
      <c r="H312"/>
      <c r="J312"/>
      <c r="K312"/>
      <c r="L312"/>
      <c r="M312"/>
      <c r="N312"/>
      <c r="P312"/>
      <c r="Q312"/>
      <c r="R312"/>
      <c r="S312"/>
      <c r="T312"/>
      <c r="U312" s="46"/>
      <c r="V312" s="46"/>
    </row>
    <row r="313" spans="1:22" ht="15" customHeight="1" x14ac:dyDescent="0.25">
      <c r="A313" s="17"/>
      <c r="G313"/>
      <c r="H313"/>
      <c r="J313"/>
      <c r="K313"/>
      <c r="L313"/>
      <c r="M313"/>
      <c r="N313"/>
      <c r="P313"/>
      <c r="Q313"/>
      <c r="R313"/>
      <c r="S313"/>
      <c r="T313"/>
      <c r="U313" s="46"/>
      <c r="V313" s="46"/>
    </row>
    <row r="314" spans="1:22" ht="15" customHeight="1" x14ac:dyDescent="0.25">
      <c r="A314" s="17"/>
      <c r="G314"/>
      <c r="H314"/>
      <c r="J314"/>
      <c r="K314"/>
      <c r="L314"/>
      <c r="M314"/>
      <c r="N314"/>
      <c r="P314"/>
      <c r="Q314"/>
      <c r="R314"/>
      <c r="S314"/>
      <c r="T314"/>
      <c r="U314" s="46"/>
      <c r="V314" s="46"/>
    </row>
    <row r="315" spans="1:22" ht="15" customHeight="1" x14ac:dyDescent="0.25">
      <c r="A315" s="17"/>
      <c r="G315"/>
      <c r="H315"/>
      <c r="J315"/>
      <c r="K315"/>
      <c r="L315"/>
      <c r="M315"/>
      <c r="N315"/>
      <c r="P315"/>
      <c r="Q315"/>
      <c r="R315"/>
      <c r="S315"/>
      <c r="T315"/>
      <c r="U315" s="46"/>
      <c r="V315" s="46"/>
    </row>
    <row r="316" spans="1:22" ht="15" customHeight="1" x14ac:dyDescent="0.25">
      <c r="A316" s="17"/>
      <c r="G316"/>
      <c r="H316"/>
      <c r="J316"/>
      <c r="K316"/>
      <c r="L316"/>
      <c r="M316"/>
      <c r="N316"/>
      <c r="P316"/>
      <c r="Q316"/>
      <c r="R316"/>
      <c r="S316"/>
      <c r="T316"/>
      <c r="U316" s="46"/>
      <c r="V316" s="46"/>
    </row>
    <row r="317" spans="1:22" ht="15" customHeight="1" x14ac:dyDescent="0.25">
      <c r="A317" s="17"/>
      <c r="G317"/>
      <c r="H317"/>
      <c r="J317"/>
      <c r="K317"/>
      <c r="L317"/>
      <c r="M317"/>
      <c r="N317"/>
      <c r="P317"/>
      <c r="Q317"/>
      <c r="R317"/>
      <c r="S317"/>
      <c r="T317"/>
      <c r="U317" s="46"/>
      <c r="V317" s="46"/>
    </row>
    <row r="318" spans="1:22" ht="15" customHeight="1" x14ac:dyDescent="0.25">
      <c r="A318" s="17"/>
      <c r="G318"/>
      <c r="H318"/>
      <c r="J318"/>
      <c r="K318"/>
      <c r="L318"/>
      <c r="M318"/>
      <c r="N318"/>
      <c r="P318"/>
      <c r="Q318"/>
      <c r="R318"/>
      <c r="S318"/>
      <c r="T318"/>
      <c r="U318" s="46"/>
      <c r="V318" s="46"/>
    </row>
    <row r="319" spans="1:22" ht="15" customHeight="1" x14ac:dyDescent="0.25">
      <c r="A319" s="17"/>
      <c r="G319"/>
      <c r="H319"/>
      <c r="J319"/>
      <c r="K319"/>
      <c r="L319"/>
      <c r="M319"/>
      <c r="N319"/>
      <c r="P319"/>
      <c r="Q319"/>
      <c r="R319"/>
      <c r="S319"/>
      <c r="T319"/>
      <c r="U319" s="46"/>
      <c r="V319" s="46"/>
    </row>
    <row r="320" spans="1:22" ht="15" customHeight="1" x14ac:dyDescent="0.25">
      <c r="A320" s="17"/>
      <c r="G320"/>
      <c r="H320"/>
      <c r="J320"/>
      <c r="K320"/>
      <c r="L320"/>
      <c r="M320"/>
      <c r="N320"/>
      <c r="P320"/>
      <c r="Q320"/>
      <c r="R320"/>
      <c r="S320"/>
      <c r="T320"/>
      <c r="U320" s="46"/>
      <c r="V320" s="46"/>
    </row>
    <row r="321" spans="1:22" ht="15" customHeight="1" x14ac:dyDescent="0.25">
      <c r="A321" s="17"/>
      <c r="G321"/>
      <c r="H321"/>
      <c r="J321"/>
      <c r="K321"/>
      <c r="L321"/>
      <c r="M321"/>
      <c r="N321"/>
      <c r="P321"/>
      <c r="Q321"/>
      <c r="R321"/>
      <c r="S321"/>
      <c r="T321"/>
      <c r="U321" s="46"/>
      <c r="V321" s="46"/>
    </row>
    <row r="322" spans="1:22" ht="15" customHeight="1" x14ac:dyDescent="0.25">
      <c r="A322" s="17"/>
      <c r="G322"/>
      <c r="H322"/>
      <c r="J322"/>
      <c r="K322"/>
      <c r="L322"/>
      <c r="M322"/>
      <c r="N322"/>
      <c r="P322"/>
      <c r="Q322"/>
      <c r="R322"/>
      <c r="S322"/>
      <c r="T322"/>
      <c r="U322" s="46"/>
      <c r="V322" s="46"/>
    </row>
    <row r="323" spans="1:22" ht="15" customHeight="1" x14ac:dyDescent="0.25">
      <c r="A323" s="17"/>
      <c r="G323"/>
      <c r="H323"/>
      <c r="J323"/>
      <c r="K323"/>
      <c r="L323"/>
      <c r="M323"/>
      <c r="N323"/>
      <c r="P323"/>
      <c r="Q323"/>
      <c r="R323"/>
      <c r="S323"/>
      <c r="T323"/>
      <c r="U323" s="46"/>
      <c r="V323" s="46"/>
    </row>
    <row r="324" spans="1:22" ht="15" customHeight="1" x14ac:dyDescent="0.25">
      <c r="A324" s="17"/>
      <c r="G324"/>
      <c r="H324"/>
      <c r="J324"/>
      <c r="K324"/>
      <c r="L324"/>
      <c r="M324"/>
      <c r="N324"/>
      <c r="P324"/>
      <c r="Q324"/>
      <c r="R324"/>
      <c r="S324"/>
      <c r="T324"/>
      <c r="U324" s="46"/>
      <c r="V324" s="46"/>
    </row>
    <row r="325" spans="1:22" ht="15" customHeight="1" x14ac:dyDescent="0.25">
      <c r="A325" s="17"/>
      <c r="G325"/>
      <c r="H325"/>
      <c r="J325"/>
      <c r="K325"/>
      <c r="L325"/>
      <c r="M325"/>
      <c r="N325"/>
      <c r="P325"/>
      <c r="Q325"/>
      <c r="R325"/>
      <c r="S325"/>
      <c r="T325"/>
      <c r="U325" s="46"/>
      <c r="V325" s="46"/>
    </row>
    <row r="326" spans="1:22" ht="15" customHeight="1" x14ac:dyDescent="0.25">
      <c r="A326" s="17"/>
      <c r="G326"/>
      <c r="H326"/>
      <c r="J326"/>
      <c r="K326"/>
      <c r="L326"/>
      <c r="M326"/>
      <c r="N326"/>
      <c r="P326"/>
      <c r="Q326"/>
      <c r="R326"/>
      <c r="S326"/>
      <c r="T326"/>
      <c r="U326" s="46"/>
      <c r="V326" s="46"/>
    </row>
    <row r="327" spans="1:22" ht="15" customHeight="1" x14ac:dyDescent="0.25">
      <c r="A327" s="17"/>
      <c r="G327"/>
      <c r="H327"/>
      <c r="J327"/>
      <c r="K327"/>
      <c r="L327"/>
      <c r="M327"/>
      <c r="N327"/>
      <c r="P327"/>
      <c r="Q327"/>
      <c r="R327"/>
      <c r="S327"/>
      <c r="T327"/>
      <c r="U327" s="46"/>
      <c r="V327" s="46"/>
    </row>
    <row r="328" spans="1:22" ht="15" customHeight="1" x14ac:dyDescent="0.25">
      <c r="A328" s="17"/>
      <c r="G328"/>
      <c r="H328"/>
      <c r="J328"/>
      <c r="K328"/>
      <c r="L328"/>
      <c r="M328"/>
      <c r="N328"/>
      <c r="P328"/>
      <c r="Q328"/>
      <c r="R328"/>
      <c r="S328"/>
      <c r="T328"/>
      <c r="U328" s="46"/>
      <c r="V328" s="46"/>
    </row>
    <row r="329" spans="1:22" ht="15" customHeight="1" x14ac:dyDescent="0.25">
      <c r="A329" s="17"/>
      <c r="G329"/>
      <c r="H329"/>
      <c r="J329"/>
      <c r="K329"/>
      <c r="L329"/>
      <c r="M329"/>
      <c r="N329"/>
      <c r="P329"/>
      <c r="Q329"/>
      <c r="R329"/>
      <c r="S329"/>
      <c r="T329"/>
      <c r="U329" s="46"/>
      <c r="V329" s="46"/>
    </row>
    <row r="330" spans="1:22" ht="15" customHeight="1" x14ac:dyDescent="0.25">
      <c r="A330" s="17"/>
      <c r="G330"/>
      <c r="H330"/>
      <c r="J330"/>
      <c r="K330"/>
      <c r="L330"/>
      <c r="M330"/>
      <c r="N330"/>
      <c r="P330"/>
      <c r="Q330"/>
      <c r="R330"/>
      <c r="S330"/>
      <c r="T330"/>
      <c r="U330" s="46"/>
      <c r="V330" s="46"/>
    </row>
    <row r="331" spans="1:22" ht="15" customHeight="1" x14ac:dyDescent="0.25">
      <c r="A331" s="17"/>
      <c r="G331"/>
      <c r="H331"/>
      <c r="J331"/>
      <c r="K331"/>
      <c r="L331"/>
      <c r="M331"/>
      <c r="N331"/>
      <c r="P331"/>
      <c r="Q331"/>
      <c r="R331"/>
      <c r="S331"/>
      <c r="T331"/>
      <c r="U331" s="46"/>
      <c r="V331" s="46"/>
    </row>
    <row r="332" spans="1:22" ht="15" customHeight="1" x14ac:dyDescent="0.25">
      <c r="A332" s="17"/>
      <c r="G332"/>
      <c r="H332"/>
      <c r="J332"/>
      <c r="K332"/>
      <c r="L332"/>
      <c r="M332"/>
      <c r="N332"/>
      <c r="P332"/>
      <c r="Q332"/>
      <c r="R332"/>
      <c r="S332"/>
      <c r="T332"/>
      <c r="U332" s="46"/>
      <c r="V332" s="46"/>
    </row>
    <row r="333" spans="1:22" ht="15" customHeight="1" x14ac:dyDescent="0.25">
      <c r="A333" s="17"/>
      <c r="G333"/>
      <c r="H333"/>
      <c r="J333"/>
      <c r="K333"/>
      <c r="L333"/>
      <c r="M333"/>
      <c r="N333"/>
      <c r="P333"/>
      <c r="Q333"/>
      <c r="R333"/>
      <c r="S333"/>
      <c r="T333"/>
      <c r="U333" s="46"/>
      <c r="V333" s="46"/>
    </row>
    <row r="334" spans="1:22" ht="15" customHeight="1" x14ac:dyDescent="0.25">
      <c r="A334" s="17"/>
      <c r="G334"/>
      <c r="H334"/>
      <c r="J334"/>
      <c r="K334"/>
      <c r="L334"/>
      <c r="M334"/>
      <c r="N334"/>
      <c r="P334"/>
      <c r="Q334"/>
      <c r="R334"/>
      <c r="S334"/>
      <c r="T334"/>
      <c r="U334" s="46"/>
      <c r="V334" s="46"/>
    </row>
    <row r="335" spans="1:22" ht="15" customHeight="1" x14ac:dyDescent="0.25">
      <c r="A335" s="17"/>
      <c r="G335"/>
      <c r="H335"/>
      <c r="J335"/>
      <c r="K335"/>
      <c r="L335"/>
      <c r="M335"/>
      <c r="N335"/>
      <c r="P335"/>
      <c r="Q335"/>
      <c r="R335"/>
      <c r="S335"/>
      <c r="T335"/>
      <c r="U335" s="46"/>
      <c r="V335" s="46"/>
    </row>
    <row r="336" spans="1:22" ht="15" customHeight="1" x14ac:dyDescent="0.25">
      <c r="A336" s="17"/>
      <c r="G336"/>
      <c r="H336"/>
      <c r="J336"/>
      <c r="K336"/>
      <c r="L336"/>
      <c r="M336"/>
      <c r="N336"/>
      <c r="P336"/>
      <c r="Q336"/>
      <c r="R336"/>
      <c r="S336"/>
      <c r="T336"/>
      <c r="U336" s="46"/>
      <c r="V336" s="46"/>
    </row>
    <row r="337" spans="1:22" ht="15" customHeight="1" x14ac:dyDescent="0.25">
      <c r="A337" s="17"/>
      <c r="G337"/>
      <c r="H337"/>
      <c r="J337"/>
      <c r="K337"/>
      <c r="L337"/>
      <c r="M337"/>
      <c r="N337"/>
      <c r="P337"/>
      <c r="Q337"/>
      <c r="R337"/>
      <c r="S337"/>
      <c r="T337"/>
      <c r="U337" s="46"/>
      <c r="V337" s="46"/>
    </row>
    <row r="338" spans="1:22" ht="15" customHeight="1" x14ac:dyDescent="0.25">
      <c r="A338" s="17"/>
      <c r="G338"/>
      <c r="H338"/>
      <c r="J338"/>
      <c r="K338"/>
      <c r="L338"/>
      <c r="M338"/>
      <c r="N338"/>
      <c r="P338"/>
      <c r="Q338"/>
      <c r="R338"/>
      <c r="S338"/>
      <c r="T338"/>
      <c r="U338" s="46"/>
      <c r="V338" s="46"/>
    </row>
    <row r="339" spans="1:22" ht="15" customHeight="1" x14ac:dyDescent="0.25">
      <c r="A339" s="17"/>
      <c r="G339"/>
      <c r="H339"/>
      <c r="J339"/>
      <c r="K339"/>
      <c r="L339"/>
      <c r="M339"/>
      <c r="N339"/>
      <c r="P339"/>
      <c r="Q339"/>
      <c r="R339"/>
      <c r="S339"/>
      <c r="T339"/>
      <c r="U339" s="46"/>
      <c r="V339" s="46"/>
    </row>
    <row r="340" spans="1:22" ht="15" customHeight="1" x14ac:dyDescent="0.25">
      <c r="A340" s="17"/>
      <c r="G340"/>
      <c r="H340"/>
      <c r="J340"/>
      <c r="K340"/>
      <c r="L340"/>
      <c r="M340"/>
      <c r="N340"/>
      <c r="P340"/>
      <c r="Q340"/>
      <c r="R340"/>
      <c r="S340"/>
      <c r="T340"/>
      <c r="U340" s="46"/>
      <c r="V340" s="46"/>
    </row>
    <row r="341" spans="1:22" ht="15" customHeight="1" x14ac:dyDescent="0.25">
      <c r="A341" s="17"/>
      <c r="G341"/>
      <c r="H341"/>
      <c r="J341"/>
      <c r="K341"/>
      <c r="L341"/>
      <c r="M341"/>
      <c r="N341"/>
      <c r="P341"/>
      <c r="Q341"/>
      <c r="R341"/>
      <c r="S341"/>
      <c r="T341"/>
      <c r="U341" s="46"/>
      <c r="V341" s="46"/>
    </row>
    <row r="342" spans="1:22" ht="15" customHeight="1" x14ac:dyDescent="0.25">
      <c r="A342" s="17"/>
      <c r="G342"/>
      <c r="H342"/>
      <c r="J342"/>
      <c r="K342"/>
      <c r="L342"/>
      <c r="M342"/>
      <c r="N342"/>
      <c r="P342"/>
      <c r="Q342"/>
      <c r="R342"/>
      <c r="S342"/>
      <c r="T342"/>
      <c r="U342" s="46"/>
      <c r="V342" s="46"/>
    </row>
    <row r="343" spans="1:22" ht="15" customHeight="1" x14ac:dyDescent="0.25">
      <c r="A343" s="17"/>
      <c r="G343"/>
      <c r="H343"/>
      <c r="J343"/>
      <c r="K343"/>
      <c r="L343"/>
      <c r="M343"/>
      <c r="N343"/>
      <c r="P343"/>
      <c r="Q343"/>
      <c r="R343"/>
      <c r="S343"/>
      <c r="T343"/>
      <c r="U343" s="46"/>
      <c r="V343" s="46"/>
    </row>
    <row r="344" spans="1:22" ht="15" customHeight="1" x14ac:dyDescent="0.25">
      <c r="A344" s="17"/>
      <c r="G344"/>
      <c r="H344"/>
      <c r="J344"/>
      <c r="K344"/>
      <c r="L344"/>
      <c r="M344"/>
      <c r="N344"/>
      <c r="P344"/>
      <c r="Q344"/>
      <c r="R344"/>
      <c r="S344"/>
      <c r="T344"/>
      <c r="U344" s="46"/>
      <c r="V344" s="46"/>
    </row>
    <row r="345" spans="1:22" ht="15" customHeight="1" x14ac:dyDescent="0.25">
      <c r="A345" s="17"/>
      <c r="G345"/>
      <c r="H345"/>
      <c r="J345"/>
      <c r="K345"/>
      <c r="L345"/>
      <c r="M345"/>
      <c r="N345"/>
      <c r="P345"/>
      <c r="Q345"/>
      <c r="R345"/>
      <c r="S345"/>
      <c r="T345"/>
      <c r="U345" s="46"/>
      <c r="V345" s="46"/>
    </row>
    <row r="346" spans="1:22" ht="15" customHeight="1" x14ac:dyDescent="0.25">
      <c r="A346" s="17"/>
      <c r="G346"/>
      <c r="H346"/>
      <c r="J346"/>
      <c r="K346"/>
      <c r="L346"/>
      <c r="M346"/>
      <c r="N346"/>
      <c r="P346"/>
      <c r="Q346"/>
      <c r="R346"/>
      <c r="S346"/>
      <c r="T346"/>
      <c r="U346" s="46"/>
      <c r="V346" s="46"/>
    </row>
    <row r="347" spans="1:22" ht="15" customHeight="1" x14ac:dyDescent="0.25">
      <c r="A347" s="17"/>
      <c r="G347"/>
      <c r="H347"/>
      <c r="J347"/>
      <c r="K347"/>
      <c r="L347"/>
      <c r="M347"/>
      <c r="N347"/>
      <c r="P347"/>
      <c r="Q347"/>
      <c r="R347"/>
      <c r="S347"/>
      <c r="T347"/>
      <c r="U347" s="46"/>
      <c r="V347" s="46"/>
    </row>
    <row r="348" spans="1:22" ht="15" customHeight="1" x14ac:dyDescent="0.25">
      <c r="A348" s="17"/>
      <c r="G348"/>
      <c r="H348"/>
      <c r="J348"/>
      <c r="K348"/>
      <c r="L348"/>
      <c r="M348"/>
      <c r="N348"/>
      <c r="P348"/>
      <c r="Q348"/>
      <c r="R348"/>
      <c r="S348"/>
      <c r="T348"/>
      <c r="U348" s="46"/>
      <c r="V348" s="46"/>
    </row>
    <row r="349" spans="1:22" ht="15" customHeight="1" x14ac:dyDescent="0.25">
      <c r="A349" s="17"/>
      <c r="G349"/>
      <c r="H349"/>
      <c r="J349"/>
      <c r="K349"/>
      <c r="L349"/>
      <c r="M349"/>
      <c r="N349"/>
      <c r="P349"/>
      <c r="Q349"/>
      <c r="R349"/>
      <c r="S349"/>
      <c r="T349"/>
      <c r="U349" s="46"/>
      <c r="V349" s="46"/>
    </row>
    <row r="350" spans="1:22" ht="15" customHeight="1" x14ac:dyDescent="0.25">
      <c r="A350" s="17"/>
      <c r="G350"/>
      <c r="H350"/>
      <c r="J350"/>
      <c r="K350"/>
      <c r="L350"/>
      <c r="M350"/>
      <c r="N350"/>
      <c r="P350"/>
      <c r="Q350"/>
      <c r="R350"/>
      <c r="S350"/>
      <c r="T350"/>
      <c r="U350" s="46"/>
      <c r="V350" s="46"/>
    </row>
    <row r="351" spans="1:22" ht="15" customHeight="1" x14ac:dyDescent="0.25">
      <c r="A351" s="17"/>
      <c r="G351"/>
      <c r="H351"/>
      <c r="J351"/>
      <c r="K351"/>
      <c r="L351"/>
      <c r="M351"/>
      <c r="N351"/>
      <c r="P351"/>
      <c r="Q351"/>
      <c r="R351"/>
      <c r="S351"/>
      <c r="T351"/>
      <c r="U351" s="46"/>
      <c r="V351" s="46"/>
    </row>
    <row r="352" spans="1:22" ht="15" customHeight="1" x14ac:dyDescent="0.25">
      <c r="A352" s="17"/>
      <c r="G352"/>
      <c r="H352"/>
      <c r="J352"/>
      <c r="K352"/>
      <c r="L352"/>
      <c r="M352"/>
      <c r="N352"/>
      <c r="P352"/>
      <c r="Q352"/>
      <c r="R352"/>
      <c r="S352"/>
      <c r="T352"/>
      <c r="U352" s="46"/>
      <c r="V352" s="46"/>
    </row>
    <row r="353" spans="1:22" ht="15" customHeight="1" x14ac:dyDescent="0.25">
      <c r="A353" s="17"/>
      <c r="G353"/>
      <c r="H353"/>
      <c r="J353"/>
      <c r="K353"/>
      <c r="L353"/>
      <c r="M353"/>
      <c r="N353"/>
      <c r="P353"/>
      <c r="Q353"/>
      <c r="R353"/>
      <c r="S353"/>
      <c r="T353"/>
      <c r="U353" s="46"/>
      <c r="V353" s="46"/>
    </row>
    <row r="354" spans="1:22" ht="15" customHeight="1" x14ac:dyDescent="0.25">
      <c r="A354" s="17"/>
      <c r="G354"/>
      <c r="H354"/>
      <c r="J354"/>
      <c r="K354"/>
      <c r="L354"/>
      <c r="M354"/>
      <c r="N354"/>
      <c r="P354"/>
      <c r="Q354"/>
      <c r="R354"/>
      <c r="S354"/>
      <c r="T354"/>
      <c r="U354" s="46"/>
      <c r="V354" s="46"/>
    </row>
    <row r="355" spans="1:22" ht="15" customHeight="1" x14ac:dyDescent="0.25">
      <c r="A355" s="17"/>
      <c r="G355"/>
      <c r="H355"/>
      <c r="J355"/>
      <c r="K355"/>
      <c r="L355"/>
      <c r="M355"/>
      <c r="N355"/>
      <c r="P355"/>
      <c r="Q355"/>
      <c r="R355"/>
      <c r="S355"/>
      <c r="T355"/>
      <c r="U355" s="46"/>
      <c r="V355" s="46"/>
    </row>
    <row r="356" spans="1:22" ht="15" customHeight="1" x14ac:dyDescent="0.25">
      <c r="A356" s="17"/>
      <c r="G356"/>
      <c r="H356"/>
      <c r="J356"/>
      <c r="K356"/>
      <c r="L356"/>
      <c r="M356"/>
      <c r="N356"/>
      <c r="P356"/>
      <c r="Q356"/>
      <c r="R356"/>
      <c r="S356"/>
      <c r="T356"/>
      <c r="U356" s="46"/>
      <c r="V356" s="46"/>
    </row>
    <row r="357" spans="1:22" ht="15" customHeight="1" x14ac:dyDescent="0.25">
      <c r="A357" s="17"/>
      <c r="G357"/>
      <c r="H357"/>
      <c r="J357"/>
      <c r="K357"/>
      <c r="L357"/>
      <c r="M357"/>
      <c r="N357"/>
      <c r="P357"/>
      <c r="Q357"/>
      <c r="R357"/>
      <c r="S357"/>
      <c r="T357"/>
      <c r="U357" s="46"/>
      <c r="V357" s="46"/>
    </row>
    <row r="358" spans="1:22" ht="15" customHeight="1" x14ac:dyDescent="0.25">
      <c r="A358" s="17"/>
      <c r="G358"/>
      <c r="H358"/>
      <c r="J358"/>
      <c r="K358"/>
      <c r="L358"/>
      <c r="M358"/>
      <c r="N358"/>
      <c r="P358"/>
      <c r="Q358"/>
      <c r="R358"/>
      <c r="S358"/>
      <c r="T358"/>
      <c r="U358" s="46"/>
      <c r="V358" s="46"/>
    </row>
    <row r="359" spans="1:22" ht="15" customHeight="1" x14ac:dyDescent="0.25">
      <c r="A359" s="17"/>
      <c r="G359"/>
      <c r="H359"/>
      <c r="J359"/>
      <c r="K359"/>
      <c r="L359"/>
      <c r="M359"/>
      <c r="N359"/>
      <c r="P359"/>
      <c r="Q359"/>
      <c r="R359"/>
      <c r="S359"/>
      <c r="T359"/>
      <c r="U359" s="46"/>
      <c r="V359" s="46"/>
    </row>
    <row r="360" spans="1:22" ht="15" customHeight="1" x14ac:dyDescent="0.25">
      <c r="A360" s="17"/>
      <c r="G360"/>
      <c r="H360"/>
      <c r="J360"/>
      <c r="K360"/>
      <c r="L360"/>
      <c r="M360"/>
      <c r="N360"/>
      <c r="P360"/>
      <c r="Q360"/>
      <c r="R360"/>
      <c r="S360"/>
      <c r="T360"/>
      <c r="U360" s="46"/>
      <c r="V360" s="46"/>
    </row>
    <row r="361" spans="1:22" ht="15" customHeight="1" x14ac:dyDescent="0.25">
      <c r="A361" s="17"/>
      <c r="G361"/>
      <c r="H361"/>
      <c r="J361"/>
      <c r="K361"/>
      <c r="L361"/>
      <c r="M361"/>
      <c r="N361"/>
      <c r="P361"/>
      <c r="Q361"/>
      <c r="R361"/>
      <c r="S361"/>
      <c r="T361"/>
      <c r="U361" s="46"/>
      <c r="V361" s="46"/>
    </row>
    <row r="362" spans="1:22" ht="15" customHeight="1" x14ac:dyDescent="0.25">
      <c r="A362" s="17"/>
      <c r="G362"/>
      <c r="H362"/>
      <c r="J362"/>
      <c r="K362"/>
      <c r="L362"/>
      <c r="M362"/>
      <c r="N362"/>
      <c r="P362"/>
      <c r="Q362"/>
      <c r="R362"/>
      <c r="S362"/>
      <c r="T362"/>
      <c r="U362" s="46"/>
      <c r="V362" s="46"/>
    </row>
    <row r="363" spans="1:22" ht="15" customHeight="1" x14ac:dyDescent="0.25">
      <c r="A363" s="17"/>
      <c r="G363"/>
      <c r="H363"/>
      <c r="J363"/>
      <c r="K363"/>
      <c r="L363"/>
      <c r="M363"/>
      <c r="N363"/>
      <c r="P363"/>
      <c r="Q363"/>
      <c r="R363"/>
      <c r="S363"/>
      <c r="T363"/>
      <c r="U363" s="46"/>
      <c r="V363" s="46"/>
    </row>
    <row r="364" spans="1:22" ht="15" customHeight="1" x14ac:dyDescent="0.25">
      <c r="A364" s="17"/>
      <c r="G364"/>
      <c r="H364"/>
      <c r="J364"/>
      <c r="K364"/>
      <c r="L364"/>
      <c r="M364"/>
      <c r="N364"/>
      <c r="P364"/>
      <c r="Q364"/>
      <c r="R364"/>
      <c r="S364"/>
      <c r="T364"/>
      <c r="U364" s="46"/>
      <c r="V364" s="46"/>
    </row>
    <row r="365" spans="1:22" ht="15" customHeight="1" x14ac:dyDescent="0.25">
      <c r="A365" s="17"/>
      <c r="G365"/>
      <c r="H365"/>
      <c r="J365"/>
      <c r="K365"/>
      <c r="L365"/>
      <c r="M365"/>
      <c r="N365"/>
      <c r="P365"/>
      <c r="Q365"/>
      <c r="R365"/>
      <c r="S365"/>
      <c r="T365"/>
      <c r="U365" s="46"/>
      <c r="V365" s="46"/>
    </row>
    <row r="366" spans="1:22" ht="15" customHeight="1" x14ac:dyDescent="0.25">
      <c r="A366" s="17"/>
      <c r="G366"/>
      <c r="H366"/>
      <c r="J366"/>
      <c r="K366"/>
      <c r="L366"/>
      <c r="M366"/>
      <c r="N366"/>
      <c r="P366"/>
      <c r="Q366"/>
      <c r="R366"/>
      <c r="S366"/>
      <c r="T366"/>
      <c r="U366" s="46"/>
      <c r="V366" s="46"/>
    </row>
    <row r="367" spans="1:22" ht="15" customHeight="1" x14ac:dyDescent="0.25">
      <c r="A367" s="17"/>
      <c r="G367"/>
      <c r="H367"/>
      <c r="J367"/>
      <c r="K367"/>
      <c r="L367"/>
      <c r="M367"/>
      <c r="N367"/>
      <c r="P367"/>
      <c r="Q367"/>
      <c r="R367"/>
      <c r="S367"/>
      <c r="T367"/>
      <c r="U367" s="46"/>
      <c r="V367" s="46"/>
    </row>
    <row r="368" spans="1:22" ht="15" customHeight="1" x14ac:dyDescent="0.25">
      <c r="A368" s="17"/>
      <c r="G368"/>
      <c r="H368"/>
      <c r="J368"/>
      <c r="K368"/>
      <c r="L368"/>
      <c r="M368"/>
      <c r="N368"/>
      <c r="P368"/>
      <c r="Q368"/>
      <c r="R368"/>
      <c r="S368"/>
      <c r="T368"/>
      <c r="U368" s="46"/>
      <c r="V368" s="46"/>
    </row>
    <row r="369" spans="1:22" ht="15" customHeight="1" x14ac:dyDescent="0.25">
      <c r="A369" s="17"/>
      <c r="G369"/>
      <c r="H369"/>
      <c r="J369"/>
      <c r="K369"/>
      <c r="L369"/>
      <c r="M369"/>
      <c r="N369"/>
      <c r="P369"/>
      <c r="Q369"/>
      <c r="R369"/>
      <c r="S369"/>
      <c r="T369"/>
      <c r="U369" s="46"/>
      <c r="V369" s="46"/>
    </row>
    <row r="370" spans="1:22" ht="15" customHeight="1" x14ac:dyDescent="0.25">
      <c r="A370" s="17"/>
      <c r="G370"/>
      <c r="H370"/>
      <c r="J370"/>
      <c r="K370"/>
      <c r="L370"/>
      <c r="M370"/>
      <c r="N370"/>
      <c r="P370"/>
      <c r="Q370"/>
      <c r="R370"/>
      <c r="S370"/>
      <c r="T370"/>
      <c r="U370" s="46"/>
      <c r="V370" s="46"/>
    </row>
    <row r="371" spans="1:22" ht="15" customHeight="1" x14ac:dyDescent="0.25">
      <c r="A371" s="17"/>
      <c r="G371"/>
      <c r="H371"/>
      <c r="J371"/>
      <c r="K371"/>
      <c r="L371"/>
      <c r="M371"/>
      <c r="N371"/>
      <c r="P371"/>
      <c r="Q371"/>
      <c r="R371"/>
      <c r="S371"/>
      <c r="T371"/>
      <c r="U371" s="46"/>
      <c r="V371" s="46"/>
    </row>
    <row r="372" spans="1:22" ht="15" customHeight="1" x14ac:dyDescent="0.25">
      <c r="A372" s="17"/>
      <c r="G372"/>
      <c r="H372"/>
      <c r="J372"/>
      <c r="K372"/>
      <c r="L372"/>
      <c r="M372"/>
      <c r="N372"/>
      <c r="P372"/>
      <c r="Q372"/>
      <c r="R372"/>
      <c r="S372"/>
      <c r="T372"/>
      <c r="U372" s="46"/>
      <c r="V372" s="46"/>
    </row>
    <row r="373" spans="1:22" ht="15" customHeight="1" x14ac:dyDescent="0.25">
      <c r="A373" s="17"/>
      <c r="G373"/>
      <c r="H373"/>
      <c r="J373"/>
      <c r="K373"/>
      <c r="L373"/>
      <c r="M373"/>
      <c r="N373"/>
      <c r="P373"/>
      <c r="Q373"/>
      <c r="R373"/>
      <c r="S373"/>
      <c r="T373"/>
      <c r="U373" s="46"/>
      <c r="V373" s="46"/>
    </row>
    <row r="374" spans="1:22" ht="15" customHeight="1" x14ac:dyDescent="0.25">
      <c r="A374" s="17"/>
      <c r="G374"/>
      <c r="H374"/>
      <c r="J374"/>
      <c r="K374"/>
      <c r="L374"/>
      <c r="M374"/>
      <c r="N374"/>
      <c r="P374"/>
      <c r="Q374"/>
      <c r="R374"/>
      <c r="S374"/>
      <c r="T374"/>
      <c r="U374" s="46"/>
      <c r="V374" s="46"/>
    </row>
    <row r="375" spans="1:22" ht="15" customHeight="1" x14ac:dyDescent="0.25">
      <c r="A375" s="17"/>
      <c r="G375"/>
      <c r="H375"/>
      <c r="J375"/>
      <c r="K375"/>
      <c r="L375"/>
      <c r="M375"/>
      <c r="N375"/>
      <c r="P375"/>
      <c r="Q375"/>
      <c r="R375"/>
      <c r="S375"/>
      <c r="T375"/>
      <c r="U375" s="46"/>
      <c r="V375" s="46"/>
    </row>
    <row r="376" spans="1:22" ht="15" customHeight="1" x14ac:dyDescent="0.25">
      <c r="A376" s="17"/>
      <c r="G376"/>
      <c r="H376"/>
      <c r="J376"/>
      <c r="K376"/>
      <c r="L376"/>
      <c r="M376"/>
      <c r="N376"/>
      <c r="P376"/>
      <c r="Q376"/>
      <c r="R376"/>
      <c r="S376"/>
      <c r="T376"/>
      <c r="U376" s="46"/>
      <c r="V376" s="46"/>
    </row>
    <row r="377" spans="1:22" ht="15" customHeight="1" x14ac:dyDescent="0.25">
      <c r="A377" s="17"/>
      <c r="G377"/>
      <c r="H377"/>
      <c r="J377"/>
      <c r="K377"/>
      <c r="L377"/>
      <c r="M377"/>
      <c r="N377"/>
      <c r="P377"/>
      <c r="Q377"/>
      <c r="R377"/>
      <c r="S377"/>
      <c r="T377"/>
      <c r="U377" s="46"/>
      <c r="V377" s="46"/>
    </row>
    <row r="378" spans="1:22" ht="15" customHeight="1" x14ac:dyDescent="0.25">
      <c r="A378" s="17"/>
      <c r="G378"/>
      <c r="H378"/>
      <c r="J378"/>
      <c r="K378"/>
      <c r="L378"/>
      <c r="M378"/>
      <c r="N378"/>
      <c r="P378"/>
      <c r="Q378"/>
      <c r="R378"/>
      <c r="S378"/>
      <c r="T378"/>
      <c r="U378" s="46"/>
      <c r="V378" s="46"/>
    </row>
    <row r="379" spans="1:22" ht="15" customHeight="1" x14ac:dyDescent="0.25">
      <c r="A379" s="17"/>
      <c r="G379"/>
      <c r="H379"/>
      <c r="J379"/>
      <c r="K379"/>
      <c r="L379"/>
      <c r="M379"/>
      <c r="N379"/>
      <c r="P379"/>
      <c r="Q379"/>
      <c r="R379"/>
      <c r="S379"/>
      <c r="T379"/>
      <c r="U379" s="46"/>
      <c r="V379" s="46"/>
    </row>
    <row r="380" spans="1:22" ht="15" customHeight="1" x14ac:dyDescent="0.25">
      <c r="A380" s="17"/>
      <c r="G380"/>
      <c r="H380"/>
      <c r="J380"/>
      <c r="K380"/>
      <c r="L380"/>
      <c r="M380"/>
      <c r="N380"/>
      <c r="P380"/>
      <c r="Q380"/>
      <c r="R380"/>
      <c r="S380"/>
      <c r="T380"/>
      <c r="U380" s="46"/>
      <c r="V380" s="46"/>
    </row>
    <row r="381" spans="1:22" ht="15" customHeight="1" x14ac:dyDescent="0.25">
      <c r="A381" s="17"/>
      <c r="G381"/>
      <c r="H381"/>
      <c r="J381"/>
      <c r="K381"/>
      <c r="L381"/>
      <c r="M381"/>
      <c r="N381"/>
      <c r="P381"/>
      <c r="Q381"/>
      <c r="R381"/>
      <c r="S381"/>
      <c r="T381"/>
      <c r="U381" s="46"/>
      <c r="V381" s="46"/>
    </row>
    <row r="382" spans="1:22" ht="15" customHeight="1" x14ac:dyDescent="0.25">
      <c r="A382" s="17"/>
      <c r="G382"/>
      <c r="H382"/>
      <c r="J382"/>
      <c r="K382"/>
      <c r="L382"/>
      <c r="M382"/>
      <c r="N382"/>
      <c r="P382"/>
      <c r="Q382"/>
      <c r="R382"/>
      <c r="S382"/>
      <c r="T382"/>
      <c r="U382" s="46"/>
      <c r="V382" s="46"/>
    </row>
    <row r="383" spans="1:22" ht="15" customHeight="1" x14ac:dyDescent="0.25">
      <c r="A383" s="17"/>
      <c r="G383"/>
      <c r="H383"/>
      <c r="J383"/>
      <c r="K383"/>
      <c r="L383"/>
      <c r="M383"/>
      <c r="N383"/>
      <c r="P383"/>
      <c r="Q383"/>
      <c r="R383"/>
      <c r="S383"/>
      <c r="T383"/>
      <c r="U383" s="46"/>
      <c r="V383" s="46"/>
    </row>
    <row r="384" spans="1:22" ht="15" customHeight="1" x14ac:dyDescent="0.25">
      <c r="A384" s="17"/>
      <c r="G384"/>
      <c r="H384"/>
      <c r="J384"/>
      <c r="K384"/>
      <c r="L384"/>
      <c r="M384"/>
      <c r="N384"/>
      <c r="P384"/>
      <c r="Q384"/>
      <c r="R384"/>
      <c r="S384"/>
      <c r="T384"/>
      <c r="U384" s="46"/>
      <c r="V384" s="46"/>
    </row>
    <row r="385" spans="1:22" ht="15" customHeight="1" x14ac:dyDescent="0.25">
      <c r="A385" s="17"/>
      <c r="G385"/>
      <c r="H385"/>
      <c r="J385"/>
      <c r="K385"/>
      <c r="L385"/>
      <c r="M385"/>
      <c r="N385"/>
      <c r="P385"/>
      <c r="Q385"/>
      <c r="R385"/>
      <c r="S385"/>
      <c r="T385"/>
      <c r="U385" s="46"/>
      <c r="V385" s="46"/>
    </row>
    <row r="386" spans="1:22" ht="15" customHeight="1" x14ac:dyDescent="0.25">
      <c r="A386" s="17"/>
      <c r="G386"/>
      <c r="H386"/>
      <c r="J386"/>
      <c r="K386"/>
      <c r="L386"/>
      <c r="M386"/>
      <c r="N386"/>
      <c r="P386"/>
      <c r="Q386"/>
      <c r="R386"/>
      <c r="S386"/>
      <c r="T386"/>
      <c r="U386" s="46"/>
      <c r="V386" s="46"/>
    </row>
    <row r="387" spans="1:22" ht="15" customHeight="1" x14ac:dyDescent="0.25">
      <c r="A387" s="17"/>
      <c r="G387"/>
      <c r="H387"/>
      <c r="J387"/>
      <c r="K387"/>
      <c r="L387"/>
      <c r="M387"/>
      <c r="N387"/>
      <c r="P387"/>
      <c r="Q387"/>
      <c r="R387"/>
      <c r="S387"/>
      <c r="T387"/>
      <c r="U387" s="46"/>
      <c r="V387" s="46"/>
    </row>
    <row r="388" spans="1:22" ht="15" customHeight="1" x14ac:dyDescent="0.25">
      <c r="A388" s="17"/>
      <c r="G388"/>
      <c r="H388"/>
      <c r="J388"/>
      <c r="K388"/>
      <c r="L388"/>
      <c r="M388"/>
      <c r="N388"/>
      <c r="P388"/>
      <c r="Q388"/>
      <c r="R388"/>
      <c r="S388"/>
      <c r="T388"/>
      <c r="U388" s="46"/>
      <c r="V388" s="46"/>
    </row>
    <row r="389" spans="1:22" ht="15" customHeight="1" x14ac:dyDescent="0.25">
      <c r="A389" s="17"/>
      <c r="G389"/>
      <c r="H389"/>
      <c r="J389"/>
      <c r="K389"/>
      <c r="L389"/>
      <c r="M389"/>
      <c r="N389"/>
      <c r="P389"/>
      <c r="Q389"/>
      <c r="R389"/>
      <c r="S389"/>
      <c r="T389"/>
      <c r="U389" s="46"/>
      <c r="V389" s="46"/>
    </row>
    <row r="390" spans="1:22" ht="15" customHeight="1" x14ac:dyDescent="0.25">
      <c r="A390" s="17"/>
      <c r="G390"/>
      <c r="H390"/>
      <c r="J390"/>
      <c r="K390"/>
      <c r="L390"/>
      <c r="M390"/>
      <c r="N390"/>
      <c r="P390"/>
      <c r="Q390"/>
      <c r="R390"/>
      <c r="S390"/>
      <c r="T390"/>
      <c r="U390" s="46"/>
      <c r="V390" s="46"/>
    </row>
    <row r="391" spans="1:22" ht="15" customHeight="1" x14ac:dyDescent="0.25">
      <c r="A391" s="17"/>
      <c r="G391"/>
      <c r="H391"/>
      <c r="J391"/>
      <c r="K391"/>
      <c r="L391"/>
      <c r="M391"/>
      <c r="N391"/>
      <c r="P391"/>
      <c r="Q391"/>
      <c r="R391"/>
      <c r="S391"/>
      <c r="T391"/>
      <c r="U391" s="46"/>
      <c r="V391" s="46"/>
    </row>
    <row r="392" spans="1:22" ht="15" customHeight="1" x14ac:dyDescent="0.25">
      <c r="A392" s="17"/>
      <c r="G392"/>
      <c r="H392"/>
      <c r="J392"/>
      <c r="K392"/>
      <c r="L392"/>
      <c r="M392"/>
      <c r="N392"/>
      <c r="P392"/>
      <c r="Q392"/>
      <c r="R392"/>
      <c r="S392"/>
      <c r="T392"/>
      <c r="U392" s="46"/>
      <c r="V392" s="46"/>
    </row>
    <row r="393" spans="1:22" ht="15" customHeight="1" x14ac:dyDescent="0.25">
      <c r="A393" s="17"/>
      <c r="G393"/>
      <c r="H393"/>
      <c r="J393"/>
      <c r="K393"/>
      <c r="L393"/>
      <c r="M393"/>
      <c r="N393"/>
      <c r="P393"/>
      <c r="Q393"/>
      <c r="R393"/>
      <c r="S393"/>
      <c r="T393"/>
      <c r="U393" s="46"/>
      <c r="V393" s="46"/>
    </row>
    <row r="394" spans="1:22" ht="15" customHeight="1" x14ac:dyDescent="0.25">
      <c r="A394" s="17"/>
      <c r="G394"/>
      <c r="H394"/>
      <c r="J394"/>
      <c r="K394"/>
      <c r="L394"/>
      <c r="M394"/>
      <c r="N394"/>
      <c r="P394"/>
      <c r="Q394"/>
      <c r="R394"/>
      <c r="S394"/>
      <c r="T394"/>
      <c r="U394" s="46"/>
      <c r="V394" s="46"/>
    </row>
    <row r="395" spans="1:22" ht="15" customHeight="1" x14ac:dyDescent="0.25">
      <c r="A395" s="17"/>
      <c r="G395"/>
      <c r="H395"/>
      <c r="J395"/>
      <c r="K395"/>
      <c r="L395"/>
      <c r="M395"/>
      <c r="N395"/>
      <c r="P395"/>
      <c r="Q395"/>
      <c r="R395"/>
      <c r="S395"/>
      <c r="T395"/>
      <c r="U395" s="46"/>
      <c r="V395" s="46"/>
    </row>
    <row r="396" spans="1:22" ht="15" customHeight="1" x14ac:dyDescent="0.25">
      <c r="A396" s="17"/>
      <c r="G396"/>
      <c r="H396"/>
      <c r="J396"/>
      <c r="K396"/>
      <c r="L396"/>
      <c r="M396"/>
      <c r="N396"/>
      <c r="P396"/>
      <c r="Q396"/>
      <c r="R396"/>
      <c r="S396"/>
      <c r="T396"/>
      <c r="U396" s="46"/>
      <c r="V396" s="46"/>
    </row>
    <row r="397" spans="1:22" ht="15" customHeight="1" x14ac:dyDescent="0.25">
      <c r="A397" s="17"/>
      <c r="G397"/>
      <c r="H397"/>
      <c r="J397"/>
      <c r="K397"/>
      <c r="L397"/>
      <c r="M397"/>
      <c r="N397"/>
      <c r="P397"/>
      <c r="Q397"/>
      <c r="R397"/>
      <c r="S397"/>
      <c r="T397"/>
      <c r="U397" s="46"/>
      <c r="V397" s="46"/>
    </row>
    <row r="398" spans="1:22" ht="15" customHeight="1" x14ac:dyDescent="0.25">
      <c r="A398" s="17"/>
      <c r="G398"/>
      <c r="H398"/>
      <c r="J398"/>
      <c r="K398"/>
      <c r="L398"/>
      <c r="M398"/>
      <c r="N398"/>
      <c r="P398"/>
      <c r="Q398"/>
      <c r="R398"/>
      <c r="S398"/>
      <c r="T398"/>
      <c r="U398" s="46"/>
      <c r="V398" s="46"/>
    </row>
    <row r="399" spans="1:22" ht="15" customHeight="1" x14ac:dyDescent="0.25">
      <c r="A399" s="17"/>
      <c r="G399"/>
      <c r="H399"/>
      <c r="J399"/>
      <c r="K399"/>
      <c r="L399"/>
      <c r="M399"/>
      <c r="N399"/>
      <c r="P399"/>
      <c r="Q399"/>
      <c r="R399"/>
      <c r="S399"/>
      <c r="T399"/>
      <c r="U399" s="46"/>
      <c r="V399" s="46"/>
    </row>
    <row r="400" spans="1:22" ht="15" customHeight="1" x14ac:dyDescent="0.25">
      <c r="A400" s="17"/>
      <c r="G400"/>
      <c r="H400"/>
      <c r="J400"/>
      <c r="K400"/>
      <c r="L400"/>
      <c r="M400"/>
      <c r="N400"/>
      <c r="P400"/>
      <c r="Q400"/>
      <c r="R400"/>
      <c r="S400"/>
      <c r="T400"/>
      <c r="U400" s="46"/>
      <c r="V400" s="46"/>
    </row>
    <row r="401" spans="1:22" ht="15" customHeight="1" x14ac:dyDescent="0.25">
      <c r="A401" s="17"/>
      <c r="G401"/>
      <c r="H401"/>
      <c r="J401"/>
      <c r="K401"/>
      <c r="L401"/>
      <c r="M401"/>
      <c r="N401"/>
      <c r="P401"/>
      <c r="Q401"/>
      <c r="R401"/>
      <c r="S401"/>
      <c r="T401"/>
      <c r="U401" s="46"/>
      <c r="V401" s="46"/>
    </row>
    <row r="402" spans="1:22" ht="15" customHeight="1" x14ac:dyDescent="0.25">
      <c r="A402" s="17"/>
      <c r="G402"/>
      <c r="H402"/>
      <c r="J402"/>
      <c r="K402"/>
      <c r="L402"/>
      <c r="M402"/>
      <c r="N402"/>
      <c r="P402"/>
      <c r="Q402"/>
      <c r="R402"/>
      <c r="S402"/>
      <c r="T402"/>
      <c r="U402" s="46"/>
      <c r="V402" s="46"/>
    </row>
    <row r="403" spans="1:22" ht="15" customHeight="1" x14ac:dyDescent="0.25">
      <c r="A403" s="17"/>
      <c r="G403"/>
      <c r="H403"/>
      <c r="J403"/>
      <c r="K403"/>
      <c r="L403"/>
      <c r="M403"/>
      <c r="N403"/>
      <c r="P403"/>
      <c r="Q403"/>
      <c r="R403"/>
      <c r="S403"/>
      <c r="T403"/>
      <c r="U403" s="46"/>
      <c r="V403" s="46"/>
    </row>
    <row r="404" spans="1:22" ht="15" customHeight="1" x14ac:dyDescent="0.25">
      <c r="A404" s="17"/>
      <c r="G404"/>
      <c r="H404"/>
      <c r="J404"/>
      <c r="K404"/>
      <c r="L404"/>
      <c r="M404"/>
      <c r="N404"/>
      <c r="P404"/>
      <c r="Q404"/>
      <c r="R404"/>
      <c r="S404"/>
      <c r="T404"/>
      <c r="U404" s="46"/>
      <c r="V404" s="46"/>
    </row>
    <row r="405" spans="1:22" ht="15" customHeight="1" x14ac:dyDescent="0.25">
      <c r="A405" s="17"/>
      <c r="G405"/>
      <c r="H405"/>
      <c r="J405"/>
      <c r="K405"/>
      <c r="L405"/>
      <c r="M405"/>
      <c r="N405"/>
      <c r="P405"/>
      <c r="Q405"/>
      <c r="R405"/>
      <c r="S405"/>
      <c r="T405"/>
      <c r="U405" s="46"/>
      <c r="V405" s="46"/>
    </row>
    <row r="406" spans="1:22" ht="15" customHeight="1" x14ac:dyDescent="0.25">
      <c r="A406" s="17"/>
      <c r="G406"/>
      <c r="H406"/>
      <c r="J406"/>
      <c r="K406"/>
      <c r="L406"/>
      <c r="M406"/>
      <c r="N406"/>
      <c r="P406"/>
      <c r="Q406"/>
      <c r="R406"/>
      <c r="S406"/>
      <c r="T406"/>
      <c r="U406" s="46"/>
      <c r="V406" s="46"/>
    </row>
    <row r="407" spans="1:22" ht="15" customHeight="1" x14ac:dyDescent="0.25">
      <c r="A407" s="17"/>
      <c r="G407"/>
      <c r="H407"/>
      <c r="J407"/>
      <c r="K407"/>
      <c r="L407"/>
      <c r="M407"/>
      <c r="N407"/>
      <c r="P407"/>
      <c r="Q407"/>
      <c r="R407"/>
      <c r="S407"/>
      <c r="T407"/>
      <c r="U407" s="46"/>
      <c r="V407" s="46"/>
    </row>
    <row r="408" spans="1:22" ht="15" customHeight="1" x14ac:dyDescent="0.25">
      <c r="A408" s="17"/>
      <c r="G408"/>
      <c r="H408"/>
      <c r="J408"/>
      <c r="K408"/>
      <c r="L408"/>
      <c r="M408"/>
      <c r="N408"/>
      <c r="P408"/>
      <c r="Q408"/>
      <c r="R408"/>
      <c r="S408"/>
      <c r="T408"/>
      <c r="U408" s="46"/>
      <c r="V408" s="46"/>
    </row>
    <row r="409" spans="1:22" ht="15" customHeight="1" x14ac:dyDescent="0.25">
      <c r="A409" s="17"/>
      <c r="G409"/>
      <c r="H409"/>
      <c r="J409"/>
      <c r="K409"/>
      <c r="L409"/>
      <c r="M409"/>
      <c r="N409"/>
      <c r="P409"/>
      <c r="Q409"/>
      <c r="R409"/>
      <c r="S409"/>
      <c r="T409"/>
      <c r="U409" s="46"/>
      <c r="V409" s="46"/>
    </row>
    <row r="410" spans="1:22" ht="15" customHeight="1" x14ac:dyDescent="0.25">
      <c r="A410" s="17"/>
      <c r="G410"/>
      <c r="H410"/>
      <c r="J410"/>
      <c r="K410"/>
      <c r="L410"/>
      <c r="M410"/>
      <c r="N410"/>
      <c r="P410"/>
      <c r="Q410"/>
      <c r="R410"/>
      <c r="S410"/>
      <c r="T410"/>
      <c r="U410" s="46"/>
      <c r="V410" s="46"/>
    </row>
    <row r="411" spans="1:22" ht="15" customHeight="1" x14ac:dyDescent="0.25">
      <c r="A411" s="17"/>
      <c r="G411"/>
      <c r="H411"/>
      <c r="J411"/>
      <c r="K411"/>
      <c r="L411"/>
      <c r="M411"/>
      <c r="N411"/>
      <c r="P411"/>
      <c r="Q411"/>
      <c r="R411"/>
      <c r="S411"/>
      <c r="T411"/>
      <c r="U411" s="46"/>
      <c r="V411" s="46"/>
    </row>
    <row r="412" spans="1:22" ht="15" customHeight="1" x14ac:dyDescent="0.25">
      <c r="A412" s="17"/>
      <c r="G412"/>
      <c r="H412"/>
      <c r="J412"/>
      <c r="K412"/>
      <c r="L412"/>
      <c r="M412"/>
      <c r="N412"/>
      <c r="P412"/>
      <c r="Q412"/>
      <c r="R412"/>
      <c r="S412"/>
      <c r="T412"/>
      <c r="U412" s="46"/>
      <c r="V412" s="46"/>
    </row>
    <row r="413" spans="1:22" ht="15" customHeight="1" x14ac:dyDescent="0.25">
      <c r="A413" s="17"/>
      <c r="G413"/>
      <c r="H413"/>
      <c r="J413"/>
      <c r="K413"/>
      <c r="L413"/>
      <c r="M413"/>
      <c r="N413"/>
      <c r="P413"/>
      <c r="Q413"/>
      <c r="R413"/>
      <c r="S413"/>
      <c r="T413"/>
      <c r="U413" s="46"/>
      <c r="V413" s="46"/>
    </row>
    <row r="414" spans="1:22" ht="15" customHeight="1" x14ac:dyDescent="0.25">
      <c r="A414" s="17"/>
      <c r="G414"/>
      <c r="H414"/>
      <c r="J414"/>
      <c r="K414"/>
      <c r="L414"/>
      <c r="M414"/>
      <c r="N414"/>
      <c r="P414"/>
      <c r="Q414"/>
      <c r="R414"/>
      <c r="S414"/>
      <c r="T414"/>
      <c r="U414" s="46"/>
      <c r="V414" s="46"/>
    </row>
    <row r="415" spans="1:22" ht="15" customHeight="1" x14ac:dyDescent="0.25">
      <c r="A415" s="17"/>
      <c r="G415"/>
      <c r="H415"/>
      <c r="J415"/>
      <c r="K415"/>
      <c r="L415"/>
      <c r="M415"/>
      <c r="N415"/>
      <c r="P415"/>
      <c r="Q415"/>
      <c r="R415"/>
      <c r="S415"/>
      <c r="T415"/>
      <c r="U415" s="46"/>
      <c r="V415" s="46"/>
    </row>
    <row r="416" spans="1:22" ht="15" customHeight="1" x14ac:dyDescent="0.25">
      <c r="A416" s="17"/>
      <c r="G416"/>
      <c r="H416"/>
      <c r="J416"/>
      <c r="K416"/>
      <c r="L416"/>
      <c r="M416"/>
      <c r="N416"/>
      <c r="P416"/>
      <c r="Q416"/>
      <c r="R416"/>
      <c r="S416"/>
      <c r="T416"/>
      <c r="U416" s="46"/>
      <c r="V416" s="46"/>
    </row>
    <row r="417" spans="1:22" ht="15" customHeight="1" x14ac:dyDescent="0.25">
      <c r="A417" s="17"/>
      <c r="G417"/>
      <c r="H417"/>
      <c r="J417"/>
      <c r="K417"/>
      <c r="L417"/>
      <c r="M417"/>
      <c r="N417"/>
      <c r="P417"/>
      <c r="Q417"/>
      <c r="R417"/>
      <c r="S417"/>
      <c r="T417"/>
      <c r="U417" s="46"/>
      <c r="V417" s="46"/>
    </row>
    <row r="418" spans="1:22" ht="15" customHeight="1" x14ac:dyDescent="0.25">
      <c r="A418" s="17"/>
      <c r="G418"/>
      <c r="H418"/>
      <c r="J418"/>
      <c r="K418"/>
      <c r="L418"/>
      <c r="M418"/>
      <c r="N418"/>
      <c r="P418"/>
      <c r="Q418"/>
      <c r="R418"/>
      <c r="S418"/>
      <c r="T418"/>
      <c r="U418" s="46"/>
      <c r="V418" s="46"/>
    </row>
    <row r="419" spans="1:22" ht="15" customHeight="1" x14ac:dyDescent="0.25">
      <c r="A419" s="17"/>
      <c r="G419"/>
      <c r="H419"/>
      <c r="J419"/>
      <c r="K419"/>
      <c r="L419"/>
      <c r="M419"/>
      <c r="N419"/>
      <c r="P419"/>
      <c r="Q419"/>
      <c r="R419"/>
      <c r="S419"/>
      <c r="T419"/>
      <c r="U419" s="46"/>
      <c r="V419" s="46"/>
    </row>
    <row r="420" spans="1:22" ht="15" customHeight="1" x14ac:dyDescent="0.25">
      <c r="A420" s="17"/>
      <c r="G420"/>
      <c r="H420"/>
      <c r="J420"/>
      <c r="K420"/>
      <c r="L420"/>
      <c r="M420"/>
      <c r="N420"/>
      <c r="P420"/>
      <c r="Q420"/>
      <c r="R420"/>
      <c r="S420"/>
      <c r="T420"/>
      <c r="U420" s="46"/>
      <c r="V420" s="46"/>
    </row>
    <row r="421" spans="1:22" ht="15" customHeight="1" x14ac:dyDescent="0.25">
      <c r="A421" s="17"/>
      <c r="G421"/>
      <c r="H421"/>
      <c r="J421"/>
      <c r="K421"/>
      <c r="L421"/>
      <c r="M421"/>
      <c r="N421"/>
      <c r="P421"/>
      <c r="Q421"/>
      <c r="R421"/>
      <c r="S421"/>
      <c r="T421"/>
      <c r="U421" s="46"/>
      <c r="V421" s="46"/>
    </row>
    <row r="422" spans="1:22" ht="15" customHeight="1" x14ac:dyDescent="0.25">
      <c r="A422" s="17"/>
      <c r="G422"/>
      <c r="H422"/>
      <c r="J422"/>
      <c r="K422"/>
      <c r="L422"/>
      <c r="M422"/>
      <c r="N422"/>
      <c r="P422"/>
      <c r="Q422"/>
      <c r="R422"/>
      <c r="S422"/>
      <c r="T422"/>
      <c r="U422" s="46"/>
      <c r="V422" s="46"/>
    </row>
    <row r="423" spans="1:22" ht="15" customHeight="1" x14ac:dyDescent="0.25">
      <c r="A423" s="17"/>
      <c r="G423"/>
      <c r="H423"/>
      <c r="J423"/>
      <c r="K423"/>
      <c r="L423"/>
      <c r="M423"/>
      <c r="N423"/>
      <c r="P423"/>
      <c r="Q423"/>
      <c r="R423"/>
      <c r="S423"/>
      <c r="T423"/>
      <c r="U423" s="46"/>
      <c r="V423" s="46"/>
    </row>
    <row r="424" spans="1:22" ht="15" customHeight="1" x14ac:dyDescent="0.25">
      <c r="A424" s="17"/>
      <c r="G424"/>
      <c r="H424"/>
      <c r="J424"/>
      <c r="K424"/>
      <c r="L424"/>
      <c r="M424"/>
      <c r="N424"/>
      <c r="P424"/>
      <c r="Q424"/>
      <c r="R424"/>
      <c r="S424"/>
      <c r="T424"/>
      <c r="U424" s="46"/>
      <c r="V424" s="46"/>
    </row>
    <row r="425" spans="1:22" ht="15" customHeight="1" x14ac:dyDescent="0.25">
      <c r="A425" s="17"/>
      <c r="G425"/>
      <c r="H425"/>
      <c r="J425"/>
      <c r="K425"/>
      <c r="L425"/>
      <c r="M425"/>
      <c r="N425"/>
      <c r="P425"/>
      <c r="Q425"/>
      <c r="R425"/>
      <c r="S425"/>
      <c r="T425"/>
      <c r="U425" s="46"/>
      <c r="V425" s="46"/>
    </row>
    <row r="426" spans="1:22" ht="15" customHeight="1" x14ac:dyDescent="0.25">
      <c r="A426" s="17"/>
      <c r="G426"/>
      <c r="H426"/>
      <c r="J426"/>
      <c r="K426"/>
      <c r="L426"/>
      <c r="M426"/>
      <c r="N426"/>
      <c r="P426"/>
      <c r="Q426"/>
      <c r="R426"/>
      <c r="S426"/>
      <c r="T426"/>
      <c r="U426" s="46"/>
      <c r="V426" s="46"/>
    </row>
    <row r="427" spans="1:22" ht="15" customHeight="1" x14ac:dyDescent="0.25">
      <c r="H427"/>
      <c r="U427" s="46"/>
      <c r="V427" s="46"/>
    </row>
    <row r="428" spans="1:22" ht="15" customHeight="1" x14ac:dyDescent="0.25">
      <c r="U428" s="46"/>
      <c r="V428" s="46"/>
    </row>
    <row r="429" spans="1:22" ht="15" customHeight="1" x14ac:dyDescent="0.25">
      <c r="U429" s="46"/>
      <c r="V429" s="46"/>
    </row>
    <row r="430" spans="1:22" ht="15" customHeight="1" x14ac:dyDescent="0.25">
      <c r="U430" s="46"/>
      <c r="V430" s="46"/>
    </row>
    <row r="431" spans="1:22" ht="15" customHeight="1" x14ac:dyDescent="0.25">
      <c r="U431" s="46"/>
      <c r="V431" s="46"/>
    </row>
    <row r="432" spans="1:22" ht="15" customHeight="1" x14ac:dyDescent="0.25">
      <c r="U432" s="46"/>
      <c r="V432" s="46"/>
    </row>
    <row r="433" spans="21:22" ht="15" customHeight="1" x14ac:dyDescent="0.25">
      <c r="U433" s="46"/>
      <c r="V433" s="46"/>
    </row>
    <row r="434" spans="21:22" ht="15" customHeight="1" x14ac:dyDescent="0.25">
      <c r="U434" s="46"/>
      <c r="V434" s="46"/>
    </row>
    <row r="435" spans="21:22" ht="15" customHeight="1" x14ac:dyDescent="0.25">
      <c r="U435" s="46"/>
      <c r="V435" s="46"/>
    </row>
    <row r="436" spans="21:22" ht="15" customHeight="1" x14ac:dyDescent="0.25">
      <c r="U436" s="46"/>
      <c r="V436" s="46"/>
    </row>
    <row r="437" spans="21:22" ht="15" customHeight="1" x14ac:dyDescent="0.25">
      <c r="U437" s="46"/>
      <c r="V437" s="46"/>
    </row>
    <row r="438" spans="21:22" ht="15" customHeight="1" x14ac:dyDescent="0.25">
      <c r="U438" s="46"/>
      <c r="V438" s="46"/>
    </row>
    <row r="439" spans="21:22" ht="15" customHeight="1" x14ac:dyDescent="0.25">
      <c r="U439" s="46"/>
      <c r="V439" s="46"/>
    </row>
    <row r="440" spans="21:22" ht="15" customHeight="1" x14ac:dyDescent="0.25"/>
    <row r="441" spans="21:22" ht="15" customHeight="1" x14ac:dyDescent="0.25"/>
  </sheetData>
  <phoneticPr fontId="8" type="noConversion"/>
  <conditionalFormatting sqref="E2:T1048576">
    <cfRule type="cellIs" dxfId="81" priority="1" operator="lessThan">
      <formula>6</formula>
    </cfRule>
  </conditionalFormatting>
  <conditionalFormatting sqref="P1:T1">
    <cfRule type="cellIs" dxfId="80" priority="7" operator="lessThan">
      <formula>6</formula>
    </cfRule>
  </conditionalFormatting>
  <conditionalFormatting sqref="U1:U36 U45:U1048576">
    <cfRule type="cellIs" dxfId="79" priority="6" operator="greaterThan">
      <formula>19</formula>
    </cfRule>
  </conditionalFormatting>
  <conditionalFormatting sqref="V1:V36 V45:V1048576">
    <cfRule type="cellIs" dxfId="78" priority="5" operator="greaterThan">
      <formula>5</formula>
    </cfRule>
  </conditionalFormatting>
  <dataValidations count="3">
    <dataValidation allowBlank="1" showInputMessage="1" showErrorMessage="1" promptTitle="petunjuk Pengisian " prompt="Izin 20 Hari dalam 1 Semester dapat menurunkan satu nilai akhlaq" sqref="U45:U1048576 U1:U36" xr:uid="{00000000-0002-0000-0100-000000000000}"/>
    <dataValidation allowBlank="1" showInputMessage="1" showErrorMessage="1" promptTitle="Petunjuk Pengisian" prompt="Tidak Izin 6 Hari dalam 1 Semester dapat menurunkan satu nilai akhlaq" sqref="V45:V1048576 V1:V36" xr:uid="{00000000-0002-0000-0100-000001000000}"/>
    <dataValidation allowBlank="1" showInputMessage="1" showErrorMessage="1" prompt="jumlah nilai pelajaran seluruh siswi dibagi Jumlah siswi _x000a_- tanpa mengikutkan yang boyong/ cuty _x000a_- siswi yang her/ tanpa keterangan dikira kirakan 4 nilainya" sqref="H39:H52" xr:uid="{00000000-0002-0000-0100-000002000000}"/>
  </dataValidation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43"/>
  <sheetViews>
    <sheetView zoomScale="70" zoomScaleNormal="70" workbookViewId="0">
      <selection activeCell="T30" sqref="T30"/>
    </sheetView>
  </sheetViews>
  <sheetFormatPr defaultRowHeight="30" x14ac:dyDescent="0.25"/>
  <cols>
    <col min="1" max="1" width="14.85546875" style="35" customWidth="1"/>
    <col min="2" max="2" width="32.42578125" style="7" customWidth="1"/>
    <col min="3" max="3" width="16.85546875" style="7" customWidth="1"/>
    <col min="4" max="4" width="14.85546875" style="7" customWidth="1"/>
    <col min="5" max="5" width="10.7109375" style="3" customWidth="1"/>
    <col min="6" max="6" width="7.42578125" style="5" customWidth="1"/>
    <col min="7" max="7" width="10.7109375" style="5" customWidth="1"/>
    <col min="8" max="8" width="18.85546875" style="5" customWidth="1"/>
    <col min="9" max="9" width="10.42578125" style="25" customWidth="1"/>
    <col min="10" max="10" width="13" style="5" customWidth="1"/>
    <col min="11" max="11" width="10.28515625" style="5" customWidth="1"/>
    <col min="12" max="13" width="17.7109375" style="5" customWidth="1"/>
    <col min="14" max="14" width="14" style="5" customWidth="1"/>
    <col min="15" max="15" width="17.7109375" style="25" customWidth="1"/>
    <col min="16" max="16" width="17.7109375" style="5" customWidth="1"/>
    <col min="17" max="17" width="13.140625" style="5" customWidth="1"/>
    <col min="18" max="18" width="12.5703125" style="5" customWidth="1"/>
    <col min="19" max="19" width="12.28515625" style="5" customWidth="1"/>
    <col min="20" max="20" width="18.7109375" style="6" customWidth="1"/>
    <col min="21" max="22" width="8.7109375" style="45" customWidth="1"/>
  </cols>
  <sheetData>
    <row r="1" spans="1:22" s="20" customFormat="1" ht="25.15" customHeight="1" thickBot="1" x14ac:dyDescent="0.3">
      <c r="A1" s="34" t="s">
        <v>1</v>
      </c>
      <c r="B1" s="11" t="s">
        <v>0</v>
      </c>
      <c r="C1" s="11" t="s">
        <v>2</v>
      </c>
      <c r="D1" s="11" t="s">
        <v>13</v>
      </c>
      <c r="E1" s="39" t="s">
        <v>3</v>
      </c>
      <c r="F1" s="36"/>
      <c r="G1" s="21" t="s">
        <v>51</v>
      </c>
      <c r="H1" s="21" t="s">
        <v>4</v>
      </c>
      <c r="I1" s="22" t="s">
        <v>52</v>
      </c>
      <c r="J1" s="21" t="s">
        <v>5</v>
      </c>
      <c r="K1" s="21" t="s">
        <v>53</v>
      </c>
      <c r="L1" s="21" t="s">
        <v>73</v>
      </c>
      <c r="M1" s="21" t="s">
        <v>54</v>
      </c>
      <c r="N1" s="21" t="s">
        <v>55</v>
      </c>
      <c r="O1" s="22" t="s">
        <v>57</v>
      </c>
      <c r="P1" s="12" t="s">
        <v>6</v>
      </c>
      <c r="Q1" s="12" t="s">
        <v>7</v>
      </c>
      <c r="R1" s="12" t="s">
        <v>8</v>
      </c>
      <c r="S1" s="12" t="s">
        <v>9</v>
      </c>
      <c r="T1" s="13" t="s">
        <v>10</v>
      </c>
      <c r="U1" s="43" t="s">
        <v>11</v>
      </c>
      <c r="V1" s="43" t="s">
        <v>12</v>
      </c>
    </row>
    <row r="2" spans="1:22" s="1" customFormat="1" ht="25.15" customHeight="1" thickBot="1" x14ac:dyDescent="0.3">
      <c r="A2" s="83" t="s">
        <v>14</v>
      </c>
      <c r="B2" s="123" t="s">
        <v>136</v>
      </c>
      <c r="C2" s="85">
        <v>2687</v>
      </c>
      <c r="D2" s="19" t="s">
        <v>14</v>
      </c>
      <c r="E2" s="3" t="str">
        <f t="shared" ref="E2:E36" si="0">TEXT(F2,"[$-2000000]0")</f>
        <v>٦</v>
      </c>
      <c r="F2" s="3">
        <v>6</v>
      </c>
      <c r="G2" s="3">
        <v>4</v>
      </c>
      <c r="H2" s="3">
        <v>6</v>
      </c>
      <c r="I2" s="3">
        <v>4</v>
      </c>
      <c r="J2" s="3">
        <v>5</v>
      </c>
      <c r="K2" s="3">
        <v>5</v>
      </c>
      <c r="L2" s="3" t="s">
        <v>56</v>
      </c>
      <c r="M2" s="3">
        <v>5</v>
      </c>
      <c r="N2" s="3">
        <v>5</v>
      </c>
      <c r="O2" s="3">
        <v>6</v>
      </c>
      <c r="P2" s="3">
        <v>7</v>
      </c>
      <c r="Q2" s="3">
        <v>7</v>
      </c>
      <c r="R2" s="3">
        <v>7</v>
      </c>
      <c r="S2" s="3">
        <v>8</v>
      </c>
      <c r="T2" s="4">
        <f t="shared" ref="T2:T36" si="1">SUM(E2:S2)</f>
        <v>75</v>
      </c>
      <c r="U2" s="44">
        <v>1</v>
      </c>
      <c r="V2" s="44"/>
    </row>
    <row r="3" spans="1:22" s="168" customFormat="1" ht="25.15" customHeight="1" thickBot="1" x14ac:dyDescent="0.3">
      <c r="A3" s="161" t="s">
        <v>15</v>
      </c>
      <c r="B3" s="169" t="s">
        <v>137</v>
      </c>
      <c r="C3" s="163">
        <v>2728</v>
      </c>
      <c r="D3" s="164" t="s">
        <v>15</v>
      </c>
      <c r="E3" s="165" t="str">
        <f t="shared" si="0"/>
        <v>٩</v>
      </c>
      <c r="F3" s="165">
        <v>9</v>
      </c>
      <c r="G3" s="165">
        <v>9</v>
      </c>
      <c r="H3" s="165">
        <v>9</v>
      </c>
      <c r="I3" s="165">
        <v>9</v>
      </c>
      <c r="J3" s="165">
        <v>9</v>
      </c>
      <c r="K3" s="165">
        <v>9</v>
      </c>
      <c r="L3" s="165" t="s">
        <v>56</v>
      </c>
      <c r="M3" s="165">
        <v>9</v>
      </c>
      <c r="N3" s="165">
        <v>9</v>
      </c>
      <c r="O3" s="165">
        <v>9</v>
      </c>
      <c r="P3" s="165">
        <v>8</v>
      </c>
      <c r="Q3" s="165">
        <v>8</v>
      </c>
      <c r="R3" s="165">
        <v>8</v>
      </c>
      <c r="S3" s="165">
        <v>8</v>
      </c>
      <c r="T3" s="165">
        <f t="shared" si="1"/>
        <v>113</v>
      </c>
      <c r="U3" s="167">
        <v>1</v>
      </c>
      <c r="V3" s="167" t="s">
        <v>56</v>
      </c>
    </row>
    <row r="4" spans="1:22" s="168" customFormat="1" ht="25.15" customHeight="1" thickBot="1" x14ac:dyDescent="0.3">
      <c r="A4" s="177" t="s">
        <v>16</v>
      </c>
      <c r="B4" s="169" t="s">
        <v>138</v>
      </c>
      <c r="C4" s="163">
        <v>2800</v>
      </c>
      <c r="D4" s="164" t="s">
        <v>16</v>
      </c>
      <c r="E4" s="165" t="str">
        <f t="shared" si="0"/>
        <v>٤</v>
      </c>
      <c r="F4" s="165">
        <v>4</v>
      </c>
      <c r="G4" s="165">
        <v>7</v>
      </c>
      <c r="H4" s="165">
        <v>9</v>
      </c>
      <c r="I4" s="165">
        <v>4</v>
      </c>
      <c r="J4" s="165">
        <v>5</v>
      </c>
      <c r="K4" s="165">
        <v>6</v>
      </c>
      <c r="L4" s="165" t="s">
        <v>56</v>
      </c>
      <c r="M4" s="165">
        <v>7</v>
      </c>
      <c r="N4" s="165">
        <v>5</v>
      </c>
      <c r="O4" s="165">
        <v>6</v>
      </c>
      <c r="P4" s="165">
        <v>7</v>
      </c>
      <c r="Q4" s="165">
        <v>7</v>
      </c>
      <c r="R4" s="165">
        <v>8</v>
      </c>
      <c r="S4" s="165">
        <v>8</v>
      </c>
      <c r="T4" s="165">
        <f t="shared" si="1"/>
        <v>83</v>
      </c>
      <c r="U4" s="167">
        <v>4</v>
      </c>
      <c r="V4" s="167" t="s">
        <v>56</v>
      </c>
    </row>
    <row r="5" spans="1:22" s="1" customFormat="1" ht="25.15" customHeight="1" thickBot="1" x14ac:dyDescent="0.3">
      <c r="A5" s="77" t="s">
        <v>17</v>
      </c>
      <c r="B5" s="124" t="s">
        <v>139</v>
      </c>
      <c r="C5" s="85">
        <v>2691</v>
      </c>
      <c r="D5" s="19" t="s">
        <v>17</v>
      </c>
      <c r="E5" s="3" t="str">
        <f t="shared" si="0"/>
        <v>٩</v>
      </c>
      <c r="F5" s="3">
        <v>9</v>
      </c>
      <c r="G5" s="3">
        <v>9</v>
      </c>
      <c r="H5" s="3">
        <v>9</v>
      </c>
      <c r="I5" s="3">
        <v>7</v>
      </c>
      <c r="J5" s="3">
        <v>8</v>
      </c>
      <c r="K5" s="3">
        <v>9</v>
      </c>
      <c r="L5" s="3" t="s">
        <v>56</v>
      </c>
      <c r="M5" s="3">
        <v>9</v>
      </c>
      <c r="N5" s="3">
        <v>9</v>
      </c>
      <c r="O5" s="3">
        <v>8</v>
      </c>
      <c r="P5" s="3">
        <v>8</v>
      </c>
      <c r="Q5" s="3">
        <v>8</v>
      </c>
      <c r="R5" s="3">
        <v>8</v>
      </c>
      <c r="S5" s="3">
        <v>8</v>
      </c>
      <c r="T5" s="4">
        <f t="shared" si="1"/>
        <v>109</v>
      </c>
      <c r="U5" s="44">
        <v>2</v>
      </c>
      <c r="V5" s="44" t="s">
        <v>56</v>
      </c>
    </row>
    <row r="6" spans="1:22" s="1" customFormat="1" ht="25.15" customHeight="1" thickBot="1" x14ac:dyDescent="0.3">
      <c r="A6" s="83" t="s">
        <v>18</v>
      </c>
      <c r="B6" s="124" t="s">
        <v>140</v>
      </c>
      <c r="C6" s="85">
        <v>2693</v>
      </c>
      <c r="D6" s="19" t="s">
        <v>18</v>
      </c>
      <c r="E6" s="3" t="str">
        <f t="shared" si="0"/>
        <v>٩</v>
      </c>
      <c r="F6" s="3">
        <v>9</v>
      </c>
      <c r="G6" s="3">
        <v>7</v>
      </c>
      <c r="H6" s="3">
        <v>8</v>
      </c>
      <c r="I6" s="3">
        <v>7</v>
      </c>
      <c r="J6" s="3">
        <v>6</v>
      </c>
      <c r="K6" s="3">
        <v>8</v>
      </c>
      <c r="L6" s="3" t="s">
        <v>56</v>
      </c>
      <c r="M6" s="3">
        <v>4</v>
      </c>
      <c r="N6" s="3">
        <v>5</v>
      </c>
      <c r="O6" s="3">
        <v>9</v>
      </c>
      <c r="P6" s="3">
        <v>7</v>
      </c>
      <c r="Q6" s="3">
        <v>8</v>
      </c>
      <c r="R6" s="3">
        <v>8</v>
      </c>
      <c r="S6" s="3">
        <v>8</v>
      </c>
      <c r="T6" s="4">
        <f t="shared" si="1"/>
        <v>94</v>
      </c>
      <c r="U6" s="44">
        <v>1</v>
      </c>
      <c r="V6" s="44" t="s">
        <v>56</v>
      </c>
    </row>
    <row r="7" spans="1:22" s="1" customFormat="1" ht="25.15" customHeight="1" thickBot="1" x14ac:dyDescent="0.3">
      <c r="A7" s="77" t="s">
        <v>19</v>
      </c>
      <c r="B7" s="124" t="s">
        <v>141</v>
      </c>
      <c r="C7" s="85">
        <v>2731</v>
      </c>
      <c r="D7" s="19" t="s">
        <v>19</v>
      </c>
      <c r="E7" s="3" t="str">
        <f t="shared" si="0"/>
        <v>٨</v>
      </c>
      <c r="F7" s="3">
        <v>8</v>
      </c>
      <c r="G7" s="3">
        <v>7</v>
      </c>
      <c r="H7" s="3">
        <v>9</v>
      </c>
      <c r="I7" s="3">
        <v>7</v>
      </c>
      <c r="J7" s="3">
        <v>5</v>
      </c>
      <c r="K7" s="3">
        <v>6</v>
      </c>
      <c r="L7" s="3" t="s">
        <v>56</v>
      </c>
      <c r="M7" s="3">
        <v>9</v>
      </c>
      <c r="N7" s="3">
        <v>9</v>
      </c>
      <c r="O7" s="3">
        <v>8</v>
      </c>
      <c r="P7" s="3">
        <v>9</v>
      </c>
      <c r="Q7" s="3">
        <v>8</v>
      </c>
      <c r="R7" s="3">
        <v>7</v>
      </c>
      <c r="S7" s="3">
        <v>8</v>
      </c>
      <c r="T7" s="4">
        <f t="shared" si="1"/>
        <v>100</v>
      </c>
      <c r="U7" s="44" t="s">
        <v>56</v>
      </c>
      <c r="V7" s="44" t="s">
        <v>56</v>
      </c>
    </row>
    <row r="8" spans="1:22" s="1" customFormat="1" ht="25.15" customHeight="1" thickBot="1" x14ac:dyDescent="0.3">
      <c r="A8" s="83" t="s">
        <v>20</v>
      </c>
      <c r="B8" s="124" t="s">
        <v>142</v>
      </c>
      <c r="C8" s="85">
        <v>2694</v>
      </c>
      <c r="D8" s="19" t="s">
        <v>20</v>
      </c>
      <c r="E8" s="3" t="str">
        <f t="shared" si="0"/>
        <v>٨</v>
      </c>
      <c r="F8" s="3">
        <v>8</v>
      </c>
      <c r="G8" s="3">
        <v>7</v>
      </c>
      <c r="H8" s="3">
        <v>8</v>
      </c>
      <c r="I8" s="3">
        <v>7</v>
      </c>
      <c r="J8" s="3">
        <v>9</v>
      </c>
      <c r="K8" s="3">
        <v>9</v>
      </c>
      <c r="L8" s="3" t="s">
        <v>56</v>
      </c>
      <c r="M8" s="3">
        <v>8</v>
      </c>
      <c r="N8" s="3">
        <v>6</v>
      </c>
      <c r="O8" s="3">
        <v>8</v>
      </c>
      <c r="P8" s="3">
        <v>8</v>
      </c>
      <c r="Q8" s="3">
        <v>8</v>
      </c>
      <c r="R8" s="3">
        <v>8</v>
      </c>
      <c r="S8" s="3">
        <v>8</v>
      </c>
      <c r="T8" s="4">
        <f t="shared" si="1"/>
        <v>102</v>
      </c>
      <c r="U8" s="44" t="s">
        <v>56</v>
      </c>
      <c r="V8" s="44" t="s">
        <v>56</v>
      </c>
    </row>
    <row r="9" spans="1:22" s="1" customFormat="1" ht="25.15" customHeight="1" thickBot="1" x14ac:dyDescent="0.3">
      <c r="A9" s="83" t="s">
        <v>21</v>
      </c>
      <c r="B9" s="124" t="s">
        <v>143</v>
      </c>
      <c r="C9" s="85">
        <v>2828</v>
      </c>
      <c r="D9" s="19" t="s">
        <v>21</v>
      </c>
      <c r="E9" s="3" t="str">
        <f t="shared" si="0"/>
        <v>٩</v>
      </c>
      <c r="F9" s="3">
        <v>9</v>
      </c>
      <c r="G9" s="3">
        <v>9</v>
      </c>
      <c r="H9" s="3">
        <v>9</v>
      </c>
      <c r="I9" s="3">
        <v>9</v>
      </c>
      <c r="J9" s="3">
        <v>9</v>
      </c>
      <c r="K9" s="3">
        <v>9</v>
      </c>
      <c r="L9" s="3" t="s">
        <v>56</v>
      </c>
      <c r="M9" s="3">
        <v>9</v>
      </c>
      <c r="N9" s="3">
        <v>9</v>
      </c>
      <c r="O9" s="3">
        <v>9</v>
      </c>
      <c r="P9" s="3">
        <v>9</v>
      </c>
      <c r="Q9" s="3">
        <v>8</v>
      </c>
      <c r="R9" s="3">
        <v>8</v>
      </c>
      <c r="S9" s="3">
        <v>8</v>
      </c>
      <c r="T9" s="4">
        <f t="shared" si="1"/>
        <v>114</v>
      </c>
      <c r="U9" s="44" t="s">
        <v>56</v>
      </c>
      <c r="V9" s="44" t="s">
        <v>56</v>
      </c>
    </row>
    <row r="10" spans="1:22" s="183" customFormat="1" ht="25.15" customHeight="1" thickBot="1" x14ac:dyDescent="0.3">
      <c r="A10" s="178" t="s">
        <v>22</v>
      </c>
      <c r="B10" s="196" t="s">
        <v>168</v>
      </c>
      <c r="C10" s="179">
        <v>2656</v>
      </c>
      <c r="D10" s="180" t="s">
        <v>22</v>
      </c>
      <c r="E10" s="181" t="str">
        <f t="shared" si="0"/>
        <v>٥</v>
      </c>
      <c r="F10" s="181">
        <v>5</v>
      </c>
      <c r="G10" s="181">
        <v>8</v>
      </c>
      <c r="H10" s="181">
        <v>8</v>
      </c>
      <c r="I10" s="181">
        <v>4</v>
      </c>
      <c r="J10" s="181">
        <v>6</v>
      </c>
      <c r="K10" s="181">
        <v>6</v>
      </c>
      <c r="L10" s="181" t="s">
        <v>56</v>
      </c>
      <c r="M10" s="181">
        <v>7</v>
      </c>
      <c r="N10" s="181">
        <v>4</v>
      </c>
      <c r="O10" s="181">
        <v>7</v>
      </c>
      <c r="P10" s="181">
        <v>7</v>
      </c>
      <c r="Q10" s="181">
        <v>7</v>
      </c>
      <c r="R10" s="181">
        <v>6</v>
      </c>
      <c r="S10" s="181">
        <v>6</v>
      </c>
      <c r="T10" s="181">
        <f t="shared" si="1"/>
        <v>81</v>
      </c>
      <c r="U10" s="182">
        <v>6</v>
      </c>
      <c r="V10" s="182">
        <v>7</v>
      </c>
    </row>
    <row r="11" spans="1:22" s="1" customFormat="1" ht="25.15" customHeight="1" thickBot="1" x14ac:dyDescent="0.3">
      <c r="A11" s="65">
        <v>10</v>
      </c>
      <c r="B11" s="124" t="s">
        <v>144</v>
      </c>
      <c r="C11" s="85">
        <v>2695</v>
      </c>
      <c r="D11" s="19" t="s">
        <v>23</v>
      </c>
      <c r="E11" s="3" t="str">
        <f t="shared" si="0"/>
        <v>٨</v>
      </c>
      <c r="F11" s="3">
        <v>8</v>
      </c>
      <c r="G11" s="3">
        <v>7</v>
      </c>
      <c r="H11" s="3">
        <v>8</v>
      </c>
      <c r="I11" s="3">
        <v>7</v>
      </c>
      <c r="J11" s="3">
        <v>8</v>
      </c>
      <c r="K11" s="3">
        <v>9</v>
      </c>
      <c r="L11" s="3" t="s">
        <v>56</v>
      </c>
      <c r="M11" s="3">
        <v>9</v>
      </c>
      <c r="N11" s="3">
        <v>4</v>
      </c>
      <c r="O11" s="3">
        <v>8</v>
      </c>
      <c r="P11" s="3">
        <v>9</v>
      </c>
      <c r="Q11" s="3">
        <v>8</v>
      </c>
      <c r="R11" s="3">
        <v>8</v>
      </c>
      <c r="S11" s="3">
        <v>8</v>
      </c>
      <c r="T11" s="4">
        <f t="shared" si="1"/>
        <v>101</v>
      </c>
      <c r="U11" s="44">
        <v>1</v>
      </c>
      <c r="V11" s="44" t="s">
        <v>56</v>
      </c>
    </row>
    <row r="12" spans="1:22" s="59" customFormat="1" ht="25.15" customHeight="1" thickBot="1" x14ac:dyDescent="0.3">
      <c r="A12" s="77">
        <v>11</v>
      </c>
      <c r="B12" s="149" t="s">
        <v>145</v>
      </c>
      <c r="C12" s="59">
        <v>2538</v>
      </c>
      <c r="D12" s="150" t="s">
        <v>24</v>
      </c>
      <c r="E12" s="151" t="str">
        <f t="shared" si="0"/>
        <v>٦</v>
      </c>
      <c r="F12" s="151">
        <v>6</v>
      </c>
      <c r="G12" s="151">
        <v>4</v>
      </c>
      <c r="H12" s="151">
        <v>7</v>
      </c>
      <c r="I12" s="151">
        <v>4</v>
      </c>
      <c r="J12" s="151">
        <v>5</v>
      </c>
      <c r="K12" s="151">
        <v>6</v>
      </c>
      <c r="L12" s="151" t="s">
        <v>56</v>
      </c>
      <c r="M12" s="151">
        <v>4</v>
      </c>
      <c r="N12" s="151">
        <v>4</v>
      </c>
      <c r="O12" s="151">
        <v>5</v>
      </c>
      <c r="P12" s="151">
        <v>8</v>
      </c>
      <c r="Q12" s="151">
        <v>7</v>
      </c>
      <c r="R12" s="151">
        <v>8</v>
      </c>
      <c r="S12" s="151">
        <v>8</v>
      </c>
      <c r="T12" s="151">
        <f t="shared" si="1"/>
        <v>76</v>
      </c>
      <c r="U12" s="152" t="s">
        <v>56</v>
      </c>
      <c r="V12" s="152" t="s">
        <v>56</v>
      </c>
    </row>
    <row r="13" spans="1:22" s="168" customFormat="1" ht="25.15" customHeight="1" thickBot="1" x14ac:dyDescent="0.3">
      <c r="A13" s="161">
        <v>12</v>
      </c>
      <c r="B13" s="169" t="s">
        <v>146</v>
      </c>
      <c r="C13" s="163">
        <v>2767</v>
      </c>
      <c r="D13" s="164" t="s">
        <v>25</v>
      </c>
      <c r="E13" s="165" t="str">
        <f t="shared" si="0"/>
        <v>٩</v>
      </c>
      <c r="F13" s="165">
        <v>9</v>
      </c>
      <c r="G13" s="165">
        <v>9</v>
      </c>
      <c r="H13" s="165">
        <v>9</v>
      </c>
      <c r="I13" s="165">
        <v>8</v>
      </c>
      <c r="J13" s="165">
        <v>9</v>
      </c>
      <c r="K13" s="165">
        <v>9</v>
      </c>
      <c r="L13" s="165" t="s">
        <v>56</v>
      </c>
      <c r="M13" s="165">
        <v>9</v>
      </c>
      <c r="N13" s="165">
        <v>9</v>
      </c>
      <c r="O13" s="165">
        <v>9</v>
      </c>
      <c r="P13" s="165">
        <v>9</v>
      </c>
      <c r="Q13" s="165">
        <v>8</v>
      </c>
      <c r="R13" s="165">
        <v>9</v>
      </c>
      <c r="S13" s="165">
        <v>8</v>
      </c>
      <c r="T13" s="165">
        <f t="shared" si="1"/>
        <v>114</v>
      </c>
      <c r="U13" s="167">
        <v>1</v>
      </c>
      <c r="V13" s="167" t="s">
        <v>56</v>
      </c>
    </row>
    <row r="14" spans="1:22" s="1" customFormat="1" ht="25.15" customHeight="1" thickBot="1" x14ac:dyDescent="0.3">
      <c r="A14" s="65">
        <v>13</v>
      </c>
      <c r="B14" s="124" t="s">
        <v>147</v>
      </c>
      <c r="C14" s="85">
        <v>2735</v>
      </c>
      <c r="D14" s="19" t="s">
        <v>26</v>
      </c>
      <c r="E14" s="3" t="str">
        <f t="shared" si="0"/>
        <v>٩</v>
      </c>
      <c r="F14" s="3">
        <v>9</v>
      </c>
      <c r="G14" s="3">
        <v>9</v>
      </c>
      <c r="H14" s="3">
        <v>9</v>
      </c>
      <c r="I14" s="3">
        <v>8</v>
      </c>
      <c r="J14" s="3">
        <v>9</v>
      </c>
      <c r="K14" s="3">
        <v>9</v>
      </c>
      <c r="L14" s="3" t="s">
        <v>56</v>
      </c>
      <c r="M14" s="3">
        <v>9</v>
      </c>
      <c r="N14" s="3">
        <v>9</v>
      </c>
      <c r="O14" s="3">
        <v>8</v>
      </c>
      <c r="P14" s="3">
        <v>9</v>
      </c>
      <c r="Q14" s="3">
        <v>8</v>
      </c>
      <c r="R14" s="3">
        <v>8</v>
      </c>
      <c r="S14" s="3">
        <v>8</v>
      </c>
      <c r="T14" s="4">
        <f t="shared" si="1"/>
        <v>112</v>
      </c>
      <c r="U14" s="44" t="s">
        <v>56</v>
      </c>
      <c r="V14" s="44" t="s">
        <v>56</v>
      </c>
    </row>
    <row r="15" spans="1:22" s="1" customFormat="1" ht="25.15" customHeight="1" thickBot="1" x14ac:dyDescent="0.3">
      <c r="A15" s="65">
        <v>14</v>
      </c>
      <c r="B15" s="124" t="s">
        <v>148</v>
      </c>
      <c r="C15" s="85">
        <v>2894</v>
      </c>
      <c r="D15" s="19" t="s">
        <v>27</v>
      </c>
      <c r="E15" s="3" t="str">
        <f t="shared" si="0"/>
        <v>٨</v>
      </c>
      <c r="F15" s="3">
        <v>8</v>
      </c>
      <c r="G15" s="3">
        <v>9</v>
      </c>
      <c r="H15" s="3">
        <v>9</v>
      </c>
      <c r="I15" s="3">
        <v>8</v>
      </c>
      <c r="J15" s="3">
        <v>9</v>
      </c>
      <c r="K15" s="3">
        <v>9</v>
      </c>
      <c r="L15" s="3" t="s">
        <v>56</v>
      </c>
      <c r="M15" s="3">
        <v>7</v>
      </c>
      <c r="N15" s="3">
        <v>9</v>
      </c>
      <c r="O15" s="3">
        <v>9</v>
      </c>
      <c r="P15" s="3">
        <v>8</v>
      </c>
      <c r="Q15" s="3">
        <v>8</v>
      </c>
      <c r="R15" s="3">
        <v>9</v>
      </c>
      <c r="S15" s="3">
        <v>8</v>
      </c>
      <c r="T15" s="4">
        <f t="shared" si="1"/>
        <v>110</v>
      </c>
      <c r="U15" s="44">
        <v>5</v>
      </c>
      <c r="V15" s="44">
        <v>1</v>
      </c>
    </row>
    <row r="16" spans="1:22" s="1" customFormat="1" ht="25.15" customHeight="1" thickBot="1" x14ac:dyDescent="0.3">
      <c r="A16" s="65">
        <v>15</v>
      </c>
      <c r="B16" s="124" t="s">
        <v>149</v>
      </c>
      <c r="C16" s="85">
        <v>2834</v>
      </c>
      <c r="D16" s="19" t="s">
        <v>28</v>
      </c>
      <c r="E16" s="3" t="str">
        <f t="shared" si="0"/>
        <v>٩</v>
      </c>
      <c r="F16" s="3">
        <v>9</v>
      </c>
      <c r="G16" s="3">
        <v>9</v>
      </c>
      <c r="H16" s="3">
        <v>9</v>
      </c>
      <c r="I16" s="3">
        <v>7</v>
      </c>
      <c r="J16" s="3">
        <v>7</v>
      </c>
      <c r="K16" s="3">
        <v>9</v>
      </c>
      <c r="L16" s="3" t="s">
        <v>56</v>
      </c>
      <c r="M16" s="3">
        <v>7</v>
      </c>
      <c r="N16" s="3">
        <v>9</v>
      </c>
      <c r="O16" s="3">
        <v>8</v>
      </c>
      <c r="P16" s="3">
        <v>7</v>
      </c>
      <c r="Q16" s="3">
        <v>8</v>
      </c>
      <c r="R16" s="3">
        <v>8</v>
      </c>
      <c r="S16" s="3">
        <v>8</v>
      </c>
      <c r="T16" s="4">
        <f t="shared" si="1"/>
        <v>105</v>
      </c>
      <c r="U16" s="44" t="s">
        <v>56</v>
      </c>
      <c r="V16" s="44">
        <v>1</v>
      </c>
    </row>
    <row r="17" spans="1:22" s="168" customFormat="1" ht="25.15" customHeight="1" thickBot="1" x14ac:dyDescent="0.3">
      <c r="A17" s="161">
        <v>16</v>
      </c>
      <c r="B17" s="184" t="s">
        <v>169</v>
      </c>
      <c r="C17" s="163">
        <v>2772</v>
      </c>
      <c r="D17" s="164" t="s">
        <v>29</v>
      </c>
      <c r="E17" s="165" t="str">
        <f t="shared" si="0"/>
        <v>٩</v>
      </c>
      <c r="F17" s="165">
        <v>9</v>
      </c>
      <c r="G17" s="165">
        <v>8</v>
      </c>
      <c r="H17" s="165">
        <v>9</v>
      </c>
      <c r="I17" s="165">
        <v>7</v>
      </c>
      <c r="J17" s="165">
        <v>7</v>
      </c>
      <c r="K17" s="165">
        <v>8</v>
      </c>
      <c r="L17" s="165" t="s">
        <v>56</v>
      </c>
      <c r="M17" s="165">
        <v>8</v>
      </c>
      <c r="N17" s="165">
        <v>9</v>
      </c>
      <c r="O17" s="165">
        <v>8</v>
      </c>
      <c r="P17" s="165">
        <v>9</v>
      </c>
      <c r="Q17" s="165">
        <v>8</v>
      </c>
      <c r="R17" s="165">
        <v>9</v>
      </c>
      <c r="S17" s="165">
        <v>8</v>
      </c>
      <c r="T17" s="165">
        <f t="shared" si="1"/>
        <v>107</v>
      </c>
      <c r="U17" s="167">
        <v>4</v>
      </c>
      <c r="V17" s="167">
        <v>3</v>
      </c>
    </row>
    <row r="18" spans="1:22" s="1" customFormat="1" ht="25.15" customHeight="1" thickBot="1" x14ac:dyDescent="0.3">
      <c r="A18" s="129">
        <v>17</v>
      </c>
      <c r="B18" s="124" t="s">
        <v>150</v>
      </c>
      <c r="C18" s="85">
        <v>2810</v>
      </c>
      <c r="D18" s="19" t="s">
        <v>30</v>
      </c>
      <c r="E18" s="3" t="str">
        <f t="shared" si="0"/>
        <v>٩</v>
      </c>
      <c r="F18" s="3">
        <v>9</v>
      </c>
      <c r="G18" s="3">
        <v>9</v>
      </c>
      <c r="H18" s="3">
        <v>9</v>
      </c>
      <c r="I18" s="3">
        <v>9</v>
      </c>
      <c r="J18" s="3">
        <v>8</v>
      </c>
      <c r="K18" s="3">
        <v>9</v>
      </c>
      <c r="L18" s="3" t="s">
        <v>56</v>
      </c>
      <c r="M18" s="3">
        <v>6</v>
      </c>
      <c r="N18" s="3">
        <v>9</v>
      </c>
      <c r="O18" s="3">
        <v>9</v>
      </c>
      <c r="P18" s="3">
        <v>7</v>
      </c>
      <c r="Q18" s="3">
        <v>8</v>
      </c>
      <c r="R18" s="3">
        <v>9</v>
      </c>
      <c r="S18" s="3">
        <v>7</v>
      </c>
      <c r="T18" s="4">
        <f t="shared" si="1"/>
        <v>108</v>
      </c>
      <c r="U18" s="44">
        <v>1</v>
      </c>
      <c r="V18" s="44" t="s">
        <v>56</v>
      </c>
    </row>
    <row r="19" spans="1:22" s="1" customFormat="1" ht="25.15" customHeight="1" thickBot="1" x14ac:dyDescent="0.3">
      <c r="A19" s="130">
        <v>18</v>
      </c>
      <c r="B19" s="124" t="s">
        <v>151</v>
      </c>
      <c r="C19" s="85">
        <v>2742</v>
      </c>
      <c r="D19" s="19" t="s">
        <v>31</v>
      </c>
      <c r="E19" s="3" t="str">
        <f t="shared" si="0"/>
        <v>٩</v>
      </c>
      <c r="F19" s="3">
        <v>9</v>
      </c>
      <c r="G19" s="3">
        <v>9</v>
      </c>
      <c r="H19" s="3">
        <v>9</v>
      </c>
      <c r="I19" s="3">
        <v>7</v>
      </c>
      <c r="J19" s="3">
        <v>9</v>
      </c>
      <c r="K19" s="3">
        <v>9</v>
      </c>
      <c r="L19" s="3" t="s">
        <v>56</v>
      </c>
      <c r="M19" s="3">
        <v>9</v>
      </c>
      <c r="N19" s="3">
        <v>8</v>
      </c>
      <c r="O19" s="3">
        <v>8</v>
      </c>
      <c r="P19" s="3">
        <v>8</v>
      </c>
      <c r="Q19" s="3">
        <v>8</v>
      </c>
      <c r="R19" s="3">
        <v>9</v>
      </c>
      <c r="S19" s="3">
        <v>8</v>
      </c>
      <c r="T19" s="4">
        <f t="shared" si="1"/>
        <v>110</v>
      </c>
      <c r="U19" s="44">
        <v>1</v>
      </c>
      <c r="V19" s="44" t="s">
        <v>56</v>
      </c>
    </row>
    <row r="20" spans="1:22" s="59" customFormat="1" ht="25.15" customHeight="1" thickBot="1" x14ac:dyDescent="0.3">
      <c r="A20" s="153">
        <v>19</v>
      </c>
      <c r="B20" s="149" t="s">
        <v>152</v>
      </c>
      <c r="C20" s="84">
        <v>2707</v>
      </c>
      <c r="D20" s="150" t="s">
        <v>32</v>
      </c>
      <c r="E20" s="151" t="str">
        <f t="shared" si="0"/>
        <v>٩</v>
      </c>
      <c r="F20" s="151">
        <v>9</v>
      </c>
      <c r="G20" s="151">
        <v>8</v>
      </c>
      <c r="H20" s="151">
        <v>9</v>
      </c>
      <c r="I20" s="151">
        <v>8</v>
      </c>
      <c r="J20" s="151">
        <v>9</v>
      </c>
      <c r="K20" s="151">
        <v>8</v>
      </c>
      <c r="L20" s="151" t="s">
        <v>56</v>
      </c>
      <c r="M20" s="151">
        <v>9</v>
      </c>
      <c r="N20" s="151">
        <v>9</v>
      </c>
      <c r="O20" s="151">
        <v>9</v>
      </c>
      <c r="P20" s="151">
        <v>7</v>
      </c>
      <c r="Q20" s="151">
        <v>8</v>
      </c>
      <c r="R20" s="151">
        <v>8</v>
      </c>
      <c r="S20" s="151">
        <v>8</v>
      </c>
      <c r="T20" s="151">
        <f t="shared" si="1"/>
        <v>109</v>
      </c>
      <c r="U20" s="152" t="s">
        <v>56</v>
      </c>
      <c r="V20" s="152" t="s">
        <v>56</v>
      </c>
    </row>
    <row r="21" spans="1:22" s="1" customFormat="1" ht="25.15" customHeight="1" thickBot="1" x14ac:dyDescent="0.3">
      <c r="A21" s="130">
        <v>20</v>
      </c>
      <c r="B21" s="124" t="s">
        <v>153</v>
      </c>
      <c r="C21" s="85">
        <v>2811</v>
      </c>
      <c r="D21" s="19" t="s">
        <v>33</v>
      </c>
      <c r="E21" s="3" t="str">
        <f t="shared" si="0"/>
        <v>٤</v>
      </c>
      <c r="F21" s="3">
        <v>4</v>
      </c>
      <c r="G21" s="3">
        <v>7</v>
      </c>
      <c r="H21" s="3">
        <v>9</v>
      </c>
      <c r="I21" s="3">
        <v>5</v>
      </c>
      <c r="J21" s="3">
        <v>5</v>
      </c>
      <c r="K21" s="3">
        <v>6</v>
      </c>
      <c r="L21" s="3" t="s">
        <v>56</v>
      </c>
      <c r="M21" s="3">
        <v>8</v>
      </c>
      <c r="N21" s="3">
        <v>5</v>
      </c>
      <c r="O21" s="3">
        <v>7</v>
      </c>
      <c r="P21" s="3">
        <v>9</v>
      </c>
      <c r="Q21" s="3">
        <v>8</v>
      </c>
      <c r="R21" s="3">
        <v>9</v>
      </c>
      <c r="S21" s="3">
        <v>8</v>
      </c>
      <c r="T21" s="4">
        <f t="shared" si="1"/>
        <v>90</v>
      </c>
      <c r="U21" s="44">
        <v>1</v>
      </c>
      <c r="V21" s="44" t="s">
        <v>56</v>
      </c>
    </row>
    <row r="22" spans="1:22" s="168" customFormat="1" ht="26.1" customHeight="1" thickBot="1" x14ac:dyDescent="0.3">
      <c r="A22" s="175">
        <v>21</v>
      </c>
      <c r="B22" s="169" t="s">
        <v>154</v>
      </c>
      <c r="C22" s="185">
        <v>2512</v>
      </c>
      <c r="D22" s="164" t="s">
        <v>34</v>
      </c>
      <c r="E22" s="165" t="str">
        <f t="shared" si="0"/>
        <v>٨</v>
      </c>
      <c r="F22" s="165">
        <v>8</v>
      </c>
      <c r="G22" s="165">
        <v>4</v>
      </c>
      <c r="H22" s="165">
        <v>7</v>
      </c>
      <c r="I22" s="165">
        <v>4</v>
      </c>
      <c r="J22" s="165">
        <v>4</v>
      </c>
      <c r="K22" s="165">
        <v>5</v>
      </c>
      <c r="L22" s="165" t="s">
        <v>56</v>
      </c>
      <c r="M22" s="165">
        <v>6</v>
      </c>
      <c r="N22" s="165">
        <v>5</v>
      </c>
      <c r="O22" s="165">
        <v>6</v>
      </c>
      <c r="P22" s="165">
        <v>7</v>
      </c>
      <c r="Q22" s="165">
        <v>7</v>
      </c>
      <c r="R22" s="165">
        <v>7</v>
      </c>
      <c r="S22" s="165">
        <v>7</v>
      </c>
      <c r="T22" s="165">
        <f t="shared" si="1"/>
        <v>77</v>
      </c>
      <c r="U22" s="167">
        <v>2</v>
      </c>
      <c r="V22" s="167">
        <v>2</v>
      </c>
    </row>
    <row r="23" spans="1:22" s="1" customFormat="1" ht="25.15" customHeight="1" thickBot="1" x14ac:dyDescent="0.3">
      <c r="A23" s="130">
        <v>22</v>
      </c>
      <c r="B23" s="124" t="s">
        <v>155</v>
      </c>
      <c r="C23" s="85">
        <v>2843</v>
      </c>
      <c r="D23" s="19" t="s">
        <v>35</v>
      </c>
      <c r="E23" s="3" t="str">
        <f t="shared" si="0"/>
        <v>٨</v>
      </c>
      <c r="F23" s="3">
        <v>8</v>
      </c>
      <c r="G23" s="3">
        <v>6</v>
      </c>
      <c r="H23" s="3">
        <v>9</v>
      </c>
      <c r="I23" s="3">
        <v>6</v>
      </c>
      <c r="J23" s="3">
        <v>7</v>
      </c>
      <c r="K23" s="3">
        <v>6</v>
      </c>
      <c r="L23" s="3" t="s">
        <v>56</v>
      </c>
      <c r="M23" s="3">
        <v>8</v>
      </c>
      <c r="N23" s="3">
        <v>9</v>
      </c>
      <c r="O23" s="3">
        <v>8</v>
      </c>
      <c r="P23" s="3">
        <v>9</v>
      </c>
      <c r="Q23" s="3">
        <v>7</v>
      </c>
      <c r="R23" s="3">
        <v>8</v>
      </c>
      <c r="S23" s="3">
        <v>8</v>
      </c>
      <c r="T23" s="4">
        <f t="shared" si="1"/>
        <v>99</v>
      </c>
      <c r="U23" s="44" t="s">
        <v>56</v>
      </c>
      <c r="V23" s="44" t="s">
        <v>56</v>
      </c>
    </row>
    <row r="24" spans="1:22" s="1" customFormat="1" ht="25.15" customHeight="1" thickBot="1" x14ac:dyDescent="0.3">
      <c r="A24" s="130">
        <v>23</v>
      </c>
      <c r="B24" s="124" t="s">
        <v>156</v>
      </c>
      <c r="C24" s="85">
        <v>2746</v>
      </c>
      <c r="D24" s="19" t="s">
        <v>36</v>
      </c>
      <c r="E24" s="3" t="str">
        <f>TEXT(F24,"[$-2000000]0")</f>
        <v>٩</v>
      </c>
      <c r="F24" s="3">
        <v>9</v>
      </c>
      <c r="G24" s="3">
        <v>9</v>
      </c>
      <c r="H24" s="3">
        <v>9</v>
      </c>
      <c r="I24" s="3">
        <v>7</v>
      </c>
      <c r="J24" s="3">
        <v>9</v>
      </c>
      <c r="K24" s="3">
        <v>9</v>
      </c>
      <c r="L24" s="3" t="s">
        <v>56</v>
      </c>
      <c r="M24" s="3">
        <v>9</v>
      </c>
      <c r="N24" s="3">
        <v>9</v>
      </c>
      <c r="O24" s="3">
        <v>9</v>
      </c>
      <c r="P24" s="3">
        <v>9</v>
      </c>
      <c r="Q24" s="3">
        <v>9</v>
      </c>
      <c r="R24" s="3">
        <v>9</v>
      </c>
      <c r="S24" s="3">
        <v>8</v>
      </c>
      <c r="T24" s="4">
        <f t="shared" si="1"/>
        <v>114</v>
      </c>
      <c r="U24" s="44" t="s">
        <v>56</v>
      </c>
      <c r="V24" s="44" t="s">
        <v>56</v>
      </c>
    </row>
    <row r="25" spans="1:22" s="1" customFormat="1" ht="25.15" customHeight="1" thickBot="1" x14ac:dyDescent="0.3">
      <c r="A25" s="130">
        <v>24</v>
      </c>
      <c r="B25" s="123" t="s">
        <v>157</v>
      </c>
      <c r="C25" s="85">
        <v>2709</v>
      </c>
      <c r="D25" s="19" t="s">
        <v>37</v>
      </c>
      <c r="E25" s="3" t="str">
        <f t="shared" si="0"/>
        <v>٥</v>
      </c>
      <c r="F25" s="3">
        <v>5</v>
      </c>
      <c r="G25" s="3">
        <v>9</v>
      </c>
      <c r="H25" s="3">
        <v>9</v>
      </c>
      <c r="I25" s="3">
        <v>4</v>
      </c>
      <c r="J25" s="3">
        <v>6</v>
      </c>
      <c r="K25" s="3">
        <v>7</v>
      </c>
      <c r="L25" s="3" t="s">
        <v>56</v>
      </c>
      <c r="M25" s="3">
        <v>8</v>
      </c>
      <c r="N25" s="3">
        <v>9</v>
      </c>
      <c r="O25" s="3">
        <v>7</v>
      </c>
      <c r="P25" s="3">
        <v>8</v>
      </c>
      <c r="Q25" s="3">
        <v>8</v>
      </c>
      <c r="R25" s="3">
        <v>8</v>
      </c>
      <c r="S25" s="3">
        <v>8</v>
      </c>
      <c r="T25" s="4">
        <f t="shared" si="1"/>
        <v>96</v>
      </c>
      <c r="U25" s="44" t="s">
        <v>56</v>
      </c>
      <c r="V25" s="44" t="s">
        <v>56</v>
      </c>
    </row>
    <row r="26" spans="1:22" s="1" customFormat="1" ht="25.15" customHeight="1" thickBot="1" x14ac:dyDescent="0.3">
      <c r="A26" s="130">
        <v>25</v>
      </c>
      <c r="B26" s="124" t="s">
        <v>158</v>
      </c>
      <c r="C26" s="85">
        <v>2904</v>
      </c>
      <c r="D26" s="19" t="s">
        <v>38</v>
      </c>
      <c r="E26" s="3" t="str">
        <f t="shared" si="0"/>
        <v>٧</v>
      </c>
      <c r="F26" s="3">
        <v>7</v>
      </c>
      <c r="G26" s="3">
        <v>8</v>
      </c>
      <c r="H26" s="3">
        <v>9</v>
      </c>
      <c r="I26" s="3">
        <v>4</v>
      </c>
      <c r="J26" s="3">
        <v>8</v>
      </c>
      <c r="K26" s="3">
        <v>9</v>
      </c>
      <c r="L26" s="3" t="s">
        <v>56</v>
      </c>
      <c r="M26" s="3">
        <v>8</v>
      </c>
      <c r="N26" s="3">
        <v>4</v>
      </c>
      <c r="O26" s="3">
        <v>9</v>
      </c>
      <c r="P26" s="3">
        <v>8</v>
      </c>
      <c r="Q26" s="3">
        <v>8</v>
      </c>
      <c r="R26" s="3">
        <v>8</v>
      </c>
      <c r="S26" s="3">
        <v>7</v>
      </c>
      <c r="T26" s="4">
        <f t="shared" si="1"/>
        <v>97</v>
      </c>
      <c r="U26" s="44" t="s">
        <v>56</v>
      </c>
      <c r="V26" s="44" t="s">
        <v>56</v>
      </c>
    </row>
    <row r="27" spans="1:22" s="1" customFormat="1" ht="25.15" customHeight="1" thickBot="1" x14ac:dyDescent="0.3">
      <c r="A27" s="130">
        <v>26</v>
      </c>
      <c r="B27" s="124" t="s">
        <v>159</v>
      </c>
      <c r="C27" s="85">
        <v>2878</v>
      </c>
      <c r="D27" s="19" t="s">
        <v>39</v>
      </c>
      <c r="E27" s="3" t="str">
        <f t="shared" si="0"/>
        <v>٩</v>
      </c>
      <c r="F27" s="3">
        <v>9</v>
      </c>
      <c r="G27" s="3">
        <v>9</v>
      </c>
      <c r="H27" s="3">
        <v>9</v>
      </c>
      <c r="I27" s="3">
        <v>9</v>
      </c>
      <c r="J27" s="3">
        <v>9</v>
      </c>
      <c r="K27" s="3">
        <v>9</v>
      </c>
      <c r="L27" s="3" t="s">
        <v>56</v>
      </c>
      <c r="M27" s="3">
        <v>9</v>
      </c>
      <c r="N27" s="3">
        <v>9</v>
      </c>
      <c r="O27" s="3">
        <v>9</v>
      </c>
      <c r="P27" s="3">
        <v>9</v>
      </c>
      <c r="Q27" s="3">
        <v>9</v>
      </c>
      <c r="R27" s="3">
        <v>9</v>
      </c>
      <c r="S27" s="3">
        <v>8</v>
      </c>
      <c r="T27" s="4">
        <f t="shared" si="1"/>
        <v>116</v>
      </c>
      <c r="U27" s="44">
        <v>1</v>
      </c>
      <c r="V27" s="44" t="s">
        <v>56</v>
      </c>
    </row>
    <row r="28" spans="1:22" s="176" customFormat="1" ht="25.15" customHeight="1" thickBot="1" x14ac:dyDescent="0.3">
      <c r="A28" s="175">
        <v>27</v>
      </c>
      <c r="B28" s="169" t="s">
        <v>160</v>
      </c>
      <c r="C28" s="163">
        <v>2880</v>
      </c>
      <c r="D28" s="164" t="s">
        <v>40</v>
      </c>
      <c r="E28" s="165" t="str">
        <f t="shared" si="0"/>
        <v>٦</v>
      </c>
      <c r="F28" s="165">
        <v>6</v>
      </c>
      <c r="G28" s="165">
        <v>7</v>
      </c>
      <c r="H28" s="165">
        <v>9</v>
      </c>
      <c r="I28" s="165">
        <v>5</v>
      </c>
      <c r="J28" s="165">
        <v>4</v>
      </c>
      <c r="K28" s="165">
        <v>8</v>
      </c>
      <c r="L28" s="165" t="s">
        <v>56</v>
      </c>
      <c r="M28" s="165">
        <v>7</v>
      </c>
      <c r="N28" s="165">
        <v>7</v>
      </c>
      <c r="O28" s="165">
        <v>6</v>
      </c>
      <c r="P28" s="165">
        <v>8</v>
      </c>
      <c r="Q28" s="165">
        <v>7</v>
      </c>
      <c r="R28" s="165">
        <v>8</v>
      </c>
      <c r="S28" s="165">
        <v>8</v>
      </c>
      <c r="T28" s="165">
        <f t="shared" si="1"/>
        <v>90</v>
      </c>
      <c r="U28" s="167" t="s">
        <v>56</v>
      </c>
      <c r="V28" s="167">
        <v>2</v>
      </c>
    </row>
    <row r="29" spans="1:22" s="62" customFormat="1" ht="25.15" customHeight="1" thickBot="1" x14ac:dyDescent="0.3">
      <c r="A29" s="153">
        <v>28</v>
      </c>
      <c r="B29" s="149" t="s">
        <v>161</v>
      </c>
      <c r="C29" s="85">
        <v>2850</v>
      </c>
      <c r="D29" s="150" t="s">
        <v>41</v>
      </c>
      <c r="E29" s="151" t="str">
        <f t="shared" si="0"/>
        <v>٥</v>
      </c>
      <c r="F29" s="151">
        <v>5</v>
      </c>
      <c r="G29" s="151">
        <v>7</v>
      </c>
      <c r="H29" s="151">
        <v>9</v>
      </c>
      <c r="I29" s="151">
        <v>4</v>
      </c>
      <c r="J29" s="151">
        <v>6</v>
      </c>
      <c r="K29" s="151">
        <v>4</v>
      </c>
      <c r="L29" s="151" t="s">
        <v>56</v>
      </c>
      <c r="M29" s="151">
        <v>8</v>
      </c>
      <c r="N29" s="151">
        <v>7</v>
      </c>
      <c r="O29" s="151">
        <v>5</v>
      </c>
      <c r="P29" s="151">
        <v>8</v>
      </c>
      <c r="Q29" s="151">
        <v>8</v>
      </c>
      <c r="R29" s="151">
        <v>9</v>
      </c>
      <c r="S29" s="151">
        <v>8</v>
      </c>
      <c r="T29" s="151">
        <f t="shared" si="1"/>
        <v>88</v>
      </c>
      <c r="U29" s="152" t="s">
        <v>56</v>
      </c>
      <c r="V29" s="152" t="s">
        <v>56</v>
      </c>
    </row>
    <row r="30" spans="1:22" s="2" customFormat="1" ht="25.15" customHeight="1" thickBot="1" x14ac:dyDescent="0.3">
      <c r="A30" s="130">
        <v>29</v>
      </c>
      <c r="B30" s="124" t="s">
        <v>162</v>
      </c>
      <c r="C30" s="85">
        <v>2752</v>
      </c>
      <c r="D30" s="19" t="s">
        <v>42</v>
      </c>
      <c r="E30" s="3" t="str">
        <f t="shared" si="0"/>
        <v>٧</v>
      </c>
      <c r="F30" s="3">
        <v>7</v>
      </c>
      <c r="G30" s="3">
        <v>9</v>
      </c>
      <c r="H30" s="3">
        <v>8</v>
      </c>
      <c r="I30" s="3">
        <v>4</v>
      </c>
      <c r="J30" s="3">
        <v>5</v>
      </c>
      <c r="K30" s="3">
        <v>6</v>
      </c>
      <c r="L30" s="3" t="s">
        <v>56</v>
      </c>
      <c r="M30" s="3">
        <v>5</v>
      </c>
      <c r="N30" s="3">
        <v>4</v>
      </c>
      <c r="O30" s="3">
        <v>7</v>
      </c>
      <c r="P30" s="3">
        <v>8</v>
      </c>
      <c r="Q30" s="3">
        <v>8</v>
      </c>
      <c r="R30" s="3">
        <v>9</v>
      </c>
      <c r="S30" s="3">
        <v>8</v>
      </c>
      <c r="T30" s="4">
        <f t="shared" si="1"/>
        <v>88</v>
      </c>
      <c r="U30" s="44" t="s">
        <v>56</v>
      </c>
      <c r="V30" s="44" t="s">
        <v>56</v>
      </c>
    </row>
    <row r="31" spans="1:22" s="2" customFormat="1" ht="25.15" customHeight="1" thickBot="1" x14ac:dyDescent="0.3">
      <c r="A31" s="130">
        <v>30</v>
      </c>
      <c r="B31" s="124" t="s">
        <v>163</v>
      </c>
      <c r="C31" s="85">
        <v>2910</v>
      </c>
      <c r="D31" s="19" t="s">
        <v>43</v>
      </c>
      <c r="E31" s="3" t="str">
        <f t="shared" si="0"/>
        <v>٦</v>
      </c>
      <c r="F31" s="3">
        <v>6</v>
      </c>
      <c r="G31" s="3">
        <v>6</v>
      </c>
      <c r="H31" s="3">
        <v>6</v>
      </c>
      <c r="I31" s="3">
        <v>4</v>
      </c>
      <c r="J31" s="3">
        <v>4</v>
      </c>
      <c r="K31" s="3">
        <v>6</v>
      </c>
      <c r="L31" s="3" t="s">
        <v>56</v>
      </c>
      <c r="M31" s="3">
        <v>6</v>
      </c>
      <c r="N31" s="3">
        <v>4</v>
      </c>
      <c r="O31" s="3">
        <v>5</v>
      </c>
      <c r="P31" s="3">
        <v>7</v>
      </c>
      <c r="Q31" s="3">
        <v>7</v>
      </c>
      <c r="R31" s="3">
        <v>8</v>
      </c>
      <c r="S31" s="3">
        <v>7</v>
      </c>
      <c r="T31" s="4">
        <f t="shared" si="1"/>
        <v>76</v>
      </c>
      <c r="U31" s="44" t="s">
        <v>56</v>
      </c>
      <c r="V31" s="44" t="s">
        <v>56</v>
      </c>
    </row>
    <row r="32" spans="1:22" s="62" customFormat="1" ht="25.15" customHeight="1" thickBot="1" x14ac:dyDescent="0.3">
      <c r="A32" s="153">
        <v>31</v>
      </c>
      <c r="B32" s="149" t="s">
        <v>164</v>
      </c>
      <c r="C32" s="84">
        <v>4267</v>
      </c>
      <c r="D32" s="150" t="s">
        <v>44</v>
      </c>
      <c r="E32" s="151" t="str">
        <f t="shared" si="0"/>
        <v>٦</v>
      </c>
      <c r="F32" s="151">
        <v>6</v>
      </c>
      <c r="G32" s="151">
        <v>4</v>
      </c>
      <c r="H32" s="151">
        <v>5</v>
      </c>
      <c r="I32" s="151">
        <v>4</v>
      </c>
      <c r="J32" s="151">
        <v>4</v>
      </c>
      <c r="K32" s="151">
        <v>6</v>
      </c>
      <c r="L32" s="151" t="s">
        <v>56</v>
      </c>
      <c r="M32" s="151">
        <v>5</v>
      </c>
      <c r="N32" s="151">
        <v>4</v>
      </c>
      <c r="O32" s="151">
        <v>5</v>
      </c>
      <c r="P32" s="151">
        <v>7</v>
      </c>
      <c r="Q32" s="151">
        <v>6</v>
      </c>
      <c r="R32" s="151">
        <v>7</v>
      </c>
      <c r="S32" s="151">
        <v>7</v>
      </c>
      <c r="T32" s="151">
        <f t="shared" si="1"/>
        <v>70</v>
      </c>
      <c r="U32" s="152" t="s">
        <v>56</v>
      </c>
      <c r="V32" s="152" t="s">
        <v>56</v>
      </c>
    </row>
    <row r="33" spans="1:22" s="2" customFormat="1" ht="25.15" customHeight="1" thickBot="1" x14ac:dyDescent="0.3">
      <c r="A33" s="130">
        <v>32</v>
      </c>
      <c r="B33" s="124" t="s">
        <v>165</v>
      </c>
      <c r="C33" s="85">
        <v>2882</v>
      </c>
      <c r="D33" s="19" t="s">
        <v>45</v>
      </c>
      <c r="E33" s="3" t="str">
        <f t="shared" si="0"/>
        <v>٥</v>
      </c>
      <c r="F33" s="3">
        <v>5</v>
      </c>
      <c r="G33" s="3">
        <v>5</v>
      </c>
      <c r="H33" s="3">
        <v>7</v>
      </c>
      <c r="I33" s="3">
        <v>6</v>
      </c>
      <c r="J33" s="3">
        <v>5</v>
      </c>
      <c r="K33" s="3">
        <v>8</v>
      </c>
      <c r="L33" s="3" t="s">
        <v>56</v>
      </c>
      <c r="M33" s="3">
        <v>8</v>
      </c>
      <c r="N33" s="3">
        <v>5</v>
      </c>
      <c r="O33" s="3">
        <v>8</v>
      </c>
      <c r="P33" s="3">
        <v>8</v>
      </c>
      <c r="Q33" s="3">
        <v>8</v>
      </c>
      <c r="R33" s="3">
        <v>8</v>
      </c>
      <c r="S33" s="3">
        <v>7</v>
      </c>
      <c r="T33" s="4">
        <f t="shared" si="1"/>
        <v>88</v>
      </c>
      <c r="U33" s="44" t="s">
        <v>56</v>
      </c>
      <c r="V33" s="44" t="s">
        <v>56</v>
      </c>
    </row>
    <row r="34" spans="1:22" s="176" customFormat="1" ht="25.15" customHeight="1" thickBot="1" x14ac:dyDescent="0.3">
      <c r="A34" s="175">
        <v>33</v>
      </c>
      <c r="B34" s="169" t="s">
        <v>166</v>
      </c>
      <c r="C34" s="163">
        <v>2720</v>
      </c>
      <c r="D34" s="164" t="s">
        <v>46</v>
      </c>
      <c r="E34" s="165" t="str">
        <f t="shared" si="0"/>
        <v>٧</v>
      </c>
      <c r="F34" s="165">
        <v>7</v>
      </c>
      <c r="G34" s="165">
        <v>6</v>
      </c>
      <c r="H34" s="165">
        <v>8</v>
      </c>
      <c r="I34" s="165">
        <v>5</v>
      </c>
      <c r="J34" s="165">
        <v>4</v>
      </c>
      <c r="K34" s="165">
        <v>8</v>
      </c>
      <c r="L34" s="165" t="s">
        <v>56</v>
      </c>
      <c r="M34" s="165">
        <v>7</v>
      </c>
      <c r="N34" s="165">
        <v>4</v>
      </c>
      <c r="O34" s="165">
        <v>7</v>
      </c>
      <c r="P34" s="165">
        <v>8</v>
      </c>
      <c r="Q34" s="165">
        <v>8</v>
      </c>
      <c r="R34" s="165">
        <v>8</v>
      </c>
      <c r="S34" s="165">
        <v>8</v>
      </c>
      <c r="T34" s="165">
        <f t="shared" si="1"/>
        <v>88</v>
      </c>
      <c r="U34" s="167">
        <v>2</v>
      </c>
      <c r="V34" s="167">
        <v>1</v>
      </c>
    </row>
    <row r="35" spans="1:22" s="2" customFormat="1" ht="25.15" customHeight="1" thickBot="1" x14ac:dyDescent="0.3">
      <c r="A35" s="130">
        <v>34</v>
      </c>
      <c r="B35" s="124" t="s">
        <v>167</v>
      </c>
      <c r="C35" s="85">
        <v>2851</v>
      </c>
      <c r="D35" s="19" t="s">
        <v>47</v>
      </c>
      <c r="E35" s="3" t="str">
        <f t="shared" si="0"/>
        <v>٩</v>
      </c>
      <c r="F35" s="3">
        <v>9</v>
      </c>
      <c r="G35" s="3">
        <v>7</v>
      </c>
      <c r="H35" s="3">
        <v>9</v>
      </c>
      <c r="I35" s="3">
        <v>5</v>
      </c>
      <c r="J35" s="3">
        <v>7</v>
      </c>
      <c r="K35" s="3">
        <v>9</v>
      </c>
      <c r="L35" s="3" t="s">
        <v>56</v>
      </c>
      <c r="M35" s="3">
        <v>7</v>
      </c>
      <c r="N35" s="3">
        <v>6</v>
      </c>
      <c r="O35" s="3">
        <v>7</v>
      </c>
      <c r="P35" s="3">
        <v>8</v>
      </c>
      <c r="Q35" s="3">
        <v>8</v>
      </c>
      <c r="R35" s="3">
        <v>8</v>
      </c>
      <c r="S35" s="3">
        <v>8</v>
      </c>
      <c r="T35" s="4">
        <f t="shared" si="1"/>
        <v>98</v>
      </c>
      <c r="U35" s="44">
        <v>6</v>
      </c>
      <c r="V35" s="44" t="s">
        <v>56</v>
      </c>
    </row>
    <row r="36" spans="1:22" s="9" customFormat="1" ht="25.15" customHeight="1" x14ac:dyDescent="0.25">
      <c r="A36" s="77"/>
      <c r="B36" s="10" t="s">
        <v>50</v>
      </c>
      <c r="C36" s="7"/>
      <c r="D36" s="7"/>
      <c r="E36" s="3" t="str">
        <f t="shared" si="0"/>
        <v>٢٥٣</v>
      </c>
      <c r="F36" s="38">
        <f t="shared" ref="F36:K36" si="2">SUM(F2:F35)</f>
        <v>253</v>
      </c>
      <c r="G36" s="8">
        <f t="shared" si="2"/>
        <v>251</v>
      </c>
      <c r="H36" s="8">
        <f t="shared" si="2"/>
        <v>284</v>
      </c>
      <c r="I36" s="24">
        <f t="shared" si="2"/>
        <v>207</v>
      </c>
      <c r="J36" s="8">
        <f t="shared" si="2"/>
        <v>229</v>
      </c>
      <c r="K36" s="8">
        <f t="shared" si="2"/>
        <v>258</v>
      </c>
      <c r="L36" s="64" t="s">
        <v>56</v>
      </c>
      <c r="M36" s="8">
        <f t="shared" ref="M36:S36" si="3">SUM(M2:M35)</f>
        <v>253</v>
      </c>
      <c r="N36" s="8">
        <f t="shared" si="3"/>
        <v>231</v>
      </c>
      <c r="O36" s="24">
        <f t="shared" si="3"/>
        <v>256</v>
      </c>
      <c r="P36" s="8">
        <f t="shared" si="3"/>
        <v>272</v>
      </c>
      <c r="Q36" s="8">
        <f t="shared" si="3"/>
        <v>264</v>
      </c>
      <c r="R36" s="8">
        <f t="shared" si="3"/>
        <v>276</v>
      </c>
      <c r="S36" s="8">
        <f t="shared" si="3"/>
        <v>264</v>
      </c>
      <c r="T36" s="4">
        <f t="shared" si="1"/>
        <v>3298</v>
      </c>
      <c r="U36" s="44" t="s">
        <v>56</v>
      </c>
      <c r="V36" s="44" t="s">
        <v>56</v>
      </c>
    </row>
    <row r="37" spans="1:22" ht="15" customHeight="1" x14ac:dyDescent="0.25">
      <c r="U37" s="44" t="s">
        <v>56</v>
      </c>
      <c r="V37" s="44" t="s">
        <v>56</v>
      </c>
    </row>
    <row r="38" spans="1:22" ht="15" customHeight="1" x14ac:dyDescent="0.25">
      <c r="A38" s="17"/>
      <c r="U38" s="44" t="s">
        <v>56</v>
      </c>
      <c r="V38" s="44" t="s">
        <v>56</v>
      </c>
    </row>
    <row r="39" spans="1:22" s="18" customFormat="1" ht="15" customHeight="1" x14ac:dyDescent="0.25">
      <c r="A39" s="17"/>
      <c r="B39" s="7"/>
      <c r="C39" s="7"/>
      <c r="D39" s="7"/>
      <c r="E39" s="3"/>
      <c r="F39" s="5"/>
      <c r="G39" s="5"/>
      <c r="H39" s="5"/>
      <c r="I39" s="25"/>
      <c r="J39" s="5"/>
      <c r="K39" s="5"/>
      <c r="L39" s="5"/>
      <c r="M39" s="5"/>
      <c r="N39" s="5"/>
      <c r="O39" s="25"/>
      <c r="P39" s="5"/>
      <c r="Q39" s="5"/>
      <c r="R39" s="5"/>
      <c r="S39" s="5"/>
      <c r="T39" s="6"/>
      <c r="U39" s="9"/>
      <c r="V39" s="9"/>
    </row>
    <row r="40" spans="1:22" s="18" customFormat="1" ht="20.25" customHeight="1" x14ac:dyDescent="0.25">
      <c r="A40" s="17"/>
      <c r="B40" s="7"/>
      <c r="C40" s="7"/>
      <c r="D40" s="7"/>
      <c r="E40" s="3"/>
      <c r="F40" s="5"/>
      <c r="G40" s="4"/>
      <c r="H40" s="14" t="s">
        <v>49</v>
      </c>
      <c r="I40" s="23"/>
      <c r="J40" s="5"/>
      <c r="K40" s="5"/>
      <c r="L40" s="5"/>
      <c r="M40" s="5"/>
      <c r="N40" s="5"/>
      <c r="O40" s="25"/>
      <c r="P40" s="5"/>
      <c r="Q40" s="5"/>
      <c r="R40" s="5"/>
      <c r="S40" s="5"/>
      <c r="T40" s="6"/>
      <c r="U40"/>
      <c r="V40"/>
    </row>
    <row r="41" spans="1:22" s="18" customFormat="1" ht="20.25" customHeight="1" x14ac:dyDescent="0.25">
      <c r="A41" s="17"/>
      <c r="B41" s="7"/>
      <c r="C41" s="7"/>
      <c r="D41" s="7"/>
      <c r="E41" s="3"/>
      <c r="F41" s="5"/>
      <c r="G41" s="5"/>
      <c r="H41" s="16">
        <f>E36/D35</f>
        <v>7</v>
      </c>
      <c r="I41" s="25"/>
      <c r="J41" s="5"/>
      <c r="K41" s="5"/>
      <c r="L41" s="5"/>
      <c r="M41" s="5"/>
      <c r="N41" s="5"/>
      <c r="O41" s="25"/>
      <c r="P41" s="5"/>
      <c r="Q41" s="5"/>
      <c r="R41" s="5"/>
      <c r="S41" s="5"/>
      <c r="T41" s="5"/>
      <c r="U41"/>
      <c r="V41"/>
    </row>
    <row r="42" spans="1:22" s="18" customFormat="1" ht="20.25" customHeight="1" x14ac:dyDescent="0.25">
      <c r="A42" s="17"/>
      <c r="B42" s="7"/>
      <c r="C42" s="7"/>
      <c r="D42" s="7"/>
      <c r="E42" s="3"/>
      <c r="F42" s="5"/>
      <c r="G42" s="5"/>
      <c r="H42" s="16">
        <f>G36/D35</f>
        <v>7</v>
      </c>
      <c r="I42" s="25"/>
      <c r="J42" s="5"/>
      <c r="K42" s="5"/>
      <c r="L42" s="5"/>
      <c r="M42" s="5"/>
      <c r="N42" s="5"/>
      <c r="O42" s="25"/>
      <c r="P42" s="5"/>
      <c r="Q42" s="5"/>
      <c r="R42" s="5"/>
      <c r="S42" s="5"/>
      <c r="T42" s="6"/>
      <c r="U42"/>
      <c r="V42"/>
    </row>
    <row r="43" spans="1:22" s="18" customFormat="1" ht="20.25" customHeight="1" x14ac:dyDescent="0.25">
      <c r="A43" s="17"/>
      <c r="B43" s="7"/>
      <c r="C43" s="84" t="s">
        <v>330</v>
      </c>
      <c r="D43" s="7"/>
      <c r="E43" s="3"/>
      <c r="F43" s="5"/>
      <c r="G43" s="5"/>
      <c r="H43" s="16">
        <f>H36/D35</f>
        <v>8</v>
      </c>
      <c r="I43" s="25"/>
      <c r="J43" s="5"/>
      <c r="K43" s="5"/>
      <c r="L43" s="5"/>
      <c r="M43" s="5"/>
      <c r="N43" s="5"/>
      <c r="O43" s="25"/>
      <c r="P43" s="5"/>
      <c r="Q43" s="5"/>
      <c r="R43" s="5"/>
      <c r="S43" s="5"/>
      <c r="T43" s="6"/>
      <c r="U43"/>
      <c r="V43"/>
    </row>
    <row r="44" spans="1:22" s="18" customFormat="1" ht="20.25" customHeight="1" x14ac:dyDescent="0.25">
      <c r="A44" s="17"/>
      <c r="B44" s="7"/>
      <c r="C44" s="7"/>
      <c r="D44" s="7"/>
      <c r="E44" s="3"/>
      <c r="F44" s="5"/>
      <c r="G44" s="5"/>
      <c r="H44" s="16">
        <f>I36/D35</f>
        <v>6</v>
      </c>
      <c r="I44" s="25"/>
      <c r="J44" s="5"/>
      <c r="K44" s="5"/>
      <c r="L44" s="5"/>
      <c r="M44" s="5"/>
      <c r="N44" s="5"/>
      <c r="O44" s="25"/>
      <c r="P44" s="5"/>
      <c r="Q44" s="5"/>
      <c r="R44" s="5"/>
      <c r="S44" s="5"/>
      <c r="T44" s="6"/>
      <c r="U44"/>
      <c r="V44"/>
    </row>
    <row r="45" spans="1:22" s="18" customFormat="1" ht="20.25" customHeight="1" x14ac:dyDescent="0.25">
      <c r="A45" s="17"/>
      <c r="B45" s="147" t="s">
        <v>328</v>
      </c>
      <c r="C45" s="7"/>
      <c r="D45" s="7"/>
      <c r="E45" s="3"/>
      <c r="F45" s="5"/>
      <c r="G45" s="5"/>
      <c r="H45" s="16">
        <f>J36/D35</f>
        <v>7</v>
      </c>
      <c r="I45" s="25"/>
      <c r="J45" s="5"/>
      <c r="K45" s="5"/>
      <c r="L45" s="5"/>
      <c r="M45" s="5"/>
      <c r="N45" s="5"/>
      <c r="O45" s="25"/>
      <c r="P45" s="5"/>
      <c r="Q45" s="5"/>
      <c r="R45" s="5"/>
      <c r="S45" s="5"/>
      <c r="T45" s="6"/>
      <c r="U45"/>
      <c r="V45"/>
    </row>
    <row r="46" spans="1:22" s="18" customFormat="1" ht="20.25" customHeight="1" x14ac:dyDescent="0.25">
      <c r="A46" s="17"/>
      <c r="B46" s="148" t="s">
        <v>329</v>
      </c>
      <c r="C46" s="7"/>
      <c r="D46" s="7"/>
      <c r="E46" s="3"/>
      <c r="F46" s="5"/>
      <c r="G46" s="5"/>
      <c r="H46" s="16">
        <f>K36/D35</f>
        <v>8</v>
      </c>
      <c r="I46" s="25"/>
      <c r="J46" s="5"/>
      <c r="K46" s="5"/>
      <c r="L46" s="5"/>
      <c r="M46" s="5"/>
      <c r="N46" s="5"/>
      <c r="O46" s="25"/>
      <c r="P46" s="5"/>
      <c r="Q46" s="5"/>
      <c r="R46" s="5"/>
      <c r="S46" s="5"/>
      <c r="T46" s="6"/>
      <c r="U46"/>
      <c r="V46"/>
    </row>
    <row r="47" spans="1:22" s="18" customFormat="1" ht="20.25" customHeight="1" x14ac:dyDescent="0.25">
      <c r="A47" s="17"/>
      <c r="B47" s="195" t="s">
        <v>332</v>
      </c>
      <c r="C47" s="7"/>
      <c r="D47" s="7"/>
      <c r="E47" s="3"/>
      <c r="F47" s="5"/>
      <c r="G47" s="5"/>
      <c r="H47" s="33" t="s">
        <v>56</v>
      </c>
      <c r="I47" s="25"/>
      <c r="J47" s="5"/>
      <c r="K47" s="5"/>
      <c r="L47" s="5"/>
      <c r="M47" s="5"/>
      <c r="N47" s="5"/>
      <c r="O47" s="25"/>
      <c r="P47" s="5"/>
      <c r="Q47" s="5"/>
      <c r="R47" s="5"/>
      <c r="S47" s="5"/>
      <c r="T47" s="6"/>
      <c r="U47" s="45"/>
      <c r="V47" s="45"/>
    </row>
    <row r="48" spans="1:22" s="18" customFormat="1" ht="20.25" customHeight="1" x14ac:dyDescent="0.25">
      <c r="A48" s="17"/>
      <c r="B48" s="7"/>
      <c r="C48" s="7"/>
      <c r="D48" s="7"/>
      <c r="E48" s="3"/>
      <c r="F48" s="5"/>
      <c r="G48" s="5"/>
      <c r="H48" s="16">
        <f>M36/D35</f>
        <v>7</v>
      </c>
      <c r="I48" s="25"/>
      <c r="J48" s="5"/>
      <c r="K48" s="5"/>
      <c r="L48" s="5"/>
      <c r="M48" s="5"/>
      <c r="N48" s="5"/>
      <c r="O48" s="25"/>
      <c r="P48" s="5"/>
      <c r="Q48" s="5"/>
      <c r="R48" s="5"/>
      <c r="S48" s="5"/>
      <c r="T48" s="6"/>
      <c r="U48" s="45"/>
      <c r="V48" s="45"/>
    </row>
    <row r="49" spans="1:22" s="18" customFormat="1" ht="20.25" customHeight="1" x14ac:dyDescent="0.25">
      <c r="A49" s="17"/>
      <c r="B49" s="7"/>
      <c r="C49" s="7"/>
      <c r="D49" s="7"/>
      <c r="E49" s="3"/>
      <c r="F49" s="5"/>
      <c r="G49" s="5"/>
      <c r="H49" s="16">
        <f>N36/D35</f>
        <v>7</v>
      </c>
      <c r="I49" s="25"/>
      <c r="J49" s="5"/>
      <c r="K49" s="5"/>
      <c r="L49" s="5"/>
      <c r="M49" s="5"/>
      <c r="N49" s="5"/>
      <c r="O49" s="25"/>
      <c r="P49" s="5"/>
      <c r="Q49" s="5"/>
      <c r="R49" s="5"/>
      <c r="S49" s="5"/>
      <c r="T49" s="6"/>
      <c r="U49" s="45"/>
      <c r="V49" s="45"/>
    </row>
    <row r="50" spans="1:22" s="18" customFormat="1" ht="20.25" customHeight="1" x14ac:dyDescent="0.25">
      <c r="A50" s="17"/>
      <c r="B50" s="7"/>
      <c r="C50" s="7"/>
      <c r="D50" s="7"/>
      <c r="E50" s="3"/>
      <c r="F50" s="5"/>
      <c r="G50" s="5"/>
      <c r="H50" s="16">
        <f>O36/D35</f>
        <v>8</v>
      </c>
      <c r="I50" s="25"/>
      <c r="J50" s="5"/>
      <c r="K50" s="5"/>
      <c r="L50" s="5"/>
      <c r="M50" s="5"/>
      <c r="N50" s="5"/>
      <c r="O50" s="25"/>
      <c r="P50" s="5"/>
      <c r="Q50" s="5"/>
      <c r="R50" s="5"/>
      <c r="S50" s="5"/>
      <c r="T50" s="6"/>
      <c r="U50" s="45"/>
      <c r="V50" s="45"/>
    </row>
    <row r="51" spans="1:22" s="18" customFormat="1" ht="20.25" customHeight="1" x14ac:dyDescent="0.25">
      <c r="A51" s="17"/>
      <c r="B51" s="7"/>
      <c r="C51" s="7"/>
      <c r="D51" s="7"/>
      <c r="E51" s="3"/>
      <c r="F51" s="5"/>
      <c r="G51" s="5"/>
      <c r="H51" s="16">
        <f>P36/D35</f>
        <v>8</v>
      </c>
      <c r="I51" s="25"/>
      <c r="J51" s="5"/>
      <c r="K51" s="5"/>
      <c r="L51" s="5"/>
      <c r="M51" s="5"/>
      <c r="N51" s="5"/>
      <c r="O51" s="25"/>
      <c r="P51" s="5"/>
      <c r="Q51" s="5"/>
      <c r="R51" s="5"/>
      <c r="S51" s="5"/>
      <c r="T51" s="6"/>
      <c r="U51" s="45"/>
      <c r="V51" s="45"/>
    </row>
    <row r="52" spans="1:22" s="18" customFormat="1" ht="20.25" customHeight="1" x14ac:dyDescent="0.25">
      <c r="A52" s="17"/>
      <c r="B52" s="7"/>
      <c r="C52" s="7"/>
      <c r="D52" s="7"/>
      <c r="E52" s="3"/>
      <c r="F52" s="5"/>
      <c r="G52" s="5"/>
      <c r="H52" s="16">
        <f>Q36/D35</f>
        <v>8</v>
      </c>
      <c r="I52" s="25"/>
      <c r="J52" s="5"/>
      <c r="K52" s="5"/>
      <c r="L52" s="5"/>
      <c r="M52" s="5"/>
      <c r="N52" s="5"/>
      <c r="O52" s="25"/>
      <c r="P52" s="5"/>
      <c r="Q52" s="5"/>
      <c r="R52" s="5"/>
      <c r="S52" s="5"/>
      <c r="T52" s="6"/>
      <c r="U52" s="45"/>
      <c r="V52" s="45"/>
    </row>
    <row r="53" spans="1:22" s="18" customFormat="1" ht="20.25" customHeight="1" x14ac:dyDescent="0.25">
      <c r="A53" s="17"/>
      <c r="B53" s="7"/>
      <c r="C53" s="7"/>
      <c r="D53" s="7"/>
      <c r="E53" s="3"/>
      <c r="F53" s="5"/>
      <c r="G53" s="5"/>
      <c r="H53" s="16">
        <f>R36/D35</f>
        <v>8</v>
      </c>
      <c r="I53" s="25"/>
      <c r="J53" s="5"/>
      <c r="K53" s="5"/>
      <c r="L53" s="5"/>
      <c r="M53" s="5"/>
      <c r="N53" s="5"/>
      <c r="O53" s="25"/>
      <c r="P53" s="5"/>
      <c r="Q53" s="5"/>
      <c r="R53" s="5"/>
      <c r="S53" s="5"/>
      <c r="T53" s="6"/>
      <c r="U53" s="45"/>
      <c r="V53" s="45"/>
    </row>
    <row r="54" spans="1:22" s="18" customFormat="1" ht="25.15" customHeight="1" x14ac:dyDescent="0.25">
      <c r="A54" s="17"/>
      <c r="B54" s="7"/>
      <c r="C54" s="7"/>
      <c r="D54" s="7"/>
      <c r="E54" s="3"/>
      <c r="F54" s="5"/>
      <c r="G54" s="5"/>
      <c r="H54" s="16">
        <f>S36/D35</f>
        <v>8</v>
      </c>
      <c r="I54" s="25"/>
      <c r="J54" s="5"/>
      <c r="K54" s="5"/>
      <c r="L54" s="5"/>
      <c r="M54" s="5"/>
      <c r="N54" s="5"/>
      <c r="O54" s="25"/>
      <c r="P54" s="5"/>
      <c r="Q54" s="5"/>
      <c r="R54" s="5"/>
      <c r="S54" s="5"/>
      <c r="T54" s="6"/>
      <c r="U54" s="45"/>
      <c r="V54" s="45"/>
    </row>
    <row r="55" spans="1:22" s="18" customFormat="1" ht="15" customHeight="1" x14ac:dyDescent="0.25">
      <c r="A55" s="17"/>
      <c r="B55" s="7"/>
      <c r="C55" s="7"/>
      <c r="D55" s="7"/>
      <c r="E55" s="3"/>
      <c r="F55" s="5"/>
      <c r="G55" s="5"/>
      <c r="H55" s="15">
        <f>SUM(H41:H54)</f>
        <v>97</v>
      </c>
      <c r="I55" s="25"/>
      <c r="J55" s="5"/>
      <c r="K55" s="5"/>
      <c r="L55" s="5"/>
      <c r="M55" s="5"/>
      <c r="N55" s="5"/>
      <c r="O55" s="25"/>
      <c r="P55" s="5"/>
      <c r="Q55" s="5"/>
      <c r="R55" s="5"/>
      <c r="S55" s="5"/>
      <c r="T55" s="6"/>
      <c r="U55" s="45"/>
      <c r="V55" s="45"/>
    </row>
    <row r="56" spans="1:22" s="18" customFormat="1" ht="15" customHeight="1" x14ac:dyDescent="0.25">
      <c r="A56" s="17"/>
      <c r="B56" s="7"/>
      <c r="C56" s="7"/>
      <c r="D56" s="7"/>
      <c r="E56" s="3"/>
      <c r="F56" s="5"/>
      <c r="G56" s="5"/>
      <c r="H56" s="5"/>
      <c r="I56" s="25"/>
      <c r="J56" s="5"/>
      <c r="K56" s="5"/>
      <c r="L56" s="5"/>
      <c r="M56" s="5"/>
      <c r="N56" s="5"/>
      <c r="O56" s="25"/>
      <c r="P56" s="5"/>
      <c r="Q56" s="5"/>
      <c r="R56" s="5"/>
      <c r="S56" s="5"/>
      <c r="T56" s="6"/>
      <c r="U56" s="45"/>
      <c r="V56" s="45"/>
    </row>
    <row r="57" spans="1:22" s="18" customFormat="1" ht="15" customHeight="1" x14ac:dyDescent="0.25">
      <c r="A57" s="17"/>
      <c r="B57" s="7"/>
      <c r="C57" s="7"/>
      <c r="D57" s="7"/>
      <c r="E57" s="3"/>
      <c r="F57" s="5"/>
      <c r="G57" s="5"/>
      <c r="H57" s="5"/>
      <c r="I57" s="25"/>
      <c r="J57" s="5"/>
      <c r="K57" s="5"/>
      <c r="L57" s="5"/>
      <c r="M57" s="5"/>
      <c r="N57" s="5"/>
      <c r="O57" s="25"/>
      <c r="P57" s="5"/>
      <c r="Q57" s="5"/>
      <c r="R57" s="5"/>
      <c r="S57" s="5"/>
      <c r="T57" s="6"/>
      <c r="U57" s="45"/>
      <c r="V57" s="45"/>
    </row>
    <row r="58" spans="1:22" s="18" customFormat="1" ht="15" customHeight="1" x14ac:dyDescent="0.25">
      <c r="A58" s="17"/>
      <c r="B58" s="7"/>
      <c r="C58" s="7"/>
      <c r="D58" s="7"/>
      <c r="E58" s="3"/>
      <c r="F58" s="5"/>
      <c r="G58" s="5"/>
      <c r="H58" s="5"/>
      <c r="I58" s="25"/>
      <c r="J58" s="5"/>
      <c r="K58" s="5"/>
      <c r="L58" s="5"/>
      <c r="M58" s="5"/>
      <c r="N58" s="5"/>
      <c r="O58" s="25"/>
      <c r="P58" s="5"/>
      <c r="Q58" s="5"/>
      <c r="R58" s="5"/>
      <c r="S58" s="5"/>
      <c r="T58" s="6"/>
      <c r="U58" s="45"/>
      <c r="V58" s="45"/>
    </row>
    <row r="59" spans="1:22" s="18" customFormat="1" ht="15" customHeight="1" x14ac:dyDescent="0.25">
      <c r="A59" s="17"/>
      <c r="B59" s="7"/>
      <c r="C59" s="7"/>
      <c r="D59" s="7"/>
      <c r="E59" s="3"/>
      <c r="F59" s="5"/>
      <c r="G59" s="5"/>
      <c r="H59" s="5"/>
      <c r="I59" s="25"/>
      <c r="J59" s="5"/>
      <c r="K59" s="5"/>
      <c r="L59" s="5"/>
      <c r="M59" s="5"/>
      <c r="N59" s="5"/>
      <c r="O59" s="25"/>
      <c r="P59" s="5"/>
      <c r="Q59" s="5"/>
      <c r="R59" s="5"/>
      <c r="S59" s="5"/>
      <c r="T59" s="6"/>
      <c r="U59" s="45"/>
      <c r="V59" s="45"/>
    </row>
    <row r="60" spans="1:22" s="18" customFormat="1" ht="15" customHeight="1" x14ac:dyDescent="0.25">
      <c r="A60" s="17"/>
      <c r="B60" s="7"/>
      <c r="C60" s="7"/>
      <c r="D60" s="7"/>
      <c r="E60" s="3"/>
      <c r="F60" s="5"/>
      <c r="G60" s="5"/>
      <c r="H60" s="5"/>
      <c r="I60" s="25"/>
      <c r="J60" s="5"/>
      <c r="K60" s="5"/>
      <c r="L60" s="5"/>
      <c r="M60" s="5"/>
      <c r="N60" s="5"/>
      <c r="O60" s="25"/>
      <c r="P60" s="5"/>
      <c r="Q60" s="5"/>
      <c r="R60" s="5"/>
      <c r="S60" s="5"/>
      <c r="T60" s="6"/>
      <c r="U60" s="45"/>
      <c r="V60" s="45"/>
    </row>
    <row r="61" spans="1:22" s="18" customFormat="1" ht="15" customHeight="1" x14ac:dyDescent="0.25">
      <c r="A61" s="17"/>
      <c r="B61" s="7"/>
      <c r="C61" s="7"/>
      <c r="D61" s="7"/>
      <c r="E61" s="3"/>
      <c r="F61" s="5"/>
      <c r="G61" s="5"/>
      <c r="H61" s="5"/>
      <c r="I61" s="25"/>
      <c r="J61" s="5"/>
      <c r="K61" s="5"/>
      <c r="L61" s="5"/>
      <c r="M61" s="5"/>
      <c r="N61" s="5"/>
      <c r="O61" s="25"/>
      <c r="P61" s="5"/>
      <c r="Q61" s="5"/>
      <c r="R61" s="5"/>
      <c r="S61" s="5"/>
      <c r="T61" s="6"/>
      <c r="U61" s="45"/>
      <c r="V61" s="45"/>
    </row>
    <row r="62" spans="1:22" s="18" customFormat="1" ht="15" customHeight="1" x14ac:dyDescent="0.25">
      <c r="A62" s="17"/>
      <c r="B62" s="7"/>
      <c r="C62" s="7"/>
      <c r="D62" s="7"/>
      <c r="E62" s="3"/>
      <c r="F62" s="5"/>
      <c r="G62" s="5"/>
      <c r="H62" s="5"/>
      <c r="I62" s="25"/>
      <c r="J62" s="5"/>
      <c r="K62" s="5"/>
      <c r="L62" s="5"/>
      <c r="M62" s="5"/>
      <c r="N62" s="5"/>
      <c r="O62" s="25"/>
      <c r="P62" s="5"/>
      <c r="Q62" s="5"/>
      <c r="R62" s="5"/>
      <c r="S62" s="5"/>
      <c r="T62" s="6"/>
      <c r="U62" s="45"/>
      <c r="V62" s="45"/>
    </row>
    <row r="63" spans="1:22" s="18" customFormat="1" ht="15" customHeight="1" x14ac:dyDescent="0.25">
      <c r="A63" s="17"/>
      <c r="B63" s="7"/>
      <c r="C63" s="7"/>
      <c r="D63" s="7"/>
      <c r="E63" s="3"/>
      <c r="F63" s="5"/>
      <c r="G63" s="5"/>
      <c r="H63" s="5"/>
      <c r="I63" s="25"/>
      <c r="J63" s="5"/>
      <c r="K63" s="5"/>
      <c r="L63" s="5"/>
      <c r="M63" s="5"/>
      <c r="N63" s="5"/>
      <c r="O63" s="25"/>
      <c r="P63" s="5"/>
      <c r="Q63" s="5"/>
      <c r="R63" s="5"/>
      <c r="S63" s="5"/>
      <c r="T63" s="6"/>
      <c r="U63" s="45"/>
      <c r="V63" s="45"/>
    </row>
    <row r="64" spans="1:22" s="18" customFormat="1" ht="15" customHeight="1" x14ac:dyDescent="0.25">
      <c r="A64" s="17"/>
      <c r="B64" s="7"/>
      <c r="C64" s="7"/>
      <c r="D64" s="7"/>
      <c r="E64" s="3"/>
      <c r="F64" s="5"/>
      <c r="G64" s="5"/>
      <c r="H64" s="5"/>
      <c r="I64" s="25"/>
      <c r="J64" s="5"/>
      <c r="K64" s="5"/>
      <c r="L64" s="5"/>
      <c r="M64" s="5"/>
      <c r="N64" s="5"/>
      <c r="O64" s="25"/>
      <c r="P64" s="5"/>
      <c r="Q64" s="5"/>
      <c r="R64" s="5"/>
      <c r="S64" s="5"/>
      <c r="T64" s="6"/>
      <c r="U64" s="45"/>
      <c r="V64" s="45"/>
    </row>
    <row r="65" spans="1:22" s="18" customFormat="1" ht="15" customHeight="1" x14ac:dyDescent="0.25">
      <c r="A65" s="17"/>
      <c r="B65" s="7"/>
      <c r="C65" s="7"/>
      <c r="D65" s="7"/>
      <c r="E65" s="3"/>
      <c r="F65" s="5"/>
      <c r="G65" s="5"/>
      <c r="H65" s="5"/>
      <c r="I65" s="25"/>
      <c r="J65" s="5"/>
      <c r="K65" s="5"/>
      <c r="L65" s="5"/>
      <c r="M65" s="5"/>
      <c r="N65" s="5"/>
      <c r="O65" s="25"/>
      <c r="P65" s="5"/>
      <c r="Q65" s="5"/>
      <c r="R65" s="5"/>
      <c r="S65" s="5"/>
      <c r="T65" s="6"/>
      <c r="U65" s="45"/>
      <c r="V65" s="45"/>
    </row>
    <row r="66" spans="1:22" s="18" customFormat="1" ht="15" customHeight="1" x14ac:dyDescent="0.25">
      <c r="A66" s="17"/>
      <c r="B66" s="7"/>
      <c r="C66" s="7"/>
      <c r="D66" s="7"/>
      <c r="E66" s="3"/>
      <c r="F66" s="5"/>
      <c r="G66" s="5"/>
      <c r="H66" s="5"/>
      <c r="I66" s="25"/>
      <c r="J66" s="5"/>
      <c r="K66" s="5"/>
      <c r="L66" s="5"/>
      <c r="M66" s="5"/>
      <c r="N66" s="5"/>
      <c r="O66" s="25"/>
      <c r="P66" s="5"/>
      <c r="Q66" s="5"/>
      <c r="R66" s="5"/>
      <c r="S66" s="5"/>
      <c r="T66" s="6"/>
      <c r="U66" s="45"/>
      <c r="V66" s="45"/>
    </row>
    <row r="67" spans="1:22" s="18" customFormat="1" ht="15" customHeight="1" x14ac:dyDescent="0.25">
      <c r="A67" s="17"/>
      <c r="B67" s="7"/>
      <c r="C67" s="7"/>
      <c r="D67" s="7"/>
      <c r="E67" s="3"/>
      <c r="F67" s="5"/>
      <c r="G67" s="5"/>
      <c r="H67" s="5"/>
      <c r="I67" s="25"/>
      <c r="J67" s="5"/>
      <c r="K67" s="5"/>
      <c r="L67" s="5"/>
      <c r="M67" s="5"/>
      <c r="N67" s="5"/>
      <c r="O67" s="25"/>
      <c r="P67" s="5"/>
      <c r="Q67" s="5"/>
      <c r="R67" s="5"/>
      <c r="S67" s="5"/>
      <c r="T67" s="6"/>
      <c r="U67" s="45"/>
      <c r="V67" s="45"/>
    </row>
    <row r="68" spans="1:22" s="18" customFormat="1" ht="15" customHeight="1" x14ac:dyDescent="0.25">
      <c r="A68" s="17"/>
      <c r="B68" s="7"/>
      <c r="C68" s="7"/>
      <c r="D68" s="7"/>
      <c r="E68" s="3"/>
      <c r="F68" s="5"/>
      <c r="G68" s="5"/>
      <c r="H68" s="5"/>
      <c r="I68" s="25"/>
      <c r="J68" s="5"/>
      <c r="K68" s="5"/>
      <c r="L68" s="5"/>
      <c r="M68" s="5"/>
      <c r="N68" s="5"/>
      <c r="O68" s="25"/>
      <c r="P68" s="5"/>
      <c r="Q68" s="5"/>
      <c r="R68" s="5"/>
      <c r="S68" s="5"/>
      <c r="T68" s="6"/>
      <c r="U68" s="45"/>
      <c r="V68" s="45"/>
    </row>
    <row r="69" spans="1:22" s="18" customFormat="1" ht="15" customHeight="1" x14ac:dyDescent="0.25">
      <c r="A69" s="17"/>
      <c r="B69" s="7"/>
      <c r="C69" s="7"/>
      <c r="D69" s="7"/>
      <c r="E69" s="3"/>
      <c r="F69" s="5"/>
      <c r="G69" s="5"/>
      <c r="H69" s="5"/>
      <c r="I69" s="25"/>
      <c r="J69" s="5"/>
      <c r="K69" s="5"/>
      <c r="L69" s="5"/>
      <c r="M69" s="5"/>
      <c r="N69" s="5"/>
      <c r="O69" s="25"/>
      <c r="P69" s="5"/>
      <c r="Q69" s="5"/>
      <c r="R69" s="5"/>
      <c r="S69" s="5"/>
      <c r="T69" s="6"/>
      <c r="U69" s="45"/>
      <c r="V69" s="45"/>
    </row>
    <row r="70" spans="1:22" s="18" customFormat="1" ht="15" customHeight="1" x14ac:dyDescent="0.25">
      <c r="A70" s="17"/>
      <c r="B70" s="7"/>
      <c r="C70" s="7"/>
      <c r="D70" s="7"/>
      <c r="E70" s="3"/>
      <c r="F70" s="5"/>
      <c r="G70" s="5"/>
      <c r="H70" s="5"/>
      <c r="I70" s="25"/>
      <c r="J70" s="5"/>
      <c r="K70" s="5"/>
      <c r="L70" s="5"/>
      <c r="M70" s="5"/>
      <c r="N70" s="5"/>
      <c r="O70" s="25"/>
      <c r="P70" s="5"/>
      <c r="Q70" s="5"/>
      <c r="R70" s="5"/>
      <c r="S70" s="5"/>
      <c r="T70" s="6"/>
      <c r="U70" s="45"/>
      <c r="V70" s="45"/>
    </row>
    <row r="71" spans="1:22" s="18" customFormat="1" ht="15" customHeight="1" x14ac:dyDescent="0.25">
      <c r="A71" s="17"/>
      <c r="B71" s="7"/>
      <c r="C71" s="7"/>
      <c r="D71" s="7"/>
      <c r="E71" s="3"/>
      <c r="F71" s="5"/>
      <c r="G71" s="5"/>
      <c r="H71" s="5"/>
      <c r="I71" s="25"/>
      <c r="J71" s="5"/>
      <c r="K71" s="5"/>
      <c r="L71" s="5"/>
      <c r="M71" s="5"/>
      <c r="N71" s="5"/>
      <c r="O71" s="25"/>
      <c r="P71" s="5"/>
      <c r="Q71" s="5"/>
      <c r="R71" s="5"/>
      <c r="S71" s="5"/>
      <c r="T71" s="6"/>
      <c r="U71" s="45"/>
      <c r="V71" s="45"/>
    </row>
    <row r="72" spans="1:22" s="18" customFormat="1" ht="15" customHeight="1" x14ac:dyDescent="0.25">
      <c r="A72" s="17"/>
      <c r="B72" s="7"/>
      <c r="C72" s="7"/>
      <c r="D72" s="7"/>
      <c r="E72" s="3"/>
      <c r="F72" s="5"/>
      <c r="G72" s="5"/>
      <c r="H72" s="5"/>
      <c r="I72" s="25"/>
      <c r="J72" s="5"/>
      <c r="K72" s="5"/>
      <c r="L72" s="5"/>
      <c r="M72" s="5"/>
      <c r="N72" s="5"/>
      <c r="O72" s="25"/>
      <c r="P72" s="5"/>
      <c r="Q72" s="5"/>
      <c r="R72" s="5"/>
      <c r="S72" s="5"/>
      <c r="T72" s="6"/>
      <c r="U72" s="45"/>
      <c r="V72" s="45"/>
    </row>
    <row r="73" spans="1:22" s="18" customFormat="1" ht="15" customHeight="1" x14ac:dyDescent="0.25">
      <c r="A73" s="17"/>
      <c r="B73" s="7"/>
      <c r="C73" s="7"/>
      <c r="D73" s="7"/>
      <c r="E73" s="3"/>
      <c r="F73" s="5"/>
      <c r="G73" s="5"/>
      <c r="H73" s="5"/>
      <c r="I73" s="25"/>
      <c r="J73" s="5"/>
      <c r="K73" s="5"/>
      <c r="L73" s="5"/>
      <c r="M73" s="5"/>
      <c r="N73" s="5"/>
      <c r="O73" s="25"/>
      <c r="P73" s="5"/>
      <c r="Q73" s="5"/>
      <c r="R73" s="5"/>
      <c r="S73" s="5"/>
      <c r="T73" s="6"/>
      <c r="U73" s="45"/>
      <c r="V73" s="45"/>
    </row>
    <row r="74" spans="1:22" s="18" customFormat="1" ht="15" customHeight="1" x14ac:dyDescent="0.25">
      <c r="A74" s="17"/>
      <c r="B74" s="7"/>
      <c r="C74" s="7"/>
      <c r="D74" s="7"/>
      <c r="E74" s="3"/>
      <c r="F74" s="5"/>
      <c r="G74" s="5"/>
      <c r="H74" s="5"/>
      <c r="I74" s="25"/>
      <c r="J74" s="5"/>
      <c r="K74" s="5"/>
      <c r="L74" s="5"/>
      <c r="M74" s="5"/>
      <c r="N74" s="5"/>
      <c r="O74" s="25"/>
      <c r="P74" s="5"/>
      <c r="Q74" s="5"/>
      <c r="R74" s="5"/>
      <c r="S74" s="5"/>
      <c r="T74" s="6"/>
      <c r="U74" s="45"/>
      <c r="V74" s="45"/>
    </row>
    <row r="75" spans="1:22" s="18" customFormat="1" ht="15" customHeight="1" x14ac:dyDescent="0.25">
      <c r="A75" s="17"/>
      <c r="B75" s="7"/>
      <c r="C75" s="7"/>
      <c r="D75" s="7"/>
      <c r="E75" s="3"/>
      <c r="F75" s="5"/>
      <c r="G75" s="5"/>
      <c r="H75" s="5"/>
      <c r="I75" s="25"/>
      <c r="J75" s="5"/>
      <c r="K75" s="5"/>
      <c r="L75" s="5"/>
      <c r="M75" s="5"/>
      <c r="N75" s="5"/>
      <c r="O75" s="25"/>
      <c r="P75" s="5"/>
      <c r="Q75" s="5"/>
      <c r="R75" s="5"/>
      <c r="S75" s="5"/>
      <c r="T75" s="6"/>
      <c r="U75" s="45"/>
      <c r="V75" s="45"/>
    </row>
    <row r="76" spans="1:22" s="18" customFormat="1" ht="15" customHeight="1" x14ac:dyDescent="0.25">
      <c r="A76" s="17"/>
      <c r="B76" s="7"/>
      <c r="C76" s="7"/>
      <c r="D76" s="7"/>
      <c r="E76" s="3"/>
      <c r="F76" s="5"/>
      <c r="G76" s="5"/>
      <c r="H76" s="5"/>
      <c r="I76" s="25"/>
      <c r="J76" s="5"/>
      <c r="K76" s="5"/>
      <c r="L76" s="5"/>
      <c r="M76" s="5"/>
      <c r="N76" s="5"/>
      <c r="O76" s="25"/>
      <c r="P76" s="5"/>
      <c r="Q76" s="5"/>
      <c r="R76" s="5"/>
      <c r="S76" s="5"/>
      <c r="T76" s="6"/>
      <c r="U76" s="45"/>
      <c r="V76" s="45"/>
    </row>
    <row r="77" spans="1:22" s="18" customFormat="1" ht="15" customHeight="1" x14ac:dyDescent="0.25">
      <c r="A77" s="17"/>
      <c r="B77" s="7"/>
      <c r="C77" s="7"/>
      <c r="D77" s="7"/>
      <c r="E77" s="3"/>
      <c r="F77" s="5"/>
      <c r="G77" s="5"/>
      <c r="H77" s="5"/>
      <c r="I77" s="25"/>
      <c r="J77" s="5"/>
      <c r="K77" s="5"/>
      <c r="L77" s="5"/>
      <c r="M77" s="5"/>
      <c r="N77" s="5"/>
      <c r="O77" s="25"/>
      <c r="P77" s="5"/>
      <c r="Q77" s="5"/>
      <c r="R77" s="5"/>
      <c r="S77" s="5"/>
      <c r="T77" s="6"/>
      <c r="U77" s="45"/>
      <c r="V77" s="45"/>
    </row>
    <row r="78" spans="1:22" s="18" customFormat="1" ht="15" customHeight="1" x14ac:dyDescent="0.25">
      <c r="A78" s="17"/>
      <c r="B78" s="7"/>
      <c r="C78" s="7"/>
      <c r="D78" s="7"/>
      <c r="E78" s="3"/>
      <c r="F78" s="5"/>
      <c r="G78" s="5"/>
      <c r="H78" s="5"/>
      <c r="I78" s="25"/>
      <c r="J78" s="5"/>
      <c r="K78" s="5"/>
      <c r="L78" s="5"/>
      <c r="M78" s="5"/>
      <c r="N78" s="5"/>
      <c r="O78" s="25"/>
      <c r="P78" s="5"/>
      <c r="Q78" s="5"/>
      <c r="R78" s="5"/>
      <c r="S78" s="5"/>
      <c r="T78" s="6"/>
      <c r="U78" s="45"/>
      <c r="V78" s="45"/>
    </row>
    <row r="79" spans="1:22" s="18" customFormat="1" ht="15" customHeight="1" x14ac:dyDescent="0.25">
      <c r="A79" s="17"/>
      <c r="B79" s="7"/>
      <c r="C79" s="7"/>
      <c r="D79" s="7"/>
      <c r="E79" s="3"/>
      <c r="F79" s="5"/>
      <c r="G79" s="5"/>
      <c r="H79" s="5"/>
      <c r="I79" s="25"/>
      <c r="J79" s="5"/>
      <c r="K79" s="5"/>
      <c r="L79" s="5"/>
      <c r="M79" s="5"/>
      <c r="N79" s="5"/>
      <c r="O79" s="25"/>
      <c r="P79" s="5"/>
      <c r="Q79" s="5"/>
      <c r="R79" s="5"/>
      <c r="S79" s="5"/>
      <c r="T79" s="6"/>
      <c r="U79" s="45"/>
      <c r="V79" s="45"/>
    </row>
    <row r="80" spans="1:22" s="18" customFormat="1" ht="15" customHeight="1" x14ac:dyDescent="0.25">
      <c r="A80" s="17"/>
      <c r="B80" s="7"/>
      <c r="C80" s="7"/>
      <c r="D80" s="7"/>
      <c r="E80" s="3"/>
      <c r="F80" s="5"/>
      <c r="G80" s="5"/>
      <c r="H80" s="5"/>
      <c r="I80" s="25"/>
      <c r="J80" s="5"/>
      <c r="K80" s="5"/>
      <c r="L80" s="5"/>
      <c r="M80" s="5"/>
      <c r="N80" s="5"/>
      <c r="O80" s="25"/>
      <c r="P80" s="5"/>
      <c r="Q80" s="5"/>
      <c r="R80" s="5"/>
      <c r="S80" s="5"/>
      <c r="T80" s="6"/>
      <c r="U80" s="45"/>
      <c r="V80" s="45"/>
    </row>
    <row r="81" spans="1:20" ht="15" customHeight="1" x14ac:dyDescent="0.25">
      <c r="A81" s="17"/>
    </row>
    <row r="82" spans="1:20" ht="15" customHeight="1" x14ac:dyDescent="0.25">
      <c r="A82" s="17"/>
    </row>
    <row r="83" spans="1:20" ht="15" customHeight="1" x14ac:dyDescent="0.25">
      <c r="A83" s="17"/>
    </row>
    <row r="84" spans="1:20" ht="15" customHeight="1" x14ac:dyDescent="0.25">
      <c r="A84" s="17"/>
    </row>
    <row r="85" spans="1:20" ht="15" customHeight="1" x14ac:dyDescent="0.25">
      <c r="A85" s="17"/>
    </row>
    <row r="86" spans="1:20" ht="15" customHeight="1" x14ac:dyDescent="0.25">
      <c r="A86" s="17"/>
    </row>
    <row r="87" spans="1:20" ht="15" customHeight="1" x14ac:dyDescent="0.25">
      <c r="A87" s="17"/>
    </row>
    <row r="88" spans="1:20" ht="15" customHeight="1" x14ac:dyDescent="0.25">
      <c r="A88" s="17"/>
    </row>
    <row r="89" spans="1:20" ht="15" customHeight="1" x14ac:dyDescent="0.25">
      <c r="A89" s="17"/>
    </row>
    <row r="90" spans="1:20" ht="15" customHeight="1" x14ac:dyDescent="0.25">
      <c r="A90" s="17"/>
      <c r="G90"/>
      <c r="J90"/>
      <c r="K90"/>
      <c r="L90"/>
      <c r="M90"/>
      <c r="N90"/>
      <c r="P90"/>
      <c r="Q90"/>
      <c r="R90"/>
      <c r="S90"/>
      <c r="T90"/>
    </row>
    <row r="91" spans="1:20" ht="15" customHeight="1" x14ac:dyDescent="0.25">
      <c r="A91" s="17"/>
      <c r="G91"/>
      <c r="H91"/>
      <c r="J91"/>
      <c r="K91"/>
      <c r="L91"/>
      <c r="M91"/>
      <c r="N91"/>
      <c r="P91"/>
      <c r="Q91"/>
      <c r="R91"/>
      <c r="S91"/>
      <c r="T91"/>
    </row>
    <row r="92" spans="1:20" ht="15" customHeight="1" x14ac:dyDescent="0.25">
      <c r="A92" s="17"/>
      <c r="G92"/>
      <c r="H92"/>
      <c r="J92"/>
      <c r="K92"/>
      <c r="L92"/>
      <c r="M92"/>
      <c r="N92"/>
      <c r="P92"/>
      <c r="Q92"/>
      <c r="R92"/>
      <c r="S92"/>
      <c r="T92"/>
    </row>
    <row r="93" spans="1:20" ht="15" customHeight="1" x14ac:dyDescent="0.25">
      <c r="A93" s="17"/>
      <c r="G93"/>
      <c r="H93"/>
      <c r="J93"/>
      <c r="K93"/>
      <c r="L93"/>
      <c r="M93"/>
      <c r="N93"/>
      <c r="P93"/>
      <c r="Q93"/>
      <c r="R93"/>
      <c r="S93"/>
      <c r="T93"/>
    </row>
    <row r="94" spans="1:20" ht="15" customHeight="1" x14ac:dyDescent="0.25">
      <c r="A94" s="17"/>
      <c r="G94"/>
      <c r="H94"/>
      <c r="J94"/>
      <c r="K94"/>
      <c r="L94"/>
      <c r="M94"/>
      <c r="N94"/>
      <c r="P94"/>
      <c r="Q94"/>
      <c r="R94"/>
      <c r="S94"/>
      <c r="T94"/>
    </row>
    <row r="95" spans="1:20" ht="15" customHeight="1" x14ac:dyDescent="0.25">
      <c r="A95" s="17"/>
      <c r="G95"/>
      <c r="H95"/>
      <c r="J95"/>
      <c r="K95"/>
      <c r="L95"/>
      <c r="M95"/>
      <c r="N95"/>
      <c r="P95"/>
      <c r="Q95"/>
      <c r="R95"/>
      <c r="S95"/>
      <c r="T95"/>
    </row>
    <row r="96" spans="1:20" ht="15" customHeight="1" x14ac:dyDescent="0.25">
      <c r="A96" s="17"/>
      <c r="G96"/>
      <c r="H96"/>
      <c r="J96"/>
      <c r="K96"/>
      <c r="L96"/>
      <c r="M96"/>
      <c r="N96"/>
      <c r="P96"/>
      <c r="Q96"/>
      <c r="R96"/>
      <c r="S96"/>
      <c r="T96"/>
    </row>
    <row r="97" spans="1:22" ht="15" customHeight="1" x14ac:dyDescent="0.25">
      <c r="A97" s="17"/>
      <c r="G97"/>
      <c r="H97"/>
      <c r="J97"/>
      <c r="K97"/>
      <c r="L97"/>
      <c r="M97"/>
      <c r="N97"/>
      <c r="P97"/>
      <c r="Q97"/>
      <c r="R97"/>
      <c r="S97"/>
      <c r="T97"/>
    </row>
    <row r="98" spans="1:22" ht="15" customHeight="1" x14ac:dyDescent="0.25">
      <c r="A98" s="17"/>
      <c r="G98"/>
      <c r="H98"/>
      <c r="J98"/>
      <c r="K98"/>
      <c r="L98"/>
      <c r="M98"/>
      <c r="N98"/>
      <c r="P98"/>
      <c r="Q98"/>
      <c r="R98"/>
      <c r="S98"/>
      <c r="T98"/>
    </row>
    <row r="99" spans="1:22" ht="15" customHeight="1" x14ac:dyDescent="0.25">
      <c r="A99" s="17"/>
      <c r="G99"/>
      <c r="H99"/>
      <c r="J99"/>
      <c r="K99"/>
      <c r="L99"/>
      <c r="M99"/>
      <c r="N99"/>
      <c r="P99"/>
      <c r="Q99"/>
      <c r="R99"/>
      <c r="S99"/>
      <c r="T99"/>
    </row>
    <row r="100" spans="1:22" ht="15" customHeight="1" x14ac:dyDescent="0.25">
      <c r="A100" s="17"/>
      <c r="G100"/>
      <c r="H100"/>
      <c r="J100"/>
      <c r="K100"/>
      <c r="L100"/>
      <c r="M100"/>
      <c r="N100"/>
      <c r="P100"/>
      <c r="Q100"/>
      <c r="R100"/>
      <c r="S100"/>
      <c r="T100"/>
      <c r="U100" s="46"/>
      <c r="V100" s="46"/>
    </row>
    <row r="101" spans="1:22" ht="15" customHeight="1" x14ac:dyDescent="0.25">
      <c r="A101" s="17"/>
      <c r="G101"/>
      <c r="H101"/>
      <c r="J101"/>
      <c r="K101"/>
      <c r="L101"/>
      <c r="M101"/>
      <c r="N101"/>
      <c r="P101"/>
      <c r="Q101"/>
      <c r="R101"/>
      <c r="S101"/>
      <c r="T101"/>
      <c r="U101" s="46"/>
      <c r="V101" s="46"/>
    </row>
    <row r="102" spans="1:22" ht="15" customHeight="1" x14ac:dyDescent="0.25">
      <c r="A102" s="17"/>
      <c r="G102"/>
      <c r="H102"/>
      <c r="J102"/>
      <c r="K102"/>
      <c r="L102"/>
      <c r="M102"/>
      <c r="N102"/>
      <c r="P102"/>
      <c r="Q102"/>
      <c r="R102"/>
      <c r="S102"/>
      <c r="T102"/>
      <c r="U102" s="46"/>
      <c r="V102" s="46"/>
    </row>
    <row r="103" spans="1:22" ht="15" customHeight="1" x14ac:dyDescent="0.25">
      <c r="A103" s="17"/>
      <c r="G103"/>
      <c r="H103"/>
      <c r="J103"/>
      <c r="K103"/>
      <c r="L103"/>
      <c r="M103"/>
      <c r="N103"/>
      <c r="P103"/>
      <c r="Q103"/>
      <c r="R103"/>
      <c r="S103"/>
      <c r="T103"/>
      <c r="U103" s="46"/>
      <c r="V103" s="46"/>
    </row>
    <row r="104" spans="1:22" ht="15" customHeight="1" x14ac:dyDescent="0.25">
      <c r="A104" s="17"/>
      <c r="G104"/>
      <c r="H104"/>
      <c r="J104"/>
      <c r="K104"/>
      <c r="L104"/>
      <c r="M104"/>
      <c r="N104"/>
      <c r="P104"/>
      <c r="Q104"/>
      <c r="R104"/>
      <c r="S104"/>
      <c r="T104"/>
      <c r="U104" s="46"/>
      <c r="V104" s="46"/>
    </row>
    <row r="105" spans="1:22" ht="15" customHeight="1" x14ac:dyDescent="0.25">
      <c r="A105" s="17"/>
      <c r="G105"/>
      <c r="H105"/>
      <c r="J105"/>
      <c r="K105"/>
      <c r="L105"/>
      <c r="M105"/>
      <c r="N105"/>
      <c r="P105"/>
      <c r="Q105"/>
      <c r="R105"/>
      <c r="S105"/>
      <c r="T105"/>
      <c r="U105" s="46"/>
      <c r="V105" s="46"/>
    </row>
    <row r="106" spans="1:22" ht="15" customHeight="1" x14ac:dyDescent="0.25">
      <c r="A106" s="17"/>
      <c r="G106"/>
      <c r="H106"/>
      <c r="J106"/>
      <c r="K106"/>
      <c r="L106"/>
      <c r="M106"/>
      <c r="N106"/>
      <c r="P106"/>
      <c r="Q106"/>
      <c r="R106"/>
      <c r="S106"/>
      <c r="T106"/>
      <c r="U106" s="46"/>
      <c r="V106" s="46"/>
    </row>
    <row r="107" spans="1:22" ht="15" customHeight="1" x14ac:dyDescent="0.25">
      <c r="A107" s="17"/>
      <c r="G107"/>
      <c r="H107"/>
      <c r="J107"/>
      <c r="K107"/>
      <c r="L107"/>
      <c r="M107"/>
      <c r="N107"/>
      <c r="P107"/>
      <c r="Q107"/>
      <c r="R107"/>
      <c r="S107"/>
      <c r="T107"/>
      <c r="U107" s="46"/>
      <c r="V107" s="46"/>
    </row>
    <row r="108" spans="1:22" ht="15" customHeight="1" x14ac:dyDescent="0.25">
      <c r="A108" s="17"/>
      <c r="G108"/>
      <c r="H108"/>
      <c r="J108"/>
      <c r="K108"/>
      <c r="L108"/>
      <c r="M108"/>
      <c r="N108"/>
      <c r="P108"/>
      <c r="Q108"/>
      <c r="R108"/>
      <c r="S108"/>
      <c r="T108"/>
      <c r="U108" s="46"/>
      <c r="V108" s="46"/>
    </row>
    <row r="109" spans="1:22" ht="15" customHeight="1" x14ac:dyDescent="0.25">
      <c r="A109" s="17"/>
      <c r="G109"/>
      <c r="H109"/>
      <c r="J109"/>
      <c r="K109"/>
      <c r="L109"/>
      <c r="M109"/>
      <c r="N109"/>
      <c r="P109"/>
      <c r="Q109"/>
      <c r="R109"/>
      <c r="S109"/>
      <c r="T109"/>
      <c r="U109" s="46"/>
      <c r="V109" s="46"/>
    </row>
    <row r="110" spans="1:22" ht="15" customHeight="1" x14ac:dyDescent="0.25">
      <c r="A110" s="17"/>
      <c r="G110"/>
      <c r="H110"/>
      <c r="J110"/>
      <c r="K110"/>
      <c r="L110"/>
      <c r="M110"/>
      <c r="N110"/>
      <c r="P110"/>
      <c r="Q110"/>
      <c r="R110"/>
      <c r="S110"/>
      <c r="T110"/>
      <c r="U110" s="46"/>
      <c r="V110" s="46"/>
    </row>
    <row r="111" spans="1:22" ht="15" customHeight="1" x14ac:dyDescent="0.25">
      <c r="A111" s="17"/>
      <c r="G111"/>
      <c r="H111"/>
      <c r="J111"/>
      <c r="K111"/>
      <c r="L111"/>
      <c r="M111"/>
      <c r="N111"/>
      <c r="P111"/>
      <c r="Q111"/>
      <c r="R111"/>
      <c r="S111"/>
      <c r="T111"/>
      <c r="U111" s="46"/>
      <c r="V111" s="46"/>
    </row>
    <row r="112" spans="1:22" ht="15" customHeight="1" x14ac:dyDescent="0.25">
      <c r="A112" s="17"/>
      <c r="G112"/>
      <c r="H112"/>
      <c r="J112"/>
      <c r="K112"/>
      <c r="L112"/>
      <c r="M112"/>
      <c r="N112"/>
      <c r="P112"/>
      <c r="Q112"/>
      <c r="R112"/>
      <c r="S112"/>
      <c r="T112"/>
      <c r="U112" s="46"/>
      <c r="V112" s="46"/>
    </row>
    <row r="113" spans="1:22" ht="15" customHeight="1" x14ac:dyDescent="0.25">
      <c r="A113" s="17"/>
      <c r="G113"/>
      <c r="H113"/>
      <c r="J113"/>
      <c r="K113"/>
      <c r="L113"/>
      <c r="M113"/>
      <c r="N113"/>
      <c r="P113"/>
      <c r="Q113"/>
      <c r="R113"/>
      <c r="S113"/>
      <c r="T113"/>
      <c r="U113" s="46"/>
      <c r="V113" s="46"/>
    </row>
    <row r="114" spans="1:22" ht="15" customHeight="1" x14ac:dyDescent="0.25">
      <c r="A114" s="17"/>
      <c r="G114"/>
      <c r="H114"/>
      <c r="J114"/>
      <c r="K114"/>
      <c r="L114"/>
      <c r="M114"/>
      <c r="N114"/>
      <c r="P114"/>
      <c r="Q114"/>
      <c r="R114"/>
      <c r="S114"/>
      <c r="T114"/>
      <c r="U114" s="46"/>
      <c r="V114" s="46"/>
    </row>
    <row r="115" spans="1:22" ht="15" customHeight="1" x14ac:dyDescent="0.25">
      <c r="A115" s="17"/>
      <c r="G115"/>
      <c r="H115"/>
      <c r="J115"/>
      <c r="K115"/>
      <c r="L115"/>
      <c r="M115"/>
      <c r="N115"/>
      <c r="P115"/>
      <c r="Q115"/>
      <c r="R115"/>
      <c r="S115"/>
      <c r="T115"/>
      <c r="U115" s="46"/>
      <c r="V115" s="46"/>
    </row>
    <row r="116" spans="1:22" ht="15" customHeight="1" x14ac:dyDescent="0.25">
      <c r="A116" s="17"/>
      <c r="G116"/>
      <c r="H116"/>
      <c r="J116"/>
      <c r="K116"/>
      <c r="L116"/>
      <c r="M116"/>
      <c r="N116"/>
      <c r="P116"/>
      <c r="Q116"/>
      <c r="R116"/>
      <c r="S116"/>
      <c r="T116"/>
      <c r="U116" s="46"/>
      <c r="V116" s="46"/>
    </row>
    <row r="117" spans="1:22" ht="15" customHeight="1" x14ac:dyDescent="0.25">
      <c r="A117" s="17"/>
      <c r="G117"/>
      <c r="H117"/>
      <c r="J117"/>
      <c r="K117"/>
      <c r="L117"/>
      <c r="M117"/>
      <c r="N117"/>
      <c r="P117"/>
      <c r="Q117"/>
      <c r="R117"/>
      <c r="S117"/>
      <c r="T117"/>
      <c r="U117" s="46"/>
      <c r="V117" s="46"/>
    </row>
    <row r="118" spans="1:22" ht="15" customHeight="1" x14ac:dyDescent="0.25">
      <c r="A118" s="17"/>
      <c r="G118"/>
      <c r="H118"/>
      <c r="J118"/>
      <c r="K118"/>
      <c r="L118"/>
      <c r="M118"/>
      <c r="N118"/>
      <c r="P118"/>
      <c r="Q118"/>
      <c r="R118"/>
      <c r="S118"/>
      <c r="T118"/>
      <c r="U118" s="46"/>
      <c r="V118" s="46"/>
    </row>
    <row r="119" spans="1:22" ht="15" customHeight="1" x14ac:dyDescent="0.25">
      <c r="A119" s="17"/>
      <c r="G119"/>
      <c r="H119"/>
      <c r="J119"/>
      <c r="K119"/>
      <c r="L119"/>
      <c r="M119"/>
      <c r="N119"/>
      <c r="P119"/>
      <c r="Q119"/>
      <c r="R119"/>
      <c r="S119"/>
      <c r="T119"/>
      <c r="U119" s="46"/>
      <c r="V119" s="46"/>
    </row>
    <row r="120" spans="1:22" ht="15" customHeight="1" x14ac:dyDescent="0.25">
      <c r="A120" s="17"/>
      <c r="G120"/>
      <c r="H120"/>
      <c r="J120"/>
      <c r="K120"/>
      <c r="L120"/>
      <c r="M120"/>
      <c r="N120"/>
      <c r="P120"/>
      <c r="Q120"/>
      <c r="R120"/>
      <c r="S120"/>
      <c r="T120"/>
      <c r="U120" s="46"/>
      <c r="V120" s="46"/>
    </row>
    <row r="121" spans="1:22" ht="15" customHeight="1" x14ac:dyDescent="0.25">
      <c r="A121" s="17"/>
      <c r="G121"/>
      <c r="H121"/>
      <c r="J121"/>
      <c r="K121"/>
      <c r="L121"/>
      <c r="M121"/>
      <c r="N121"/>
      <c r="P121"/>
      <c r="Q121"/>
      <c r="R121"/>
      <c r="S121"/>
      <c r="T121"/>
      <c r="U121" s="46"/>
      <c r="V121" s="46"/>
    </row>
    <row r="122" spans="1:22" ht="15" customHeight="1" x14ac:dyDescent="0.25">
      <c r="A122" s="17"/>
      <c r="G122"/>
      <c r="H122"/>
      <c r="J122"/>
      <c r="K122"/>
      <c r="L122"/>
      <c r="M122"/>
      <c r="N122"/>
      <c r="P122"/>
      <c r="Q122"/>
      <c r="R122"/>
      <c r="S122"/>
      <c r="T122"/>
      <c r="U122" s="46"/>
      <c r="V122" s="46"/>
    </row>
    <row r="123" spans="1:22" ht="15" customHeight="1" x14ac:dyDescent="0.25">
      <c r="A123" s="17"/>
      <c r="G123"/>
      <c r="H123"/>
      <c r="J123"/>
      <c r="K123"/>
      <c r="L123"/>
      <c r="M123"/>
      <c r="N123"/>
      <c r="P123"/>
      <c r="Q123"/>
      <c r="R123"/>
      <c r="S123"/>
      <c r="T123"/>
      <c r="U123" s="46"/>
      <c r="V123" s="46"/>
    </row>
    <row r="124" spans="1:22" ht="15" customHeight="1" x14ac:dyDescent="0.25">
      <c r="A124" s="17"/>
      <c r="G124"/>
      <c r="H124"/>
      <c r="J124"/>
      <c r="K124"/>
      <c r="L124"/>
      <c r="M124"/>
      <c r="N124"/>
      <c r="P124"/>
      <c r="Q124"/>
      <c r="R124"/>
      <c r="S124"/>
      <c r="T124"/>
      <c r="U124" s="46"/>
      <c r="V124" s="46"/>
    </row>
    <row r="125" spans="1:22" ht="15" customHeight="1" x14ac:dyDescent="0.25">
      <c r="A125" s="17"/>
      <c r="G125"/>
      <c r="H125"/>
      <c r="J125"/>
      <c r="K125"/>
      <c r="L125"/>
      <c r="M125"/>
      <c r="N125"/>
      <c r="P125"/>
      <c r="Q125"/>
      <c r="R125"/>
      <c r="S125"/>
      <c r="T125"/>
      <c r="U125" s="46"/>
      <c r="V125" s="46"/>
    </row>
    <row r="126" spans="1:22" ht="15" customHeight="1" x14ac:dyDescent="0.25">
      <c r="A126" s="17"/>
      <c r="G126"/>
      <c r="H126"/>
      <c r="J126"/>
      <c r="K126"/>
      <c r="L126"/>
      <c r="M126"/>
      <c r="N126"/>
      <c r="P126"/>
      <c r="Q126"/>
      <c r="R126"/>
      <c r="S126"/>
      <c r="T126"/>
      <c r="U126" s="46"/>
      <c r="V126" s="46"/>
    </row>
    <row r="127" spans="1:22" ht="15" customHeight="1" x14ac:dyDescent="0.25">
      <c r="A127" s="17"/>
      <c r="G127"/>
      <c r="H127"/>
      <c r="J127"/>
      <c r="K127"/>
      <c r="L127"/>
      <c r="M127"/>
      <c r="N127"/>
      <c r="P127"/>
      <c r="Q127"/>
      <c r="R127"/>
      <c r="S127"/>
      <c r="T127"/>
      <c r="U127" s="46"/>
      <c r="V127" s="46"/>
    </row>
    <row r="128" spans="1:22" ht="15" customHeight="1" x14ac:dyDescent="0.25">
      <c r="A128" s="17"/>
      <c r="G128"/>
      <c r="H128"/>
      <c r="J128"/>
      <c r="K128"/>
      <c r="L128"/>
      <c r="M128"/>
      <c r="N128"/>
      <c r="P128"/>
      <c r="Q128"/>
      <c r="R128"/>
      <c r="S128"/>
      <c r="T128"/>
      <c r="U128" s="46"/>
      <c r="V128" s="46"/>
    </row>
    <row r="129" spans="1:22" ht="15" customHeight="1" x14ac:dyDescent="0.25">
      <c r="A129" s="17"/>
      <c r="G129"/>
      <c r="H129"/>
      <c r="J129"/>
      <c r="K129"/>
      <c r="L129"/>
      <c r="M129"/>
      <c r="N129"/>
      <c r="P129"/>
      <c r="Q129"/>
      <c r="R129"/>
      <c r="S129"/>
      <c r="T129"/>
      <c r="U129" s="46"/>
      <c r="V129" s="46"/>
    </row>
    <row r="130" spans="1:22" ht="15" customHeight="1" x14ac:dyDescent="0.25">
      <c r="A130" s="17"/>
      <c r="G130"/>
      <c r="H130"/>
      <c r="J130"/>
      <c r="K130"/>
      <c r="L130"/>
      <c r="M130"/>
      <c r="N130"/>
      <c r="P130"/>
      <c r="Q130"/>
      <c r="R130"/>
      <c r="S130"/>
      <c r="T130"/>
      <c r="U130" s="46"/>
      <c r="V130" s="46"/>
    </row>
    <row r="131" spans="1:22" ht="15" customHeight="1" x14ac:dyDescent="0.25">
      <c r="A131" s="17"/>
      <c r="G131"/>
      <c r="H131"/>
      <c r="J131"/>
      <c r="K131"/>
      <c r="L131"/>
      <c r="M131"/>
      <c r="N131"/>
      <c r="P131"/>
      <c r="Q131"/>
      <c r="R131"/>
      <c r="S131"/>
      <c r="T131"/>
      <c r="U131" s="46"/>
      <c r="V131" s="46"/>
    </row>
    <row r="132" spans="1:22" ht="15" customHeight="1" x14ac:dyDescent="0.25">
      <c r="A132" s="17"/>
      <c r="G132"/>
      <c r="H132"/>
      <c r="J132"/>
      <c r="K132"/>
      <c r="L132"/>
      <c r="M132"/>
      <c r="N132"/>
      <c r="P132"/>
      <c r="Q132"/>
      <c r="R132"/>
      <c r="S132"/>
      <c r="T132"/>
      <c r="U132" s="46"/>
      <c r="V132" s="46"/>
    </row>
    <row r="133" spans="1:22" ht="15" customHeight="1" x14ac:dyDescent="0.25">
      <c r="A133" s="17"/>
      <c r="G133"/>
      <c r="H133"/>
      <c r="J133"/>
      <c r="K133"/>
      <c r="L133"/>
      <c r="M133"/>
      <c r="N133"/>
      <c r="P133"/>
      <c r="Q133"/>
      <c r="R133"/>
      <c r="S133"/>
      <c r="T133"/>
      <c r="U133" s="46"/>
      <c r="V133" s="46"/>
    </row>
    <row r="134" spans="1:22" ht="15" customHeight="1" x14ac:dyDescent="0.25">
      <c r="A134" s="17"/>
      <c r="G134"/>
      <c r="H134"/>
      <c r="J134"/>
      <c r="K134"/>
      <c r="L134"/>
      <c r="M134"/>
      <c r="N134"/>
      <c r="P134"/>
      <c r="Q134"/>
      <c r="R134"/>
      <c r="S134"/>
      <c r="T134"/>
      <c r="U134" s="46"/>
      <c r="V134" s="46"/>
    </row>
    <row r="135" spans="1:22" ht="15" customHeight="1" x14ac:dyDescent="0.25">
      <c r="A135" s="17"/>
      <c r="G135"/>
      <c r="H135"/>
      <c r="J135"/>
      <c r="K135"/>
      <c r="L135"/>
      <c r="M135"/>
      <c r="N135"/>
      <c r="P135"/>
      <c r="Q135"/>
      <c r="R135"/>
      <c r="S135"/>
      <c r="T135"/>
      <c r="U135" s="46"/>
      <c r="V135" s="46"/>
    </row>
    <row r="136" spans="1:22" ht="15" customHeight="1" x14ac:dyDescent="0.25">
      <c r="A136" s="17"/>
      <c r="G136"/>
      <c r="H136"/>
      <c r="J136"/>
      <c r="K136"/>
      <c r="L136"/>
      <c r="M136"/>
      <c r="N136"/>
      <c r="P136"/>
      <c r="Q136"/>
      <c r="R136"/>
      <c r="S136"/>
      <c r="T136"/>
      <c r="U136" s="46"/>
      <c r="V136" s="46"/>
    </row>
    <row r="137" spans="1:22" ht="15" customHeight="1" x14ac:dyDescent="0.25">
      <c r="A137" s="17"/>
      <c r="G137"/>
      <c r="H137"/>
      <c r="J137"/>
      <c r="K137"/>
      <c r="L137"/>
      <c r="M137"/>
      <c r="N137"/>
      <c r="P137"/>
      <c r="Q137"/>
      <c r="R137"/>
      <c r="S137"/>
      <c r="T137"/>
      <c r="U137" s="46"/>
      <c r="V137" s="46"/>
    </row>
    <row r="138" spans="1:22" ht="15" customHeight="1" x14ac:dyDescent="0.25">
      <c r="A138" s="17"/>
      <c r="G138"/>
      <c r="H138"/>
      <c r="J138"/>
      <c r="K138"/>
      <c r="L138"/>
      <c r="M138"/>
      <c r="N138"/>
      <c r="P138"/>
      <c r="Q138"/>
      <c r="R138"/>
      <c r="S138"/>
      <c r="T138"/>
      <c r="U138" s="46"/>
      <c r="V138" s="46"/>
    </row>
    <row r="139" spans="1:22" ht="15" customHeight="1" x14ac:dyDescent="0.25">
      <c r="A139" s="17"/>
      <c r="G139"/>
      <c r="H139"/>
      <c r="J139"/>
      <c r="K139"/>
      <c r="L139"/>
      <c r="M139"/>
      <c r="N139"/>
      <c r="P139"/>
      <c r="Q139"/>
      <c r="R139"/>
      <c r="S139"/>
      <c r="T139"/>
      <c r="U139" s="46"/>
      <c r="V139" s="46"/>
    </row>
    <row r="140" spans="1:22" ht="15" customHeight="1" x14ac:dyDescent="0.25">
      <c r="A140" s="17"/>
      <c r="G140"/>
      <c r="H140"/>
      <c r="J140"/>
      <c r="K140"/>
      <c r="L140"/>
      <c r="M140"/>
      <c r="N140"/>
      <c r="P140"/>
      <c r="Q140"/>
      <c r="R140"/>
      <c r="S140"/>
      <c r="T140"/>
      <c r="U140" s="46"/>
      <c r="V140" s="46"/>
    </row>
    <row r="141" spans="1:22" ht="15" customHeight="1" x14ac:dyDescent="0.25">
      <c r="A141" s="17"/>
      <c r="G141"/>
      <c r="H141"/>
      <c r="J141"/>
      <c r="K141"/>
      <c r="L141"/>
      <c r="M141"/>
      <c r="N141"/>
      <c r="P141"/>
      <c r="Q141"/>
      <c r="R141"/>
      <c r="S141"/>
      <c r="T141"/>
      <c r="U141" s="46"/>
      <c r="V141" s="46"/>
    </row>
    <row r="142" spans="1:22" ht="15" customHeight="1" x14ac:dyDescent="0.25">
      <c r="A142" s="17"/>
      <c r="G142"/>
      <c r="H142"/>
      <c r="J142"/>
      <c r="K142"/>
      <c r="L142"/>
      <c r="M142"/>
      <c r="N142"/>
      <c r="P142"/>
      <c r="Q142"/>
      <c r="R142"/>
      <c r="S142"/>
      <c r="T142"/>
      <c r="U142" s="46"/>
      <c r="V142" s="46"/>
    </row>
    <row r="143" spans="1:22" ht="15" customHeight="1" x14ac:dyDescent="0.25">
      <c r="A143" s="17"/>
      <c r="G143"/>
      <c r="H143"/>
      <c r="J143"/>
      <c r="K143"/>
      <c r="L143"/>
      <c r="M143"/>
      <c r="N143"/>
      <c r="P143"/>
      <c r="Q143"/>
      <c r="R143"/>
      <c r="S143"/>
      <c r="T143"/>
      <c r="U143" s="46"/>
      <c r="V143" s="46"/>
    </row>
    <row r="144" spans="1:22" ht="15" customHeight="1" x14ac:dyDescent="0.25">
      <c r="A144" s="17"/>
      <c r="G144"/>
      <c r="H144"/>
      <c r="J144"/>
      <c r="K144"/>
      <c r="L144"/>
      <c r="M144"/>
      <c r="N144"/>
      <c r="P144"/>
      <c r="Q144"/>
      <c r="R144"/>
      <c r="S144"/>
      <c r="T144"/>
      <c r="U144" s="46"/>
      <c r="V144" s="46"/>
    </row>
    <row r="145" spans="1:22" ht="15" customHeight="1" x14ac:dyDescent="0.25">
      <c r="A145" s="17"/>
      <c r="G145"/>
      <c r="H145"/>
      <c r="J145"/>
      <c r="K145"/>
      <c r="L145"/>
      <c r="M145"/>
      <c r="N145"/>
      <c r="P145"/>
      <c r="Q145"/>
      <c r="R145"/>
      <c r="S145"/>
      <c r="T145"/>
      <c r="U145" s="46"/>
      <c r="V145" s="46"/>
    </row>
    <row r="146" spans="1:22" ht="15" customHeight="1" x14ac:dyDescent="0.25">
      <c r="A146" s="17"/>
      <c r="G146"/>
      <c r="H146"/>
      <c r="J146"/>
      <c r="K146"/>
      <c r="L146"/>
      <c r="M146"/>
      <c r="N146"/>
      <c r="P146"/>
      <c r="Q146"/>
      <c r="R146"/>
      <c r="S146"/>
      <c r="T146"/>
      <c r="U146" s="46"/>
      <c r="V146" s="46"/>
    </row>
    <row r="147" spans="1:22" ht="15" customHeight="1" x14ac:dyDescent="0.25">
      <c r="A147" s="17"/>
      <c r="G147"/>
      <c r="H147"/>
      <c r="J147"/>
      <c r="K147"/>
      <c r="L147"/>
      <c r="M147"/>
      <c r="N147"/>
      <c r="P147"/>
      <c r="Q147"/>
      <c r="R147"/>
      <c r="S147"/>
      <c r="T147"/>
      <c r="U147" s="46"/>
      <c r="V147" s="46"/>
    </row>
    <row r="148" spans="1:22" ht="15" customHeight="1" x14ac:dyDescent="0.25">
      <c r="A148" s="17"/>
      <c r="G148"/>
      <c r="H148"/>
      <c r="J148"/>
      <c r="K148"/>
      <c r="L148"/>
      <c r="M148"/>
      <c r="N148"/>
      <c r="P148"/>
      <c r="Q148"/>
      <c r="R148"/>
      <c r="S148"/>
      <c r="T148"/>
      <c r="U148" s="46"/>
      <c r="V148" s="46"/>
    </row>
    <row r="149" spans="1:22" ht="15" customHeight="1" x14ac:dyDescent="0.25">
      <c r="A149" s="17"/>
      <c r="G149"/>
      <c r="H149"/>
      <c r="J149"/>
      <c r="K149"/>
      <c r="L149"/>
      <c r="M149"/>
      <c r="N149"/>
      <c r="P149"/>
      <c r="Q149"/>
      <c r="R149"/>
      <c r="S149"/>
      <c r="T149"/>
      <c r="U149" s="46"/>
      <c r="V149" s="46"/>
    </row>
    <row r="150" spans="1:22" ht="15" customHeight="1" x14ac:dyDescent="0.25">
      <c r="A150" s="17"/>
      <c r="G150"/>
      <c r="H150"/>
      <c r="J150"/>
      <c r="K150"/>
      <c r="L150"/>
      <c r="M150"/>
      <c r="N150"/>
      <c r="P150"/>
      <c r="Q150"/>
      <c r="R150"/>
      <c r="S150"/>
      <c r="T150"/>
      <c r="U150" s="46"/>
      <c r="V150" s="46"/>
    </row>
    <row r="151" spans="1:22" ht="15" customHeight="1" x14ac:dyDescent="0.25">
      <c r="A151" s="17"/>
      <c r="G151"/>
      <c r="H151"/>
      <c r="J151"/>
      <c r="K151"/>
      <c r="L151"/>
      <c r="M151"/>
      <c r="N151"/>
      <c r="P151"/>
      <c r="Q151"/>
      <c r="R151"/>
      <c r="S151"/>
      <c r="T151"/>
      <c r="U151" s="46"/>
      <c r="V151" s="46"/>
    </row>
    <row r="152" spans="1:22" ht="15" customHeight="1" x14ac:dyDescent="0.25">
      <c r="A152" s="17"/>
      <c r="G152"/>
      <c r="H152"/>
      <c r="J152"/>
      <c r="K152"/>
      <c r="L152"/>
      <c r="M152"/>
      <c r="N152"/>
      <c r="P152"/>
      <c r="Q152"/>
      <c r="R152"/>
      <c r="S152"/>
      <c r="T152"/>
      <c r="U152" s="46"/>
      <c r="V152" s="46"/>
    </row>
    <row r="153" spans="1:22" ht="15" customHeight="1" x14ac:dyDescent="0.25">
      <c r="A153" s="17"/>
      <c r="G153"/>
      <c r="H153"/>
      <c r="J153"/>
      <c r="K153"/>
      <c r="L153"/>
      <c r="M153"/>
      <c r="N153"/>
      <c r="P153"/>
      <c r="Q153"/>
      <c r="R153"/>
      <c r="S153"/>
      <c r="T153"/>
      <c r="U153" s="46"/>
      <c r="V153" s="46"/>
    </row>
    <row r="154" spans="1:22" ht="15" customHeight="1" x14ac:dyDescent="0.25">
      <c r="A154" s="17"/>
      <c r="G154"/>
      <c r="H154"/>
      <c r="J154"/>
      <c r="K154"/>
      <c r="L154"/>
      <c r="M154"/>
      <c r="N154"/>
      <c r="P154"/>
      <c r="Q154"/>
      <c r="R154"/>
      <c r="S154"/>
      <c r="T154"/>
      <c r="U154" s="46"/>
      <c r="V154" s="46"/>
    </row>
    <row r="155" spans="1:22" ht="15" customHeight="1" x14ac:dyDescent="0.25">
      <c r="A155" s="17"/>
      <c r="G155"/>
      <c r="H155"/>
      <c r="J155"/>
      <c r="K155"/>
      <c r="L155"/>
      <c r="M155"/>
      <c r="N155"/>
      <c r="P155"/>
      <c r="Q155"/>
      <c r="R155"/>
      <c r="S155"/>
      <c r="T155"/>
      <c r="U155" s="46"/>
      <c r="V155" s="46"/>
    </row>
    <row r="156" spans="1:22" ht="15" customHeight="1" x14ac:dyDescent="0.25">
      <c r="A156" s="17"/>
      <c r="G156"/>
      <c r="H156"/>
      <c r="J156"/>
      <c r="K156"/>
      <c r="L156"/>
      <c r="M156"/>
      <c r="N156"/>
      <c r="P156"/>
      <c r="Q156"/>
      <c r="R156"/>
      <c r="S156"/>
      <c r="T156"/>
      <c r="U156" s="46"/>
      <c r="V156" s="46"/>
    </row>
    <row r="157" spans="1:22" ht="15" customHeight="1" x14ac:dyDescent="0.25">
      <c r="A157" s="17"/>
      <c r="G157"/>
      <c r="H157"/>
      <c r="J157"/>
      <c r="K157"/>
      <c r="L157"/>
      <c r="M157"/>
      <c r="N157"/>
      <c r="P157"/>
      <c r="Q157"/>
      <c r="R157"/>
      <c r="S157"/>
      <c r="T157"/>
      <c r="U157" s="46"/>
      <c r="V157" s="46"/>
    </row>
    <row r="158" spans="1:22" ht="15" customHeight="1" x14ac:dyDescent="0.25">
      <c r="A158" s="17"/>
      <c r="G158"/>
      <c r="H158"/>
      <c r="J158"/>
      <c r="K158"/>
      <c r="L158"/>
      <c r="M158"/>
      <c r="N158"/>
      <c r="P158"/>
      <c r="Q158"/>
      <c r="R158"/>
      <c r="S158"/>
      <c r="T158"/>
      <c r="U158" s="46"/>
      <c r="V158" s="46"/>
    </row>
    <row r="159" spans="1:22" ht="15" customHeight="1" x14ac:dyDescent="0.25">
      <c r="A159" s="17"/>
      <c r="G159"/>
      <c r="H159"/>
      <c r="J159"/>
      <c r="K159"/>
      <c r="L159"/>
      <c r="M159"/>
      <c r="N159"/>
      <c r="P159"/>
      <c r="Q159"/>
      <c r="R159"/>
      <c r="S159"/>
      <c r="T159"/>
      <c r="U159" s="46"/>
      <c r="V159" s="46"/>
    </row>
    <row r="160" spans="1:22" ht="15" customHeight="1" x14ac:dyDescent="0.25">
      <c r="A160" s="17"/>
      <c r="G160"/>
      <c r="H160"/>
      <c r="J160"/>
      <c r="K160"/>
      <c r="L160"/>
      <c r="M160"/>
      <c r="N160"/>
      <c r="P160"/>
      <c r="Q160"/>
      <c r="R160"/>
      <c r="S160"/>
      <c r="T160"/>
      <c r="U160" s="46"/>
      <c r="V160" s="46"/>
    </row>
    <row r="161" spans="1:22" ht="15" customHeight="1" x14ac:dyDescent="0.25">
      <c r="A161" s="17"/>
      <c r="G161"/>
      <c r="H161"/>
      <c r="J161"/>
      <c r="K161"/>
      <c r="L161"/>
      <c r="M161"/>
      <c r="N161"/>
      <c r="P161"/>
      <c r="Q161"/>
      <c r="R161"/>
      <c r="S161"/>
      <c r="T161"/>
      <c r="U161" s="46"/>
      <c r="V161" s="46"/>
    </row>
    <row r="162" spans="1:22" ht="15" customHeight="1" x14ac:dyDescent="0.25">
      <c r="A162" s="17"/>
      <c r="G162"/>
      <c r="H162"/>
      <c r="J162"/>
      <c r="K162"/>
      <c r="L162"/>
      <c r="M162"/>
      <c r="N162"/>
      <c r="P162"/>
      <c r="Q162"/>
      <c r="R162"/>
      <c r="S162"/>
      <c r="T162"/>
      <c r="U162" s="46"/>
      <c r="V162" s="46"/>
    </row>
    <row r="163" spans="1:22" ht="15" customHeight="1" x14ac:dyDescent="0.25">
      <c r="A163" s="17"/>
      <c r="G163"/>
      <c r="H163"/>
      <c r="J163"/>
      <c r="K163"/>
      <c r="L163"/>
      <c r="M163"/>
      <c r="N163"/>
      <c r="P163"/>
      <c r="Q163"/>
      <c r="R163"/>
      <c r="S163"/>
      <c r="T163"/>
      <c r="U163" s="46"/>
      <c r="V163" s="46"/>
    </row>
    <row r="164" spans="1:22" ht="15" customHeight="1" x14ac:dyDescent="0.25">
      <c r="A164" s="17"/>
      <c r="G164"/>
      <c r="H164"/>
      <c r="J164"/>
      <c r="K164"/>
      <c r="L164"/>
      <c r="M164"/>
      <c r="N164"/>
      <c r="P164"/>
      <c r="Q164"/>
      <c r="R164"/>
      <c r="S164"/>
      <c r="T164"/>
      <c r="U164" s="46"/>
      <c r="V164" s="46"/>
    </row>
    <row r="165" spans="1:22" ht="15" customHeight="1" x14ac:dyDescent="0.25">
      <c r="A165" s="17"/>
      <c r="G165"/>
      <c r="H165"/>
      <c r="J165"/>
      <c r="K165"/>
      <c r="L165"/>
      <c r="M165"/>
      <c r="N165"/>
      <c r="P165"/>
      <c r="Q165"/>
      <c r="R165"/>
      <c r="S165"/>
      <c r="T165"/>
      <c r="U165" s="46"/>
      <c r="V165" s="46"/>
    </row>
    <row r="166" spans="1:22" ht="15" customHeight="1" x14ac:dyDescent="0.25">
      <c r="A166" s="17"/>
      <c r="G166"/>
      <c r="H166"/>
      <c r="J166"/>
      <c r="K166"/>
      <c r="L166"/>
      <c r="M166"/>
      <c r="N166"/>
      <c r="P166"/>
      <c r="Q166"/>
      <c r="R166"/>
      <c r="S166"/>
      <c r="T166"/>
      <c r="U166" s="46"/>
      <c r="V166" s="46"/>
    </row>
    <row r="167" spans="1:22" ht="15" customHeight="1" x14ac:dyDescent="0.25">
      <c r="A167" s="17"/>
      <c r="G167"/>
      <c r="H167"/>
      <c r="J167"/>
      <c r="K167"/>
      <c r="L167"/>
      <c r="M167"/>
      <c r="N167"/>
      <c r="P167"/>
      <c r="Q167"/>
      <c r="R167"/>
      <c r="S167"/>
      <c r="T167"/>
      <c r="U167" s="46"/>
      <c r="V167" s="46"/>
    </row>
    <row r="168" spans="1:22" ht="15" customHeight="1" x14ac:dyDescent="0.25">
      <c r="A168" s="17"/>
      <c r="G168"/>
      <c r="H168"/>
      <c r="J168"/>
      <c r="K168"/>
      <c r="L168"/>
      <c r="M168"/>
      <c r="N168"/>
      <c r="P168"/>
      <c r="Q168"/>
      <c r="R168"/>
      <c r="S168"/>
      <c r="T168"/>
      <c r="U168" s="46"/>
      <c r="V168" s="46"/>
    </row>
    <row r="169" spans="1:22" ht="15" customHeight="1" x14ac:dyDescent="0.25">
      <c r="A169" s="17"/>
      <c r="G169"/>
      <c r="H169"/>
      <c r="J169"/>
      <c r="K169"/>
      <c r="L169"/>
      <c r="M169"/>
      <c r="N169"/>
      <c r="P169"/>
      <c r="Q169"/>
      <c r="R169"/>
      <c r="S169"/>
      <c r="T169"/>
      <c r="U169" s="46"/>
      <c r="V169" s="46"/>
    </row>
    <row r="170" spans="1:22" ht="15" customHeight="1" x14ac:dyDescent="0.25">
      <c r="A170" s="17"/>
      <c r="G170"/>
      <c r="H170"/>
      <c r="J170"/>
      <c r="K170"/>
      <c r="L170"/>
      <c r="M170"/>
      <c r="N170"/>
      <c r="P170"/>
      <c r="Q170"/>
      <c r="R170"/>
      <c r="S170"/>
      <c r="T170"/>
      <c r="U170" s="46"/>
      <c r="V170" s="46"/>
    </row>
    <row r="171" spans="1:22" ht="15" customHeight="1" x14ac:dyDescent="0.25">
      <c r="A171" s="17"/>
      <c r="G171"/>
      <c r="H171"/>
      <c r="J171"/>
      <c r="K171"/>
      <c r="L171"/>
      <c r="M171"/>
      <c r="N171"/>
      <c r="P171"/>
      <c r="Q171"/>
      <c r="R171"/>
      <c r="S171"/>
      <c r="T171"/>
      <c r="U171" s="46"/>
      <c r="V171" s="46"/>
    </row>
    <row r="172" spans="1:22" ht="15" customHeight="1" x14ac:dyDescent="0.25">
      <c r="A172" s="17"/>
      <c r="G172"/>
      <c r="H172"/>
      <c r="J172"/>
      <c r="K172"/>
      <c r="L172"/>
      <c r="M172"/>
      <c r="N172"/>
      <c r="P172"/>
      <c r="Q172"/>
      <c r="R172"/>
      <c r="S172"/>
      <c r="T172"/>
      <c r="U172" s="46"/>
      <c r="V172" s="46"/>
    </row>
    <row r="173" spans="1:22" ht="15" customHeight="1" x14ac:dyDescent="0.25">
      <c r="A173" s="17"/>
      <c r="G173"/>
      <c r="H173"/>
      <c r="J173"/>
      <c r="K173"/>
      <c r="L173"/>
      <c r="M173"/>
      <c r="N173"/>
      <c r="P173"/>
      <c r="Q173"/>
      <c r="R173"/>
      <c r="S173"/>
      <c r="T173"/>
      <c r="U173" s="46"/>
      <c r="V173" s="46"/>
    </row>
    <row r="174" spans="1:22" ht="15" customHeight="1" x14ac:dyDescent="0.25">
      <c r="A174" s="17"/>
      <c r="G174"/>
      <c r="H174"/>
      <c r="J174"/>
      <c r="K174"/>
      <c r="L174"/>
      <c r="M174"/>
      <c r="N174"/>
      <c r="P174"/>
      <c r="Q174"/>
      <c r="R174"/>
      <c r="S174"/>
      <c r="T174"/>
      <c r="U174" s="46"/>
      <c r="V174" s="46"/>
    </row>
    <row r="175" spans="1:22" ht="15" customHeight="1" x14ac:dyDescent="0.25">
      <c r="A175" s="17"/>
      <c r="G175"/>
      <c r="H175"/>
      <c r="J175"/>
      <c r="K175"/>
      <c r="L175"/>
      <c r="M175"/>
      <c r="N175"/>
      <c r="P175"/>
      <c r="Q175"/>
      <c r="R175"/>
      <c r="S175"/>
      <c r="T175"/>
      <c r="U175" s="46"/>
      <c r="V175" s="46"/>
    </row>
    <row r="176" spans="1:22" ht="15" customHeight="1" x14ac:dyDescent="0.25">
      <c r="A176" s="17"/>
      <c r="G176"/>
      <c r="H176"/>
      <c r="J176"/>
      <c r="K176"/>
      <c r="L176"/>
      <c r="M176"/>
      <c r="N176"/>
      <c r="P176"/>
      <c r="Q176"/>
      <c r="R176"/>
      <c r="S176"/>
      <c r="T176"/>
      <c r="U176" s="46"/>
      <c r="V176" s="46"/>
    </row>
    <row r="177" spans="1:22" ht="15" customHeight="1" x14ac:dyDescent="0.25">
      <c r="A177" s="17"/>
      <c r="G177"/>
      <c r="H177"/>
      <c r="J177"/>
      <c r="K177"/>
      <c r="L177"/>
      <c r="M177"/>
      <c r="N177"/>
      <c r="P177"/>
      <c r="Q177"/>
      <c r="R177"/>
      <c r="S177"/>
      <c r="T177"/>
      <c r="U177" s="46"/>
      <c r="V177" s="46"/>
    </row>
    <row r="178" spans="1:22" ht="15" customHeight="1" x14ac:dyDescent="0.25">
      <c r="A178" s="17"/>
      <c r="G178"/>
      <c r="H178"/>
      <c r="J178"/>
      <c r="K178"/>
      <c r="L178"/>
      <c r="M178"/>
      <c r="N178"/>
      <c r="P178"/>
      <c r="Q178"/>
      <c r="R178"/>
      <c r="S178"/>
      <c r="T178"/>
      <c r="U178" s="46"/>
      <c r="V178" s="46"/>
    </row>
    <row r="179" spans="1:22" ht="15" customHeight="1" x14ac:dyDescent="0.25">
      <c r="A179" s="17"/>
      <c r="G179"/>
      <c r="H179"/>
      <c r="J179"/>
      <c r="K179"/>
      <c r="L179"/>
      <c r="M179"/>
      <c r="N179"/>
      <c r="P179"/>
      <c r="Q179"/>
      <c r="R179"/>
      <c r="S179"/>
      <c r="T179"/>
      <c r="U179" s="46"/>
      <c r="V179" s="46"/>
    </row>
    <row r="180" spans="1:22" ht="15" customHeight="1" x14ac:dyDescent="0.25">
      <c r="A180" s="17"/>
      <c r="G180"/>
      <c r="H180"/>
      <c r="J180"/>
      <c r="K180"/>
      <c r="L180"/>
      <c r="M180"/>
      <c r="N180"/>
      <c r="P180"/>
      <c r="Q180"/>
      <c r="R180"/>
      <c r="S180"/>
      <c r="T180"/>
      <c r="U180" s="46"/>
      <c r="V180" s="46"/>
    </row>
    <row r="181" spans="1:22" ht="15" customHeight="1" x14ac:dyDescent="0.25">
      <c r="A181" s="17"/>
      <c r="G181"/>
      <c r="H181"/>
      <c r="J181"/>
      <c r="K181"/>
      <c r="L181"/>
      <c r="M181"/>
      <c r="N181"/>
      <c r="P181"/>
      <c r="Q181"/>
      <c r="R181"/>
      <c r="S181"/>
      <c r="T181"/>
      <c r="U181" s="46"/>
      <c r="V181" s="46"/>
    </row>
    <row r="182" spans="1:22" ht="15" customHeight="1" x14ac:dyDescent="0.25">
      <c r="A182" s="17"/>
      <c r="G182"/>
      <c r="H182"/>
      <c r="J182"/>
      <c r="K182"/>
      <c r="L182"/>
      <c r="M182"/>
      <c r="N182"/>
      <c r="P182"/>
      <c r="Q182"/>
      <c r="R182"/>
      <c r="S182"/>
      <c r="T182"/>
      <c r="U182" s="46"/>
      <c r="V182" s="46"/>
    </row>
    <row r="183" spans="1:22" ht="15" customHeight="1" x14ac:dyDescent="0.25">
      <c r="A183" s="17"/>
      <c r="G183"/>
      <c r="H183"/>
      <c r="J183"/>
      <c r="K183"/>
      <c r="L183"/>
      <c r="M183"/>
      <c r="N183"/>
      <c r="P183"/>
      <c r="Q183"/>
      <c r="R183"/>
      <c r="S183"/>
      <c r="T183"/>
      <c r="U183" s="46"/>
      <c r="V183" s="46"/>
    </row>
    <row r="184" spans="1:22" ht="15" customHeight="1" x14ac:dyDescent="0.25">
      <c r="A184" s="17"/>
      <c r="G184"/>
      <c r="H184"/>
      <c r="J184"/>
      <c r="K184"/>
      <c r="L184"/>
      <c r="M184"/>
      <c r="N184"/>
      <c r="P184"/>
      <c r="Q184"/>
      <c r="R184"/>
      <c r="S184"/>
      <c r="T184"/>
      <c r="U184" s="46"/>
      <c r="V184" s="46"/>
    </row>
    <row r="185" spans="1:22" ht="15" customHeight="1" x14ac:dyDescent="0.25">
      <c r="A185" s="17"/>
      <c r="G185"/>
      <c r="H185"/>
      <c r="J185"/>
      <c r="K185"/>
      <c r="L185"/>
      <c r="M185"/>
      <c r="N185"/>
      <c r="P185"/>
      <c r="Q185"/>
      <c r="R185"/>
      <c r="S185"/>
      <c r="T185"/>
      <c r="U185" s="46"/>
      <c r="V185" s="46"/>
    </row>
    <row r="186" spans="1:22" ht="15" customHeight="1" x14ac:dyDescent="0.25">
      <c r="A186" s="17"/>
      <c r="G186"/>
      <c r="H186"/>
      <c r="J186"/>
      <c r="K186"/>
      <c r="L186"/>
      <c r="M186"/>
      <c r="N186"/>
      <c r="P186"/>
      <c r="Q186"/>
      <c r="R186"/>
      <c r="S186"/>
      <c r="T186"/>
      <c r="U186" s="46"/>
      <c r="V186" s="46"/>
    </row>
    <row r="187" spans="1:22" ht="15" customHeight="1" x14ac:dyDescent="0.25">
      <c r="A187" s="17"/>
      <c r="G187"/>
      <c r="H187"/>
      <c r="J187"/>
      <c r="K187"/>
      <c r="L187"/>
      <c r="M187"/>
      <c r="N187"/>
      <c r="P187"/>
      <c r="Q187"/>
      <c r="R187"/>
      <c r="S187"/>
      <c r="T187"/>
      <c r="U187" s="46"/>
      <c r="V187" s="46"/>
    </row>
    <row r="188" spans="1:22" ht="15" customHeight="1" x14ac:dyDescent="0.25">
      <c r="A188" s="17"/>
      <c r="G188"/>
      <c r="H188"/>
      <c r="J188"/>
      <c r="K188"/>
      <c r="L188"/>
      <c r="M188"/>
      <c r="N188"/>
      <c r="P188"/>
      <c r="Q188"/>
      <c r="R188"/>
      <c r="S188"/>
      <c r="T188"/>
      <c r="U188" s="46"/>
      <c r="V188" s="46"/>
    </row>
    <row r="189" spans="1:22" ht="15" customHeight="1" x14ac:dyDescent="0.25">
      <c r="A189" s="17"/>
      <c r="G189"/>
      <c r="H189"/>
      <c r="J189"/>
      <c r="K189"/>
      <c r="L189"/>
      <c r="M189"/>
      <c r="N189"/>
      <c r="P189"/>
      <c r="Q189"/>
      <c r="R189"/>
      <c r="S189"/>
      <c r="T189"/>
      <c r="U189" s="46"/>
      <c r="V189" s="46"/>
    </row>
    <row r="190" spans="1:22" ht="15" customHeight="1" x14ac:dyDescent="0.25">
      <c r="A190" s="17"/>
      <c r="G190"/>
      <c r="H190"/>
      <c r="J190"/>
      <c r="K190"/>
      <c r="L190"/>
      <c r="M190"/>
      <c r="N190"/>
      <c r="P190"/>
      <c r="Q190"/>
      <c r="R190"/>
      <c r="S190"/>
      <c r="T190"/>
      <c r="U190" s="46"/>
      <c r="V190" s="46"/>
    </row>
    <row r="191" spans="1:22" ht="15" customHeight="1" x14ac:dyDescent="0.25">
      <c r="A191" s="17"/>
      <c r="G191"/>
      <c r="H191"/>
      <c r="J191"/>
      <c r="K191"/>
      <c r="L191"/>
      <c r="M191"/>
      <c r="N191"/>
      <c r="P191"/>
      <c r="Q191"/>
      <c r="R191"/>
      <c r="S191"/>
      <c r="T191"/>
      <c r="U191" s="46"/>
      <c r="V191" s="46"/>
    </row>
    <row r="192" spans="1:22" ht="15" customHeight="1" x14ac:dyDescent="0.25">
      <c r="A192" s="17"/>
      <c r="G192"/>
      <c r="H192"/>
      <c r="J192"/>
      <c r="K192"/>
      <c r="L192"/>
      <c r="M192"/>
      <c r="N192"/>
      <c r="P192"/>
      <c r="Q192"/>
      <c r="R192"/>
      <c r="S192"/>
      <c r="T192"/>
      <c r="U192" s="46"/>
      <c r="V192" s="46"/>
    </row>
    <row r="193" spans="1:22" ht="15" customHeight="1" x14ac:dyDescent="0.25">
      <c r="A193" s="17"/>
      <c r="G193"/>
      <c r="H193"/>
      <c r="J193"/>
      <c r="K193"/>
      <c r="L193"/>
      <c r="M193"/>
      <c r="N193"/>
      <c r="P193"/>
      <c r="Q193"/>
      <c r="R193"/>
      <c r="S193"/>
      <c r="T193"/>
      <c r="U193" s="46"/>
      <c r="V193" s="46"/>
    </row>
    <row r="194" spans="1:22" ht="15" customHeight="1" x14ac:dyDescent="0.25">
      <c r="A194" s="17"/>
      <c r="G194"/>
      <c r="H194"/>
      <c r="J194"/>
      <c r="K194"/>
      <c r="L194"/>
      <c r="M194"/>
      <c r="N194"/>
      <c r="P194"/>
      <c r="Q194"/>
      <c r="R194"/>
      <c r="S194"/>
      <c r="T194"/>
      <c r="U194" s="46"/>
      <c r="V194" s="46"/>
    </row>
    <row r="195" spans="1:22" ht="15" customHeight="1" x14ac:dyDescent="0.25">
      <c r="A195" s="17"/>
      <c r="G195"/>
      <c r="H195"/>
      <c r="J195"/>
      <c r="K195"/>
      <c r="L195"/>
      <c r="M195"/>
      <c r="N195"/>
      <c r="P195"/>
      <c r="Q195"/>
      <c r="R195"/>
      <c r="S195"/>
      <c r="T195"/>
      <c r="U195" s="46"/>
      <c r="V195" s="46"/>
    </row>
    <row r="196" spans="1:22" ht="15" customHeight="1" x14ac:dyDescent="0.25">
      <c r="A196" s="17"/>
      <c r="G196"/>
      <c r="H196"/>
      <c r="J196"/>
      <c r="K196"/>
      <c r="L196"/>
      <c r="M196"/>
      <c r="N196"/>
      <c r="P196"/>
      <c r="Q196"/>
      <c r="R196"/>
      <c r="S196"/>
      <c r="T196"/>
      <c r="U196" s="46"/>
      <c r="V196" s="46"/>
    </row>
    <row r="197" spans="1:22" ht="15" customHeight="1" x14ac:dyDescent="0.25">
      <c r="A197" s="17"/>
      <c r="G197"/>
      <c r="H197"/>
      <c r="J197"/>
      <c r="K197"/>
      <c r="L197"/>
      <c r="M197"/>
      <c r="N197"/>
      <c r="P197"/>
      <c r="Q197"/>
      <c r="R197"/>
      <c r="S197"/>
      <c r="T197"/>
      <c r="U197" s="46"/>
      <c r="V197" s="46"/>
    </row>
    <row r="198" spans="1:22" ht="15" customHeight="1" x14ac:dyDescent="0.25">
      <c r="A198" s="17"/>
      <c r="G198"/>
      <c r="H198"/>
      <c r="J198"/>
      <c r="K198"/>
      <c r="L198"/>
      <c r="M198"/>
      <c r="N198"/>
      <c r="P198"/>
      <c r="Q198"/>
      <c r="R198"/>
      <c r="S198"/>
      <c r="T198"/>
      <c r="U198" s="46"/>
      <c r="V198" s="46"/>
    </row>
    <row r="199" spans="1:22" ht="15" customHeight="1" x14ac:dyDescent="0.25">
      <c r="A199" s="17"/>
      <c r="G199"/>
      <c r="H199"/>
      <c r="J199"/>
      <c r="K199"/>
      <c r="L199"/>
      <c r="M199"/>
      <c r="N199"/>
      <c r="P199"/>
      <c r="Q199"/>
      <c r="R199"/>
      <c r="S199"/>
      <c r="T199"/>
      <c r="U199" s="46"/>
      <c r="V199" s="46"/>
    </row>
    <row r="200" spans="1:22" ht="15" customHeight="1" x14ac:dyDescent="0.25">
      <c r="A200" s="17"/>
      <c r="G200"/>
      <c r="H200"/>
      <c r="J200"/>
      <c r="K200"/>
      <c r="L200"/>
      <c r="M200"/>
      <c r="N200"/>
      <c r="P200"/>
      <c r="Q200"/>
      <c r="R200"/>
      <c r="S200"/>
      <c r="T200"/>
      <c r="U200" s="46"/>
      <c r="V200" s="46"/>
    </row>
    <row r="201" spans="1:22" ht="15" customHeight="1" x14ac:dyDescent="0.25">
      <c r="A201" s="17"/>
      <c r="G201"/>
      <c r="H201"/>
      <c r="J201"/>
      <c r="K201"/>
      <c r="L201"/>
      <c r="M201"/>
      <c r="N201"/>
      <c r="P201"/>
      <c r="Q201"/>
      <c r="R201"/>
      <c r="S201"/>
      <c r="T201"/>
      <c r="U201" s="46"/>
      <c r="V201" s="46"/>
    </row>
    <row r="202" spans="1:22" ht="15" customHeight="1" x14ac:dyDescent="0.25">
      <c r="A202" s="17"/>
      <c r="G202"/>
      <c r="H202"/>
      <c r="J202"/>
      <c r="K202"/>
      <c r="L202"/>
      <c r="M202"/>
      <c r="N202"/>
      <c r="P202"/>
      <c r="Q202"/>
      <c r="R202"/>
      <c r="S202"/>
      <c r="T202"/>
      <c r="U202" s="46"/>
      <c r="V202" s="46"/>
    </row>
    <row r="203" spans="1:22" ht="15" customHeight="1" x14ac:dyDescent="0.25">
      <c r="A203" s="17"/>
      <c r="G203"/>
      <c r="H203"/>
      <c r="J203"/>
      <c r="K203"/>
      <c r="L203"/>
      <c r="M203"/>
      <c r="N203"/>
      <c r="P203"/>
      <c r="Q203"/>
      <c r="R203"/>
      <c r="S203"/>
      <c r="T203"/>
      <c r="U203" s="46"/>
      <c r="V203" s="46"/>
    </row>
    <row r="204" spans="1:22" ht="15" customHeight="1" x14ac:dyDescent="0.25">
      <c r="A204" s="17"/>
      <c r="G204"/>
      <c r="H204"/>
      <c r="J204"/>
      <c r="K204"/>
      <c r="L204"/>
      <c r="M204"/>
      <c r="N204"/>
      <c r="P204"/>
      <c r="Q204"/>
      <c r="R204"/>
      <c r="S204"/>
      <c r="T204"/>
      <c r="U204" s="46"/>
      <c r="V204" s="46"/>
    </row>
    <row r="205" spans="1:22" ht="15" customHeight="1" x14ac:dyDescent="0.25">
      <c r="A205" s="17"/>
      <c r="G205"/>
      <c r="H205"/>
      <c r="J205"/>
      <c r="K205"/>
      <c r="L205"/>
      <c r="M205"/>
      <c r="N205"/>
      <c r="P205"/>
      <c r="Q205"/>
      <c r="R205"/>
      <c r="S205"/>
      <c r="T205"/>
      <c r="U205" s="46"/>
      <c r="V205" s="46"/>
    </row>
    <row r="206" spans="1:22" ht="15" customHeight="1" x14ac:dyDescent="0.25">
      <c r="A206" s="17"/>
      <c r="G206"/>
      <c r="H206"/>
      <c r="J206"/>
      <c r="K206"/>
      <c r="L206"/>
      <c r="M206"/>
      <c r="N206"/>
      <c r="P206"/>
      <c r="Q206"/>
      <c r="R206"/>
      <c r="S206"/>
      <c r="T206"/>
      <c r="U206" s="46"/>
      <c r="V206" s="46"/>
    </row>
    <row r="207" spans="1:22" ht="15" customHeight="1" x14ac:dyDescent="0.25">
      <c r="A207" s="17"/>
      <c r="G207"/>
      <c r="H207"/>
      <c r="J207"/>
      <c r="K207"/>
      <c r="L207"/>
      <c r="M207"/>
      <c r="N207"/>
      <c r="P207"/>
      <c r="Q207"/>
      <c r="R207"/>
      <c r="S207"/>
      <c r="T207"/>
      <c r="U207" s="46"/>
      <c r="V207" s="46"/>
    </row>
    <row r="208" spans="1:22" ht="15" customHeight="1" x14ac:dyDescent="0.25">
      <c r="A208" s="17"/>
      <c r="G208"/>
      <c r="H208"/>
      <c r="J208"/>
      <c r="K208"/>
      <c r="L208"/>
      <c r="M208"/>
      <c r="N208"/>
      <c r="P208"/>
      <c r="Q208"/>
      <c r="R208"/>
      <c r="S208"/>
      <c r="T208"/>
      <c r="U208" s="46"/>
      <c r="V208" s="46"/>
    </row>
    <row r="209" spans="1:22" ht="15" customHeight="1" x14ac:dyDescent="0.25">
      <c r="A209" s="17"/>
      <c r="G209"/>
      <c r="H209"/>
      <c r="J209"/>
      <c r="K209"/>
      <c r="L209"/>
      <c r="M209"/>
      <c r="N209"/>
      <c r="P209"/>
      <c r="Q209"/>
      <c r="R209"/>
      <c r="S209"/>
      <c r="T209"/>
      <c r="U209" s="46"/>
      <c r="V209" s="46"/>
    </row>
    <row r="210" spans="1:22" ht="15" customHeight="1" x14ac:dyDescent="0.25">
      <c r="A210" s="17"/>
      <c r="G210"/>
      <c r="H210"/>
      <c r="J210"/>
      <c r="K210"/>
      <c r="L210"/>
      <c r="M210"/>
      <c r="N210"/>
      <c r="P210"/>
      <c r="Q210"/>
      <c r="R210"/>
      <c r="S210"/>
      <c r="T210"/>
      <c r="U210" s="46"/>
      <c r="V210" s="46"/>
    </row>
    <row r="211" spans="1:22" ht="15" customHeight="1" x14ac:dyDescent="0.25">
      <c r="A211" s="17"/>
      <c r="G211"/>
      <c r="H211"/>
      <c r="J211"/>
      <c r="K211"/>
      <c r="L211"/>
      <c r="M211"/>
      <c r="N211"/>
      <c r="P211"/>
      <c r="Q211"/>
      <c r="R211"/>
      <c r="S211"/>
      <c r="T211"/>
      <c r="U211" s="46"/>
      <c r="V211" s="46"/>
    </row>
    <row r="212" spans="1:22" ht="15" customHeight="1" x14ac:dyDescent="0.25">
      <c r="A212" s="17"/>
      <c r="G212"/>
      <c r="H212"/>
      <c r="J212"/>
      <c r="K212"/>
      <c r="L212"/>
      <c r="M212"/>
      <c r="N212"/>
      <c r="P212"/>
      <c r="Q212"/>
      <c r="R212"/>
      <c r="S212"/>
      <c r="T212"/>
      <c r="U212" s="46"/>
      <c r="V212" s="46"/>
    </row>
    <row r="213" spans="1:22" ht="15" customHeight="1" x14ac:dyDescent="0.25">
      <c r="A213" s="17"/>
      <c r="G213"/>
      <c r="H213"/>
      <c r="J213"/>
      <c r="K213"/>
      <c r="L213"/>
      <c r="M213"/>
      <c r="N213"/>
      <c r="P213"/>
      <c r="Q213"/>
      <c r="R213"/>
      <c r="S213"/>
      <c r="T213"/>
      <c r="U213" s="46"/>
      <c r="V213" s="46"/>
    </row>
    <row r="214" spans="1:22" ht="15" customHeight="1" x14ac:dyDescent="0.25">
      <c r="A214" s="17"/>
      <c r="G214"/>
      <c r="H214"/>
      <c r="J214"/>
      <c r="K214"/>
      <c r="L214"/>
      <c r="M214"/>
      <c r="N214"/>
      <c r="P214"/>
      <c r="Q214"/>
      <c r="R214"/>
      <c r="S214"/>
      <c r="T214"/>
      <c r="U214" s="46"/>
      <c r="V214" s="46"/>
    </row>
    <row r="215" spans="1:22" ht="15" customHeight="1" x14ac:dyDescent="0.25">
      <c r="A215" s="17"/>
      <c r="G215"/>
      <c r="H215"/>
      <c r="J215"/>
      <c r="K215"/>
      <c r="L215"/>
      <c r="M215"/>
      <c r="N215"/>
      <c r="P215"/>
      <c r="Q215"/>
      <c r="R215"/>
      <c r="S215"/>
      <c r="T215"/>
      <c r="U215" s="46"/>
      <c r="V215" s="46"/>
    </row>
    <row r="216" spans="1:22" ht="15" customHeight="1" x14ac:dyDescent="0.25">
      <c r="A216" s="17"/>
      <c r="G216"/>
      <c r="H216"/>
      <c r="J216"/>
      <c r="K216"/>
      <c r="L216"/>
      <c r="M216"/>
      <c r="N216"/>
      <c r="P216"/>
      <c r="Q216"/>
      <c r="R216"/>
      <c r="S216"/>
      <c r="T216"/>
      <c r="U216" s="46"/>
      <c r="V216" s="46"/>
    </row>
    <row r="217" spans="1:22" ht="15" customHeight="1" x14ac:dyDescent="0.25">
      <c r="A217" s="17"/>
      <c r="G217"/>
      <c r="H217"/>
      <c r="J217"/>
      <c r="K217"/>
      <c r="L217"/>
      <c r="M217"/>
      <c r="N217"/>
      <c r="P217"/>
      <c r="Q217"/>
      <c r="R217"/>
      <c r="S217"/>
      <c r="T217"/>
      <c r="U217" s="46"/>
      <c r="V217" s="46"/>
    </row>
    <row r="218" spans="1:22" ht="15" customHeight="1" x14ac:dyDescent="0.25">
      <c r="A218" s="17"/>
      <c r="G218"/>
      <c r="H218"/>
      <c r="J218"/>
      <c r="K218"/>
      <c r="L218"/>
      <c r="M218"/>
      <c r="N218"/>
      <c r="P218"/>
      <c r="Q218"/>
      <c r="R218"/>
      <c r="S218"/>
      <c r="T218"/>
      <c r="U218" s="46"/>
      <c r="V218" s="46"/>
    </row>
    <row r="219" spans="1:22" ht="15" customHeight="1" x14ac:dyDescent="0.25">
      <c r="A219" s="17"/>
      <c r="G219"/>
      <c r="H219"/>
      <c r="J219"/>
      <c r="K219"/>
      <c r="L219"/>
      <c r="M219"/>
      <c r="N219"/>
      <c r="P219"/>
      <c r="Q219"/>
      <c r="R219"/>
      <c r="S219"/>
      <c r="T219"/>
      <c r="U219" s="46"/>
      <c r="V219" s="46"/>
    </row>
    <row r="220" spans="1:22" ht="15" customHeight="1" x14ac:dyDescent="0.25">
      <c r="A220" s="17"/>
      <c r="G220"/>
      <c r="H220"/>
      <c r="J220"/>
      <c r="K220"/>
      <c r="L220"/>
      <c r="M220"/>
      <c r="N220"/>
      <c r="P220"/>
      <c r="Q220"/>
      <c r="R220"/>
      <c r="S220"/>
      <c r="T220"/>
      <c r="U220" s="46"/>
      <c r="V220" s="46"/>
    </row>
    <row r="221" spans="1:22" ht="15" customHeight="1" x14ac:dyDescent="0.25">
      <c r="A221" s="17"/>
      <c r="G221"/>
      <c r="H221"/>
      <c r="J221"/>
      <c r="K221"/>
      <c r="L221"/>
      <c r="M221"/>
      <c r="N221"/>
      <c r="P221"/>
      <c r="Q221"/>
      <c r="R221"/>
      <c r="S221"/>
      <c r="T221"/>
      <c r="U221" s="46"/>
      <c r="V221" s="46"/>
    </row>
    <row r="222" spans="1:22" ht="15" customHeight="1" x14ac:dyDescent="0.25">
      <c r="A222" s="17"/>
      <c r="G222"/>
      <c r="H222"/>
      <c r="J222"/>
      <c r="K222"/>
      <c r="L222"/>
      <c r="M222"/>
      <c r="N222"/>
      <c r="P222"/>
      <c r="Q222"/>
      <c r="R222"/>
      <c r="S222"/>
      <c r="T222"/>
      <c r="U222" s="46"/>
      <c r="V222" s="46"/>
    </row>
    <row r="223" spans="1:22" ht="15" customHeight="1" x14ac:dyDescent="0.25">
      <c r="A223" s="17"/>
      <c r="G223"/>
      <c r="H223"/>
      <c r="J223"/>
      <c r="K223"/>
      <c r="L223"/>
      <c r="M223"/>
      <c r="N223"/>
      <c r="P223"/>
      <c r="Q223"/>
      <c r="R223"/>
      <c r="S223"/>
      <c r="T223"/>
      <c r="U223" s="46"/>
      <c r="V223" s="46"/>
    </row>
    <row r="224" spans="1:22" ht="15" customHeight="1" x14ac:dyDescent="0.25">
      <c r="A224" s="17"/>
      <c r="G224"/>
      <c r="H224"/>
      <c r="J224"/>
      <c r="K224"/>
      <c r="L224"/>
      <c r="M224"/>
      <c r="N224"/>
      <c r="P224"/>
      <c r="Q224"/>
      <c r="R224"/>
      <c r="S224"/>
      <c r="T224"/>
      <c r="U224" s="46"/>
      <c r="V224" s="46"/>
    </row>
    <row r="225" spans="1:22" ht="15" customHeight="1" x14ac:dyDescent="0.25">
      <c r="A225" s="17"/>
      <c r="G225"/>
      <c r="H225"/>
      <c r="J225"/>
      <c r="K225"/>
      <c r="L225"/>
      <c r="M225"/>
      <c r="N225"/>
      <c r="P225"/>
      <c r="Q225"/>
      <c r="R225"/>
      <c r="S225"/>
      <c r="T225"/>
      <c r="U225" s="46"/>
      <c r="V225" s="46"/>
    </row>
    <row r="226" spans="1:22" ht="15" customHeight="1" x14ac:dyDescent="0.25">
      <c r="A226" s="17"/>
      <c r="G226"/>
      <c r="H226"/>
      <c r="J226"/>
      <c r="K226"/>
      <c r="L226"/>
      <c r="M226"/>
      <c r="N226"/>
      <c r="P226"/>
      <c r="Q226"/>
      <c r="R226"/>
      <c r="S226"/>
      <c r="T226"/>
      <c r="U226" s="46"/>
      <c r="V226" s="46"/>
    </row>
    <row r="227" spans="1:22" ht="15" customHeight="1" x14ac:dyDescent="0.25">
      <c r="A227" s="17"/>
      <c r="G227"/>
      <c r="H227"/>
      <c r="J227"/>
      <c r="K227"/>
      <c r="L227"/>
      <c r="M227"/>
      <c r="N227"/>
      <c r="P227"/>
      <c r="Q227"/>
      <c r="R227"/>
      <c r="S227"/>
      <c r="T227"/>
      <c r="U227" s="46"/>
      <c r="V227" s="46"/>
    </row>
    <row r="228" spans="1:22" ht="15" customHeight="1" x14ac:dyDescent="0.25">
      <c r="A228" s="17"/>
      <c r="G228"/>
      <c r="H228"/>
      <c r="J228"/>
      <c r="K228"/>
      <c r="L228"/>
      <c r="M228"/>
      <c r="N228"/>
      <c r="P228"/>
      <c r="Q228"/>
      <c r="R228"/>
      <c r="S228"/>
      <c r="T228"/>
      <c r="U228" s="46"/>
      <c r="V228" s="46"/>
    </row>
    <row r="229" spans="1:22" ht="15" customHeight="1" x14ac:dyDescent="0.25">
      <c r="A229" s="17"/>
      <c r="G229"/>
      <c r="H229"/>
      <c r="J229"/>
      <c r="K229"/>
      <c r="L229"/>
      <c r="M229"/>
      <c r="N229"/>
      <c r="P229"/>
      <c r="Q229"/>
      <c r="R229"/>
      <c r="S229"/>
      <c r="T229"/>
      <c r="U229" s="46"/>
      <c r="V229" s="46"/>
    </row>
    <row r="230" spans="1:22" ht="15" customHeight="1" x14ac:dyDescent="0.25">
      <c r="A230" s="17"/>
      <c r="G230"/>
      <c r="H230"/>
      <c r="J230"/>
      <c r="K230"/>
      <c r="L230"/>
      <c r="M230"/>
      <c r="N230"/>
      <c r="P230"/>
      <c r="Q230"/>
      <c r="R230"/>
      <c r="S230"/>
      <c r="T230"/>
      <c r="U230" s="46"/>
      <c r="V230" s="46"/>
    </row>
    <row r="231" spans="1:22" ht="15" customHeight="1" x14ac:dyDescent="0.25">
      <c r="A231" s="17"/>
      <c r="G231"/>
      <c r="H231"/>
      <c r="J231"/>
      <c r="K231"/>
      <c r="L231"/>
      <c r="M231"/>
      <c r="N231"/>
      <c r="P231"/>
      <c r="Q231"/>
      <c r="R231"/>
      <c r="S231"/>
      <c r="T231"/>
      <c r="U231" s="46"/>
      <c r="V231" s="46"/>
    </row>
    <row r="232" spans="1:22" ht="15" customHeight="1" x14ac:dyDescent="0.25">
      <c r="A232" s="17"/>
      <c r="G232"/>
      <c r="H232"/>
      <c r="J232"/>
      <c r="K232"/>
      <c r="L232"/>
      <c r="M232"/>
      <c r="N232"/>
      <c r="P232"/>
      <c r="Q232"/>
      <c r="R232"/>
      <c r="S232"/>
      <c r="T232"/>
      <c r="U232" s="46"/>
      <c r="V232" s="46"/>
    </row>
    <row r="233" spans="1:22" ht="15" customHeight="1" x14ac:dyDescent="0.25">
      <c r="A233" s="17"/>
      <c r="G233"/>
      <c r="H233"/>
      <c r="J233"/>
      <c r="K233"/>
      <c r="L233"/>
      <c r="M233"/>
      <c r="N233"/>
      <c r="P233"/>
      <c r="Q233"/>
      <c r="R233"/>
      <c r="S233"/>
      <c r="T233"/>
      <c r="U233" s="46"/>
      <c r="V233" s="46"/>
    </row>
    <row r="234" spans="1:22" ht="15" customHeight="1" x14ac:dyDescent="0.25">
      <c r="A234" s="17"/>
      <c r="G234"/>
      <c r="H234"/>
      <c r="J234"/>
      <c r="K234"/>
      <c r="L234"/>
      <c r="M234"/>
      <c r="N234"/>
      <c r="P234"/>
      <c r="Q234"/>
      <c r="R234"/>
      <c r="S234"/>
      <c r="T234"/>
      <c r="U234" s="46"/>
      <c r="V234" s="46"/>
    </row>
    <row r="235" spans="1:22" ht="15" customHeight="1" x14ac:dyDescent="0.25">
      <c r="A235" s="17"/>
      <c r="G235"/>
      <c r="H235"/>
      <c r="J235"/>
      <c r="K235"/>
      <c r="L235"/>
      <c r="M235"/>
      <c r="N235"/>
      <c r="P235"/>
      <c r="Q235"/>
      <c r="R235"/>
      <c r="S235"/>
      <c r="T235"/>
      <c r="U235" s="46"/>
      <c r="V235" s="46"/>
    </row>
    <row r="236" spans="1:22" ht="15" customHeight="1" x14ac:dyDescent="0.25">
      <c r="A236" s="17"/>
      <c r="G236"/>
      <c r="H236"/>
      <c r="J236"/>
      <c r="K236"/>
      <c r="L236"/>
      <c r="M236"/>
      <c r="N236"/>
      <c r="P236"/>
      <c r="Q236"/>
      <c r="R236"/>
      <c r="S236"/>
      <c r="T236"/>
      <c r="U236" s="46"/>
      <c r="V236" s="46"/>
    </row>
    <row r="237" spans="1:22" ht="15" customHeight="1" x14ac:dyDescent="0.25">
      <c r="A237" s="17"/>
      <c r="G237"/>
      <c r="H237"/>
      <c r="J237"/>
      <c r="K237"/>
      <c r="L237"/>
      <c r="M237"/>
      <c r="N237"/>
      <c r="P237"/>
      <c r="Q237"/>
      <c r="R237"/>
      <c r="S237"/>
      <c r="T237"/>
      <c r="U237" s="46"/>
      <c r="V237" s="46"/>
    </row>
    <row r="238" spans="1:22" ht="15" customHeight="1" x14ac:dyDescent="0.25">
      <c r="A238" s="17"/>
      <c r="G238"/>
      <c r="H238"/>
      <c r="J238"/>
      <c r="K238"/>
      <c r="L238"/>
      <c r="M238"/>
      <c r="N238"/>
      <c r="P238"/>
      <c r="Q238"/>
      <c r="R238"/>
      <c r="S238"/>
      <c r="T238"/>
      <c r="U238" s="46"/>
      <c r="V238" s="46"/>
    </row>
    <row r="239" spans="1:22" ht="15" customHeight="1" x14ac:dyDescent="0.25">
      <c r="A239" s="17"/>
      <c r="G239"/>
      <c r="H239"/>
      <c r="J239"/>
      <c r="K239"/>
      <c r="L239"/>
      <c r="M239"/>
      <c r="N239"/>
      <c r="P239"/>
      <c r="Q239"/>
      <c r="R239"/>
      <c r="S239"/>
      <c r="T239"/>
      <c r="U239" s="46"/>
      <c r="V239" s="46"/>
    </row>
    <row r="240" spans="1:22" ht="15" customHeight="1" x14ac:dyDescent="0.25">
      <c r="A240" s="17"/>
      <c r="G240"/>
      <c r="H240"/>
      <c r="J240"/>
      <c r="K240"/>
      <c r="L240"/>
      <c r="M240"/>
      <c r="N240"/>
      <c r="P240"/>
      <c r="Q240"/>
      <c r="R240"/>
      <c r="S240"/>
      <c r="T240"/>
      <c r="U240" s="46"/>
      <c r="V240" s="46"/>
    </row>
    <row r="241" spans="1:22" ht="15" customHeight="1" x14ac:dyDescent="0.25">
      <c r="A241" s="17"/>
      <c r="G241"/>
      <c r="H241"/>
      <c r="J241"/>
      <c r="K241"/>
      <c r="L241"/>
      <c r="M241"/>
      <c r="N241"/>
      <c r="P241"/>
      <c r="Q241"/>
      <c r="R241"/>
      <c r="S241"/>
      <c r="T241"/>
      <c r="U241" s="46"/>
      <c r="V241" s="46"/>
    </row>
    <row r="242" spans="1:22" ht="15" customHeight="1" x14ac:dyDescent="0.25">
      <c r="A242" s="17"/>
      <c r="G242"/>
      <c r="H242"/>
      <c r="J242"/>
      <c r="K242"/>
      <c r="L242"/>
      <c r="M242"/>
      <c r="N242"/>
      <c r="P242"/>
      <c r="Q242"/>
      <c r="R242"/>
      <c r="S242"/>
      <c r="T242"/>
      <c r="U242" s="46"/>
      <c r="V242" s="46"/>
    </row>
    <row r="243" spans="1:22" ht="15" customHeight="1" x14ac:dyDescent="0.25">
      <c r="A243" s="17"/>
      <c r="G243"/>
      <c r="H243"/>
      <c r="J243"/>
      <c r="K243"/>
      <c r="L243"/>
      <c r="M243"/>
      <c r="N243"/>
      <c r="P243"/>
      <c r="Q243"/>
      <c r="R243"/>
      <c r="S243"/>
      <c r="T243"/>
      <c r="U243" s="46"/>
      <c r="V243" s="46"/>
    </row>
    <row r="244" spans="1:22" ht="15" customHeight="1" x14ac:dyDescent="0.25">
      <c r="A244" s="17"/>
      <c r="G244"/>
      <c r="H244"/>
      <c r="J244"/>
      <c r="K244"/>
      <c r="L244"/>
      <c r="M244"/>
      <c r="N244"/>
      <c r="P244"/>
      <c r="Q244"/>
      <c r="R244"/>
      <c r="S244"/>
      <c r="T244"/>
      <c r="U244" s="46"/>
      <c r="V244" s="46"/>
    </row>
    <row r="245" spans="1:22" ht="15" customHeight="1" x14ac:dyDescent="0.25">
      <c r="A245" s="17"/>
      <c r="G245"/>
      <c r="H245"/>
      <c r="J245"/>
      <c r="K245"/>
      <c r="L245"/>
      <c r="M245"/>
      <c r="N245"/>
      <c r="P245"/>
      <c r="Q245"/>
      <c r="R245"/>
      <c r="S245"/>
      <c r="T245"/>
      <c r="U245" s="46"/>
      <c r="V245" s="46"/>
    </row>
    <row r="246" spans="1:22" ht="15" customHeight="1" x14ac:dyDescent="0.25">
      <c r="A246" s="17"/>
      <c r="G246"/>
      <c r="H246"/>
      <c r="J246"/>
      <c r="K246"/>
      <c r="L246"/>
      <c r="M246"/>
      <c r="N246"/>
      <c r="P246"/>
      <c r="Q246"/>
      <c r="R246"/>
      <c r="S246"/>
      <c r="T246"/>
      <c r="U246" s="46"/>
      <c r="V246" s="46"/>
    </row>
    <row r="247" spans="1:22" ht="15" customHeight="1" x14ac:dyDescent="0.25">
      <c r="A247" s="17"/>
      <c r="G247"/>
      <c r="H247"/>
      <c r="J247"/>
      <c r="K247"/>
      <c r="L247"/>
      <c r="M247"/>
      <c r="N247"/>
      <c r="P247"/>
      <c r="Q247"/>
      <c r="R247"/>
      <c r="S247"/>
      <c r="T247"/>
      <c r="U247" s="46"/>
      <c r="V247" s="46"/>
    </row>
    <row r="248" spans="1:22" ht="15" customHeight="1" x14ac:dyDescent="0.25">
      <c r="A248" s="17"/>
      <c r="G248"/>
      <c r="H248"/>
      <c r="J248"/>
      <c r="K248"/>
      <c r="L248"/>
      <c r="M248"/>
      <c r="N248"/>
      <c r="P248"/>
      <c r="Q248"/>
      <c r="R248"/>
      <c r="S248"/>
      <c r="T248"/>
      <c r="U248" s="46"/>
      <c r="V248" s="46"/>
    </row>
    <row r="249" spans="1:22" ht="15" customHeight="1" x14ac:dyDescent="0.25">
      <c r="A249" s="17"/>
      <c r="G249"/>
      <c r="H249"/>
      <c r="J249"/>
      <c r="K249"/>
      <c r="L249"/>
      <c r="M249"/>
      <c r="N249"/>
      <c r="P249"/>
      <c r="Q249"/>
      <c r="R249"/>
      <c r="S249"/>
      <c r="T249"/>
      <c r="U249" s="46"/>
      <c r="V249" s="46"/>
    </row>
    <row r="250" spans="1:22" ht="15" customHeight="1" x14ac:dyDescent="0.25">
      <c r="A250" s="17"/>
      <c r="G250"/>
      <c r="H250"/>
      <c r="J250"/>
      <c r="K250"/>
      <c r="L250"/>
      <c r="M250"/>
      <c r="N250"/>
      <c r="P250"/>
      <c r="Q250"/>
      <c r="R250"/>
      <c r="S250"/>
      <c r="T250"/>
      <c r="U250" s="46"/>
      <c r="V250" s="46"/>
    </row>
    <row r="251" spans="1:22" ht="15" customHeight="1" x14ac:dyDescent="0.25">
      <c r="A251" s="17"/>
      <c r="G251"/>
      <c r="H251"/>
      <c r="J251"/>
      <c r="K251"/>
      <c r="L251"/>
      <c r="M251"/>
      <c r="N251"/>
      <c r="P251"/>
      <c r="Q251"/>
      <c r="R251"/>
      <c r="S251"/>
      <c r="T251"/>
      <c r="U251" s="46"/>
      <c r="V251" s="46"/>
    </row>
    <row r="252" spans="1:22" ht="15" customHeight="1" x14ac:dyDescent="0.25">
      <c r="A252" s="17"/>
      <c r="G252"/>
      <c r="H252"/>
      <c r="J252"/>
      <c r="K252"/>
      <c r="L252"/>
      <c r="M252"/>
      <c r="N252"/>
      <c r="P252"/>
      <c r="Q252"/>
      <c r="R252"/>
      <c r="S252"/>
      <c r="T252"/>
      <c r="U252" s="46"/>
      <c r="V252" s="46"/>
    </row>
    <row r="253" spans="1:22" ht="15" customHeight="1" x14ac:dyDescent="0.25">
      <c r="A253" s="17"/>
      <c r="G253"/>
      <c r="H253"/>
      <c r="J253"/>
      <c r="K253"/>
      <c r="L253"/>
      <c r="M253"/>
      <c r="N253"/>
      <c r="P253"/>
      <c r="Q253"/>
      <c r="R253"/>
      <c r="S253"/>
      <c r="T253"/>
      <c r="U253" s="46"/>
      <c r="V253" s="46"/>
    </row>
    <row r="254" spans="1:22" ht="15" customHeight="1" x14ac:dyDescent="0.25">
      <c r="A254" s="17"/>
      <c r="G254"/>
      <c r="H254"/>
      <c r="J254"/>
      <c r="K254"/>
      <c r="L254"/>
      <c r="M254"/>
      <c r="N254"/>
      <c r="P254"/>
      <c r="Q254"/>
      <c r="R254"/>
      <c r="S254"/>
      <c r="T254"/>
      <c r="U254" s="46"/>
      <c r="V254" s="46"/>
    </row>
    <row r="255" spans="1:22" ht="15" customHeight="1" x14ac:dyDescent="0.25">
      <c r="A255" s="17"/>
      <c r="G255"/>
      <c r="H255"/>
      <c r="J255"/>
      <c r="K255"/>
      <c r="L255"/>
      <c r="M255"/>
      <c r="N255"/>
      <c r="P255"/>
      <c r="Q255"/>
      <c r="R255"/>
      <c r="S255"/>
      <c r="T255"/>
      <c r="U255" s="46"/>
      <c r="V255" s="46"/>
    </row>
    <row r="256" spans="1:22" ht="15" customHeight="1" x14ac:dyDescent="0.25">
      <c r="A256" s="17"/>
      <c r="G256"/>
      <c r="H256"/>
      <c r="J256"/>
      <c r="K256"/>
      <c r="L256"/>
      <c r="M256"/>
      <c r="N256"/>
      <c r="P256"/>
      <c r="Q256"/>
      <c r="R256"/>
      <c r="S256"/>
      <c r="T256"/>
      <c r="U256" s="46"/>
      <c r="V256" s="46"/>
    </row>
    <row r="257" spans="1:22" ht="15" customHeight="1" x14ac:dyDescent="0.25">
      <c r="A257" s="17"/>
      <c r="G257"/>
      <c r="H257"/>
      <c r="J257"/>
      <c r="K257"/>
      <c r="L257"/>
      <c r="M257"/>
      <c r="N257"/>
      <c r="P257"/>
      <c r="Q257"/>
      <c r="R257"/>
      <c r="S257"/>
      <c r="T257"/>
      <c r="U257" s="46"/>
      <c r="V257" s="46"/>
    </row>
    <row r="258" spans="1:22" ht="15" customHeight="1" x14ac:dyDescent="0.25">
      <c r="A258" s="17"/>
      <c r="G258"/>
      <c r="H258"/>
      <c r="J258"/>
      <c r="K258"/>
      <c r="L258"/>
      <c r="M258"/>
      <c r="N258"/>
      <c r="P258"/>
      <c r="Q258"/>
      <c r="R258"/>
      <c r="S258"/>
      <c r="T258"/>
      <c r="U258" s="46"/>
      <c r="V258" s="46"/>
    </row>
    <row r="259" spans="1:22" ht="15" customHeight="1" x14ac:dyDescent="0.25">
      <c r="A259" s="17"/>
      <c r="G259"/>
      <c r="H259"/>
      <c r="J259"/>
      <c r="K259"/>
      <c r="L259"/>
      <c r="M259"/>
      <c r="N259"/>
      <c r="P259"/>
      <c r="Q259"/>
      <c r="R259"/>
      <c r="S259"/>
      <c r="T259"/>
      <c r="U259" s="46"/>
      <c r="V259" s="46"/>
    </row>
    <row r="260" spans="1:22" ht="15" customHeight="1" x14ac:dyDescent="0.25">
      <c r="A260" s="17"/>
      <c r="G260"/>
      <c r="H260"/>
      <c r="J260"/>
      <c r="K260"/>
      <c r="L260"/>
      <c r="M260"/>
      <c r="N260"/>
      <c r="P260"/>
      <c r="Q260"/>
      <c r="R260"/>
      <c r="S260"/>
      <c r="T260"/>
      <c r="U260" s="46"/>
      <c r="V260" s="46"/>
    </row>
    <row r="261" spans="1:22" ht="15" customHeight="1" x14ac:dyDescent="0.25">
      <c r="A261" s="17"/>
      <c r="G261"/>
      <c r="H261"/>
      <c r="J261"/>
      <c r="K261"/>
      <c r="L261"/>
      <c r="M261"/>
      <c r="N261"/>
      <c r="P261"/>
      <c r="Q261"/>
      <c r="R261"/>
      <c r="S261"/>
      <c r="T261"/>
      <c r="U261" s="46"/>
      <c r="V261" s="46"/>
    </row>
    <row r="262" spans="1:22" ht="15" customHeight="1" x14ac:dyDescent="0.25">
      <c r="A262" s="17"/>
      <c r="G262"/>
      <c r="H262"/>
      <c r="J262"/>
      <c r="K262"/>
      <c r="L262"/>
      <c r="M262"/>
      <c r="N262"/>
      <c r="P262"/>
      <c r="Q262"/>
      <c r="R262"/>
      <c r="S262"/>
      <c r="T262"/>
      <c r="U262" s="46"/>
      <c r="V262" s="46"/>
    </row>
    <row r="263" spans="1:22" ht="15" customHeight="1" x14ac:dyDescent="0.25">
      <c r="A263" s="17"/>
      <c r="G263"/>
      <c r="H263"/>
      <c r="J263"/>
      <c r="K263"/>
      <c r="L263"/>
      <c r="M263"/>
      <c r="N263"/>
      <c r="P263"/>
      <c r="Q263"/>
      <c r="R263"/>
      <c r="S263"/>
      <c r="T263"/>
      <c r="U263" s="46"/>
      <c r="V263" s="46"/>
    </row>
    <row r="264" spans="1:22" ht="15" customHeight="1" x14ac:dyDescent="0.25">
      <c r="A264" s="17"/>
      <c r="G264"/>
      <c r="H264"/>
      <c r="J264"/>
      <c r="K264"/>
      <c r="L264"/>
      <c r="M264"/>
      <c r="N264"/>
      <c r="P264"/>
      <c r="Q264"/>
      <c r="R264"/>
      <c r="S264"/>
      <c r="T264"/>
      <c r="U264" s="46"/>
      <c r="V264" s="46"/>
    </row>
    <row r="265" spans="1:22" ht="15" customHeight="1" x14ac:dyDescent="0.25">
      <c r="A265" s="17"/>
      <c r="G265"/>
      <c r="H265"/>
      <c r="J265"/>
      <c r="K265"/>
      <c r="L265"/>
      <c r="M265"/>
      <c r="N265"/>
      <c r="P265"/>
      <c r="Q265"/>
      <c r="R265"/>
      <c r="S265"/>
      <c r="T265"/>
      <c r="U265" s="46"/>
      <c r="V265" s="46"/>
    </row>
    <row r="266" spans="1:22" ht="15" customHeight="1" x14ac:dyDescent="0.25">
      <c r="A266" s="17"/>
      <c r="G266"/>
      <c r="H266"/>
      <c r="J266"/>
      <c r="K266"/>
      <c r="L266"/>
      <c r="M266"/>
      <c r="N266"/>
      <c r="P266"/>
      <c r="Q266"/>
      <c r="R266"/>
      <c r="S266"/>
      <c r="T266"/>
      <c r="U266" s="46"/>
      <c r="V266" s="46"/>
    </row>
    <row r="267" spans="1:22" ht="15" customHeight="1" x14ac:dyDescent="0.25">
      <c r="A267" s="17"/>
      <c r="G267"/>
      <c r="H267"/>
      <c r="J267"/>
      <c r="K267"/>
      <c r="L267"/>
      <c r="M267"/>
      <c r="N267"/>
      <c r="P267"/>
      <c r="Q267"/>
      <c r="R267"/>
      <c r="S267"/>
      <c r="T267"/>
      <c r="U267" s="46"/>
      <c r="V267" s="46"/>
    </row>
    <row r="268" spans="1:22" ht="15" customHeight="1" x14ac:dyDescent="0.25">
      <c r="A268" s="17"/>
      <c r="G268"/>
      <c r="H268"/>
      <c r="J268"/>
      <c r="K268"/>
      <c r="L268"/>
      <c r="M268"/>
      <c r="N268"/>
      <c r="P268"/>
      <c r="Q268"/>
      <c r="R268"/>
      <c r="S268"/>
      <c r="T268"/>
      <c r="U268" s="46"/>
      <c r="V268" s="46"/>
    </row>
    <row r="269" spans="1:22" ht="15" customHeight="1" x14ac:dyDescent="0.25">
      <c r="A269" s="17"/>
      <c r="G269"/>
      <c r="H269"/>
      <c r="J269"/>
      <c r="K269"/>
      <c r="L269"/>
      <c r="M269"/>
      <c r="N269"/>
      <c r="P269"/>
      <c r="Q269"/>
      <c r="R269"/>
      <c r="S269"/>
      <c r="T269"/>
      <c r="U269" s="46"/>
      <c r="V269" s="46"/>
    </row>
    <row r="270" spans="1:22" ht="15" customHeight="1" x14ac:dyDescent="0.25">
      <c r="A270" s="17"/>
      <c r="G270"/>
      <c r="H270"/>
      <c r="J270"/>
      <c r="K270"/>
      <c r="L270"/>
      <c r="M270"/>
      <c r="N270"/>
      <c r="P270"/>
      <c r="Q270"/>
      <c r="R270"/>
      <c r="S270"/>
      <c r="T270"/>
      <c r="U270" s="46"/>
      <c r="V270" s="46"/>
    </row>
    <row r="271" spans="1:22" ht="15" customHeight="1" x14ac:dyDescent="0.25">
      <c r="A271" s="17"/>
      <c r="G271"/>
      <c r="H271"/>
      <c r="J271"/>
      <c r="K271"/>
      <c r="L271"/>
      <c r="M271"/>
      <c r="N271"/>
      <c r="P271"/>
      <c r="Q271"/>
      <c r="R271"/>
      <c r="S271"/>
      <c r="T271"/>
      <c r="U271" s="46"/>
      <c r="V271" s="46"/>
    </row>
    <row r="272" spans="1:22" ht="15" customHeight="1" x14ac:dyDescent="0.25">
      <c r="A272" s="17"/>
      <c r="G272"/>
      <c r="H272"/>
      <c r="J272"/>
      <c r="K272"/>
      <c r="L272"/>
      <c r="M272"/>
      <c r="N272"/>
      <c r="P272"/>
      <c r="Q272"/>
      <c r="R272"/>
      <c r="S272"/>
      <c r="T272"/>
      <c r="U272" s="46"/>
      <c r="V272" s="46"/>
    </row>
    <row r="273" spans="1:22" ht="15" customHeight="1" x14ac:dyDescent="0.25">
      <c r="A273" s="17"/>
      <c r="G273"/>
      <c r="H273"/>
      <c r="J273"/>
      <c r="K273"/>
      <c r="L273"/>
      <c r="M273"/>
      <c r="N273"/>
      <c r="P273"/>
      <c r="Q273"/>
      <c r="R273"/>
      <c r="S273"/>
      <c r="T273"/>
      <c r="U273" s="46"/>
      <c r="V273" s="46"/>
    </row>
    <row r="274" spans="1:22" ht="15" customHeight="1" x14ac:dyDescent="0.25">
      <c r="A274" s="17"/>
      <c r="G274"/>
      <c r="H274"/>
      <c r="J274"/>
      <c r="K274"/>
      <c r="L274"/>
      <c r="M274"/>
      <c r="N274"/>
      <c r="P274"/>
      <c r="Q274"/>
      <c r="R274"/>
      <c r="S274"/>
      <c r="T274"/>
      <c r="U274" s="46"/>
      <c r="V274" s="46"/>
    </row>
    <row r="275" spans="1:22" ht="15" customHeight="1" x14ac:dyDescent="0.25">
      <c r="A275" s="17"/>
      <c r="G275"/>
      <c r="H275"/>
      <c r="J275"/>
      <c r="K275"/>
      <c r="L275"/>
      <c r="M275"/>
      <c r="N275"/>
      <c r="P275"/>
      <c r="Q275"/>
      <c r="R275"/>
      <c r="S275"/>
      <c r="T275"/>
      <c r="U275" s="46"/>
      <c r="V275" s="46"/>
    </row>
    <row r="276" spans="1:22" ht="15" customHeight="1" x14ac:dyDescent="0.25">
      <c r="A276" s="17"/>
      <c r="G276"/>
      <c r="H276"/>
      <c r="J276"/>
      <c r="K276"/>
      <c r="L276"/>
      <c r="M276"/>
      <c r="N276"/>
      <c r="P276"/>
      <c r="Q276"/>
      <c r="R276"/>
      <c r="S276"/>
      <c r="T276"/>
      <c r="U276" s="46"/>
      <c r="V276" s="46"/>
    </row>
    <row r="277" spans="1:22" ht="15" customHeight="1" x14ac:dyDescent="0.25">
      <c r="A277" s="17"/>
      <c r="G277"/>
      <c r="H277"/>
      <c r="J277"/>
      <c r="K277"/>
      <c r="L277"/>
      <c r="M277"/>
      <c r="N277"/>
      <c r="P277"/>
      <c r="Q277"/>
      <c r="R277"/>
      <c r="S277"/>
      <c r="T277"/>
      <c r="U277" s="46"/>
      <c r="V277" s="46"/>
    </row>
    <row r="278" spans="1:22" ht="15" customHeight="1" x14ac:dyDescent="0.25">
      <c r="A278" s="17"/>
      <c r="G278"/>
      <c r="H278"/>
      <c r="J278"/>
      <c r="K278"/>
      <c r="L278"/>
      <c r="M278"/>
      <c r="N278"/>
      <c r="P278"/>
      <c r="Q278"/>
      <c r="R278"/>
      <c r="S278"/>
      <c r="T278"/>
      <c r="U278" s="46"/>
      <c r="V278" s="46"/>
    </row>
    <row r="279" spans="1:22" ht="15" customHeight="1" x14ac:dyDescent="0.25">
      <c r="A279" s="17"/>
      <c r="G279"/>
      <c r="H279"/>
      <c r="J279"/>
      <c r="K279"/>
      <c r="L279"/>
      <c r="M279"/>
      <c r="N279"/>
      <c r="P279"/>
      <c r="Q279"/>
      <c r="R279"/>
      <c r="S279"/>
      <c r="T279"/>
      <c r="U279" s="46"/>
      <c r="V279" s="46"/>
    </row>
    <row r="280" spans="1:22" ht="15" customHeight="1" x14ac:dyDescent="0.25">
      <c r="A280" s="17"/>
      <c r="G280"/>
      <c r="H280"/>
      <c r="J280"/>
      <c r="K280"/>
      <c r="L280"/>
      <c r="M280"/>
      <c r="N280"/>
      <c r="P280"/>
      <c r="Q280"/>
      <c r="R280"/>
      <c r="S280"/>
      <c r="T280"/>
      <c r="U280" s="46"/>
      <c r="V280" s="46"/>
    </row>
    <row r="281" spans="1:22" ht="15" customHeight="1" x14ac:dyDescent="0.25">
      <c r="A281" s="17"/>
      <c r="G281"/>
      <c r="H281"/>
      <c r="J281"/>
      <c r="K281"/>
      <c r="L281"/>
      <c r="M281"/>
      <c r="N281"/>
      <c r="P281"/>
      <c r="Q281"/>
      <c r="R281"/>
      <c r="S281"/>
      <c r="T281"/>
      <c r="U281" s="46"/>
      <c r="V281" s="46"/>
    </row>
    <row r="282" spans="1:22" ht="15" customHeight="1" x14ac:dyDescent="0.25">
      <c r="A282" s="17"/>
      <c r="G282"/>
      <c r="H282"/>
      <c r="J282"/>
      <c r="K282"/>
      <c r="L282"/>
      <c r="M282"/>
      <c r="N282"/>
      <c r="P282"/>
      <c r="Q282"/>
      <c r="R282"/>
      <c r="S282"/>
      <c r="T282"/>
      <c r="U282" s="46"/>
      <c r="V282" s="46"/>
    </row>
    <row r="283" spans="1:22" ht="15" customHeight="1" x14ac:dyDescent="0.25">
      <c r="A283" s="17"/>
      <c r="G283"/>
      <c r="H283"/>
      <c r="J283"/>
      <c r="K283"/>
      <c r="L283"/>
      <c r="M283"/>
      <c r="N283"/>
      <c r="P283"/>
      <c r="Q283"/>
      <c r="R283"/>
      <c r="S283"/>
      <c r="T283"/>
      <c r="U283" s="46"/>
      <c r="V283" s="46"/>
    </row>
    <row r="284" spans="1:22" ht="15" customHeight="1" x14ac:dyDescent="0.25">
      <c r="A284" s="17"/>
      <c r="G284"/>
      <c r="H284"/>
      <c r="J284"/>
      <c r="K284"/>
      <c r="L284"/>
      <c r="M284"/>
      <c r="N284"/>
      <c r="P284"/>
      <c r="Q284"/>
      <c r="R284"/>
      <c r="S284"/>
      <c r="T284"/>
      <c r="U284" s="46"/>
      <c r="V284" s="46"/>
    </row>
    <row r="285" spans="1:22" ht="15" customHeight="1" x14ac:dyDescent="0.25">
      <c r="A285" s="17"/>
      <c r="G285"/>
      <c r="H285"/>
      <c r="J285"/>
      <c r="K285"/>
      <c r="L285"/>
      <c r="M285"/>
      <c r="N285"/>
      <c r="P285"/>
      <c r="Q285"/>
      <c r="R285"/>
      <c r="S285"/>
      <c r="T285"/>
      <c r="U285" s="46"/>
      <c r="V285" s="46"/>
    </row>
    <row r="286" spans="1:22" ht="15" customHeight="1" x14ac:dyDescent="0.25">
      <c r="A286" s="17"/>
      <c r="G286"/>
      <c r="H286"/>
      <c r="J286"/>
      <c r="K286"/>
      <c r="L286"/>
      <c r="M286"/>
      <c r="N286"/>
      <c r="P286"/>
      <c r="Q286"/>
      <c r="R286"/>
      <c r="S286"/>
      <c r="T286"/>
      <c r="U286" s="46"/>
      <c r="V286" s="46"/>
    </row>
    <row r="287" spans="1:22" ht="15" customHeight="1" x14ac:dyDescent="0.25">
      <c r="A287" s="17"/>
      <c r="G287"/>
      <c r="H287"/>
      <c r="J287"/>
      <c r="K287"/>
      <c r="L287"/>
      <c r="M287"/>
      <c r="N287"/>
      <c r="P287"/>
      <c r="Q287"/>
      <c r="R287"/>
      <c r="S287"/>
      <c r="T287"/>
      <c r="U287" s="46"/>
      <c r="V287" s="46"/>
    </row>
    <row r="288" spans="1:22" ht="15" customHeight="1" x14ac:dyDescent="0.25">
      <c r="A288" s="17"/>
      <c r="G288"/>
      <c r="H288"/>
      <c r="J288"/>
      <c r="K288"/>
      <c r="L288"/>
      <c r="M288"/>
      <c r="N288"/>
      <c r="P288"/>
      <c r="Q288"/>
      <c r="R288"/>
      <c r="S288"/>
      <c r="T288"/>
      <c r="U288" s="46"/>
      <c r="V288" s="46"/>
    </row>
    <row r="289" spans="1:22" ht="15" customHeight="1" x14ac:dyDescent="0.25">
      <c r="A289" s="17"/>
      <c r="G289"/>
      <c r="H289"/>
      <c r="J289"/>
      <c r="K289"/>
      <c r="L289"/>
      <c r="M289"/>
      <c r="N289"/>
      <c r="P289"/>
      <c r="Q289"/>
      <c r="R289"/>
      <c r="S289"/>
      <c r="T289"/>
      <c r="U289" s="46"/>
      <c r="V289" s="46"/>
    </row>
    <row r="290" spans="1:22" ht="15" customHeight="1" x14ac:dyDescent="0.25">
      <c r="A290" s="17"/>
      <c r="G290"/>
      <c r="H290"/>
      <c r="J290"/>
      <c r="K290"/>
      <c r="L290"/>
      <c r="M290"/>
      <c r="N290"/>
      <c r="P290"/>
      <c r="Q290"/>
      <c r="R290"/>
      <c r="S290"/>
      <c r="T290"/>
      <c r="U290" s="46"/>
      <c r="V290" s="46"/>
    </row>
    <row r="291" spans="1:22" ht="15" customHeight="1" x14ac:dyDescent="0.25">
      <c r="A291" s="17"/>
      <c r="G291"/>
      <c r="H291"/>
      <c r="J291"/>
      <c r="K291"/>
      <c r="L291"/>
      <c r="M291"/>
      <c r="N291"/>
      <c r="P291"/>
      <c r="Q291"/>
      <c r="R291"/>
      <c r="S291"/>
      <c r="T291"/>
      <c r="U291" s="46"/>
      <c r="V291" s="46"/>
    </row>
    <row r="292" spans="1:22" ht="15" customHeight="1" x14ac:dyDescent="0.25">
      <c r="A292" s="17"/>
      <c r="G292"/>
      <c r="H292"/>
      <c r="J292"/>
      <c r="K292"/>
      <c r="L292"/>
      <c r="M292"/>
      <c r="N292"/>
      <c r="P292"/>
      <c r="Q292"/>
      <c r="R292"/>
      <c r="S292"/>
      <c r="T292"/>
      <c r="U292" s="46"/>
      <c r="V292" s="46"/>
    </row>
    <row r="293" spans="1:22" ht="15" customHeight="1" x14ac:dyDescent="0.25">
      <c r="A293" s="17"/>
      <c r="G293"/>
      <c r="H293"/>
      <c r="J293"/>
      <c r="K293"/>
      <c r="L293"/>
      <c r="M293"/>
      <c r="N293"/>
      <c r="P293"/>
      <c r="Q293"/>
      <c r="R293"/>
      <c r="S293"/>
      <c r="T293"/>
      <c r="U293" s="46"/>
      <c r="V293" s="46"/>
    </row>
    <row r="294" spans="1:22" ht="15" customHeight="1" x14ac:dyDescent="0.25">
      <c r="A294" s="17"/>
      <c r="G294"/>
      <c r="H294"/>
      <c r="J294"/>
      <c r="K294"/>
      <c r="L294"/>
      <c r="M294"/>
      <c r="N294"/>
      <c r="P294"/>
      <c r="Q294"/>
      <c r="R294"/>
      <c r="S294"/>
      <c r="T294"/>
      <c r="U294" s="46"/>
      <c r="V294" s="46"/>
    </row>
    <row r="295" spans="1:22" ht="15" customHeight="1" x14ac:dyDescent="0.25">
      <c r="A295" s="17"/>
      <c r="G295"/>
      <c r="H295"/>
      <c r="J295"/>
      <c r="K295"/>
      <c r="L295"/>
      <c r="M295"/>
      <c r="N295"/>
      <c r="P295"/>
      <c r="Q295"/>
      <c r="R295"/>
      <c r="S295"/>
      <c r="T295"/>
      <c r="U295" s="46"/>
      <c r="V295" s="46"/>
    </row>
    <row r="296" spans="1:22" ht="15" customHeight="1" x14ac:dyDescent="0.25">
      <c r="A296" s="17"/>
      <c r="G296"/>
      <c r="H296"/>
      <c r="J296"/>
      <c r="K296"/>
      <c r="L296"/>
      <c r="M296"/>
      <c r="N296"/>
      <c r="P296"/>
      <c r="Q296"/>
      <c r="R296"/>
      <c r="S296"/>
      <c r="T296"/>
      <c r="U296" s="46"/>
      <c r="V296" s="46"/>
    </row>
    <row r="297" spans="1:22" ht="15" customHeight="1" x14ac:dyDescent="0.25">
      <c r="A297" s="17"/>
      <c r="G297"/>
      <c r="H297"/>
      <c r="J297"/>
      <c r="K297"/>
      <c r="L297"/>
      <c r="M297"/>
      <c r="N297"/>
      <c r="P297"/>
      <c r="Q297"/>
      <c r="R297"/>
      <c r="S297"/>
      <c r="T297"/>
      <c r="U297" s="46"/>
      <c r="V297" s="46"/>
    </row>
    <row r="298" spans="1:22" ht="15" customHeight="1" x14ac:dyDescent="0.25">
      <c r="A298" s="17"/>
      <c r="G298"/>
      <c r="H298"/>
      <c r="J298"/>
      <c r="K298"/>
      <c r="L298"/>
      <c r="M298"/>
      <c r="N298"/>
      <c r="P298"/>
      <c r="Q298"/>
      <c r="R298"/>
      <c r="S298"/>
      <c r="T298"/>
      <c r="U298" s="46"/>
      <c r="V298" s="46"/>
    </row>
    <row r="299" spans="1:22" ht="15" customHeight="1" x14ac:dyDescent="0.25">
      <c r="A299" s="17"/>
      <c r="G299"/>
      <c r="H299"/>
      <c r="J299"/>
      <c r="K299"/>
      <c r="L299"/>
      <c r="M299"/>
      <c r="N299"/>
      <c r="P299"/>
      <c r="Q299"/>
      <c r="R299"/>
      <c r="S299"/>
      <c r="T299"/>
      <c r="U299" s="46"/>
      <c r="V299" s="46"/>
    </row>
    <row r="300" spans="1:22" ht="15" customHeight="1" x14ac:dyDescent="0.25">
      <c r="A300" s="17"/>
      <c r="G300"/>
      <c r="H300"/>
      <c r="J300"/>
      <c r="K300"/>
      <c r="L300"/>
      <c r="M300"/>
      <c r="N300"/>
      <c r="P300"/>
      <c r="Q300"/>
      <c r="R300"/>
      <c r="S300"/>
      <c r="T300"/>
      <c r="U300" s="46"/>
      <c r="V300" s="46"/>
    </row>
    <row r="301" spans="1:22" ht="15" customHeight="1" x14ac:dyDescent="0.25">
      <c r="A301" s="17"/>
      <c r="G301"/>
      <c r="H301"/>
      <c r="J301"/>
      <c r="K301"/>
      <c r="L301"/>
      <c r="M301"/>
      <c r="N301"/>
      <c r="P301"/>
      <c r="Q301"/>
      <c r="R301"/>
      <c r="S301"/>
      <c r="T301"/>
      <c r="U301" s="46"/>
      <c r="V301" s="46"/>
    </row>
    <row r="302" spans="1:22" ht="15" customHeight="1" x14ac:dyDescent="0.25">
      <c r="A302" s="17"/>
      <c r="G302"/>
      <c r="H302"/>
      <c r="J302"/>
      <c r="K302"/>
      <c r="L302"/>
      <c r="M302"/>
      <c r="N302"/>
      <c r="P302"/>
      <c r="Q302"/>
      <c r="R302"/>
      <c r="S302"/>
      <c r="T302"/>
      <c r="U302" s="46"/>
      <c r="V302" s="46"/>
    </row>
    <row r="303" spans="1:22" ht="15" customHeight="1" x14ac:dyDescent="0.25">
      <c r="A303" s="17"/>
      <c r="G303"/>
      <c r="H303"/>
      <c r="J303"/>
      <c r="K303"/>
      <c r="L303"/>
      <c r="M303"/>
      <c r="N303"/>
      <c r="P303"/>
      <c r="Q303"/>
      <c r="R303"/>
      <c r="S303"/>
      <c r="T303"/>
      <c r="U303" s="46"/>
      <c r="V303" s="46"/>
    </row>
    <row r="304" spans="1:22" ht="15" customHeight="1" x14ac:dyDescent="0.25">
      <c r="A304" s="17"/>
      <c r="G304"/>
      <c r="H304"/>
      <c r="J304"/>
      <c r="K304"/>
      <c r="L304"/>
      <c r="M304"/>
      <c r="N304"/>
      <c r="P304"/>
      <c r="Q304"/>
      <c r="R304"/>
      <c r="S304"/>
      <c r="T304"/>
      <c r="U304" s="46"/>
      <c r="V304" s="46"/>
    </row>
    <row r="305" spans="1:22" ht="15" customHeight="1" x14ac:dyDescent="0.25">
      <c r="A305" s="17"/>
      <c r="G305"/>
      <c r="H305"/>
      <c r="J305"/>
      <c r="K305"/>
      <c r="L305"/>
      <c r="M305"/>
      <c r="N305"/>
      <c r="P305"/>
      <c r="Q305"/>
      <c r="R305"/>
      <c r="S305"/>
      <c r="T305"/>
      <c r="U305" s="46"/>
      <c r="V305" s="46"/>
    </row>
    <row r="306" spans="1:22" ht="15" customHeight="1" x14ac:dyDescent="0.25">
      <c r="A306" s="17"/>
      <c r="G306"/>
      <c r="H306"/>
      <c r="J306"/>
      <c r="K306"/>
      <c r="L306"/>
      <c r="M306"/>
      <c r="N306"/>
      <c r="P306"/>
      <c r="Q306"/>
      <c r="R306"/>
      <c r="S306"/>
      <c r="T306"/>
      <c r="U306" s="46"/>
      <c r="V306" s="46"/>
    </row>
    <row r="307" spans="1:22" ht="15" customHeight="1" x14ac:dyDescent="0.25">
      <c r="A307" s="17"/>
      <c r="G307"/>
      <c r="H307"/>
      <c r="J307"/>
      <c r="K307"/>
      <c r="L307"/>
      <c r="M307"/>
      <c r="N307"/>
      <c r="P307"/>
      <c r="Q307"/>
      <c r="R307"/>
      <c r="S307"/>
      <c r="T307"/>
      <c r="U307" s="46"/>
      <c r="V307" s="46"/>
    </row>
    <row r="308" spans="1:22" ht="15" customHeight="1" x14ac:dyDescent="0.25">
      <c r="A308" s="17"/>
      <c r="G308"/>
      <c r="H308"/>
      <c r="J308"/>
      <c r="K308"/>
      <c r="L308"/>
      <c r="M308"/>
      <c r="N308"/>
      <c r="P308"/>
      <c r="Q308"/>
      <c r="R308"/>
      <c r="S308"/>
      <c r="T308"/>
      <c r="U308" s="46"/>
      <c r="V308" s="46"/>
    </row>
    <row r="309" spans="1:22" ht="15" customHeight="1" x14ac:dyDescent="0.25">
      <c r="A309" s="17"/>
      <c r="G309"/>
      <c r="H309"/>
      <c r="J309"/>
      <c r="K309"/>
      <c r="L309"/>
      <c r="M309"/>
      <c r="N309"/>
      <c r="P309"/>
      <c r="Q309"/>
      <c r="R309"/>
      <c r="S309"/>
      <c r="T309"/>
      <c r="U309" s="46"/>
      <c r="V309" s="46"/>
    </row>
    <row r="310" spans="1:22" ht="15" customHeight="1" x14ac:dyDescent="0.25">
      <c r="A310" s="17"/>
      <c r="G310"/>
      <c r="H310"/>
      <c r="J310"/>
      <c r="K310"/>
      <c r="L310"/>
      <c r="M310"/>
      <c r="N310"/>
      <c r="P310"/>
      <c r="Q310"/>
      <c r="R310"/>
      <c r="S310"/>
      <c r="T310"/>
      <c r="U310" s="46"/>
      <c r="V310" s="46"/>
    </row>
    <row r="311" spans="1:22" ht="15" customHeight="1" x14ac:dyDescent="0.25">
      <c r="A311" s="17"/>
      <c r="G311"/>
      <c r="H311"/>
      <c r="J311"/>
      <c r="K311"/>
      <c r="L311"/>
      <c r="M311"/>
      <c r="N311"/>
      <c r="P311"/>
      <c r="Q311"/>
      <c r="R311"/>
      <c r="S311"/>
      <c r="T311"/>
      <c r="U311" s="46"/>
      <c r="V311" s="46"/>
    </row>
    <row r="312" spans="1:22" ht="15" customHeight="1" x14ac:dyDescent="0.25">
      <c r="A312" s="17"/>
      <c r="G312"/>
      <c r="H312"/>
      <c r="J312"/>
      <c r="K312"/>
      <c r="L312"/>
      <c r="M312"/>
      <c r="N312"/>
      <c r="P312"/>
      <c r="Q312"/>
      <c r="R312"/>
      <c r="S312"/>
      <c r="T312"/>
      <c r="U312" s="46"/>
      <c r="V312" s="46"/>
    </row>
    <row r="313" spans="1:22" ht="15" customHeight="1" x14ac:dyDescent="0.25">
      <c r="A313" s="17"/>
      <c r="G313"/>
      <c r="H313"/>
      <c r="J313"/>
      <c r="K313"/>
      <c r="L313"/>
      <c r="M313"/>
      <c r="N313"/>
      <c r="P313"/>
      <c r="Q313"/>
      <c r="R313"/>
      <c r="S313"/>
      <c r="T313"/>
      <c r="U313" s="46"/>
      <c r="V313" s="46"/>
    </row>
    <row r="314" spans="1:22" ht="15" customHeight="1" x14ac:dyDescent="0.25">
      <c r="A314" s="17"/>
      <c r="G314"/>
      <c r="H314"/>
      <c r="J314"/>
      <c r="K314"/>
      <c r="L314"/>
      <c r="M314"/>
      <c r="N314"/>
      <c r="P314"/>
      <c r="Q314"/>
      <c r="R314"/>
      <c r="S314"/>
      <c r="T314"/>
      <c r="U314" s="46"/>
      <c r="V314" s="46"/>
    </row>
    <row r="315" spans="1:22" ht="15" customHeight="1" x14ac:dyDescent="0.25">
      <c r="A315" s="17"/>
      <c r="G315"/>
      <c r="H315"/>
      <c r="J315"/>
      <c r="K315"/>
      <c r="L315"/>
      <c r="M315"/>
      <c r="N315"/>
      <c r="P315"/>
      <c r="Q315"/>
      <c r="R315"/>
      <c r="S315"/>
      <c r="T315"/>
      <c r="U315" s="46"/>
      <c r="V315" s="46"/>
    </row>
    <row r="316" spans="1:22" ht="15" customHeight="1" x14ac:dyDescent="0.25">
      <c r="A316" s="17"/>
      <c r="G316"/>
      <c r="H316"/>
      <c r="J316"/>
      <c r="K316"/>
      <c r="L316"/>
      <c r="M316"/>
      <c r="N316"/>
      <c r="P316"/>
      <c r="Q316"/>
      <c r="R316"/>
      <c r="S316"/>
      <c r="T316"/>
      <c r="U316" s="46"/>
      <c r="V316" s="46"/>
    </row>
    <row r="317" spans="1:22" ht="15" customHeight="1" x14ac:dyDescent="0.25">
      <c r="A317" s="17"/>
      <c r="G317"/>
      <c r="H317"/>
      <c r="J317"/>
      <c r="K317"/>
      <c r="L317"/>
      <c r="M317"/>
      <c r="N317"/>
      <c r="P317"/>
      <c r="Q317"/>
      <c r="R317"/>
      <c r="S317"/>
      <c r="T317"/>
      <c r="U317" s="46"/>
      <c r="V317" s="46"/>
    </row>
    <row r="318" spans="1:22" ht="15" customHeight="1" x14ac:dyDescent="0.25">
      <c r="A318" s="17"/>
      <c r="G318"/>
      <c r="H318"/>
      <c r="J318"/>
      <c r="K318"/>
      <c r="L318"/>
      <c r="M318"/>
      <c r="N318"/>
      <c r="P318"/>
      <c r="Q318"/>
      <c r="R318"/>
      <c r="S318"/>
      <c r="T318"/>
      <c r="U318" s="46"/>
      <c r="V318" s="46"/>
    </row>
    <row r="319" spans="1:22" ht="15" customHeight="1" x14ac:dyDescent="0.25">
      <c r="A319" s="17"/>
      <c r="G319"/>
      <c r="H319"/>
      <c r="J319"/>
      <c r="K319"/>
      <c r="L319"/>
      <c r="M319"/>
      <c r="N319"/>
      <c r="P319"/>
      <c r="Q319"/>
      <c r="R319"/>
      <c r="S319"/>
      <c r="T319"/>
      <c r="U319" s="46"/>
      <c r="V319" s="46"/>
    </row>
    <row r="320" spans="1:22" ht="15" customHeight="1" x14ac:dyDescent="0.25">
      <c r="A320" s="17"/>
      <c r="G320"/>
      <c r="H320"/>
      <c r="J320"/>
      <c r="K320"/>
      <c r="L320"/>
      <c r="M320"/>
      <c r="N320"/>
      <c r="P320"/>
      <c r="Q320"/>
      <c r="R320"/>
      <c r="S320"/>
      <c r="T320"/>
      <c r="U320" s="46"/>
      <c r="V320" s="46"/>
    </row>
    <row r="321" spans="1:22" ht="15" customHeight="1" x14ac:dyDescent="0.25">
      <c r="A321" s="17"/>
      <c r="G321"/>
      <c r="H321"/>
      <c r="J321"/>
      <c r="K321"/>
      <c r="L321"/>
      <c r="M321"/>
      <c r="N321"/>
      <c r="P321"/>
      <c r="Q321"/>
      <c r="R321"/>
      <c r="S321"/>
      <c r="T321"/>
      <c r="U321" s="46"/>
      <c r="V321" s="46"/>
    </row>
    <row r="322" spans="1:22" ht="15" customHeight="1" x14ac:dyDescent="0.25">
      <c r="A322" s="17"/>
      <c r="G322"/>
      <c r="H322"/>
      <c r="J322"/>
      <c r="K322"/>
      <c r="L322"/>
      <c r="M322"/>
      <c r="N322"/>
      <c r="P322"/>
      <c r="Q322"/>
      <c r="R322"/>
      <c r="S322"/>
      <c r="T322"/>
      <c r="U322" s="46"/>
      <c r="V322" s="46"/>
    </row>
    <row r="323" spans="1:22" ht="15" customHeight="1" x14ac:dyDescent="0.25">
      <c r="A323" s="17"/>
      <c r="G323"/>
      <c r="H323"/>
      <c r="J323"/>
      <c r="K323"/>
      <c r="L323"/>
      <c r="M323"/>
      <c r="N323"/>
      <c r="P323"/>
      <c r="Q323"/>
      <c r="R323"/>
      <c r="S323"/>
      <c r="T323"/>
      <c r="U323" s="46"/>
      <c r="V323" s="46"/>
    </row>
    <row r="324" spans="1:22" ht="15" customHeight="1" x14ac:dyDescent="0.25">
      <c r="A324" s="17"/>
      <c r="G324"/>
      <c r="H324"/>
      <c r="J324"/>
      <c r="K324"/>
      <c r="L324"/>
      <c r="M324"/>
      <c r="N324"/>
      <c r="P324"/>
      <c r="Q324"/>
      <c r="R324"/>
      <c r="S324"/>
      <c r="T324"/>
      <c r="U324" s="46"/>
      <c r="V324" s="46"/>
    </row>
    <row r="325" spans="1:22" ht="15" customHeight="1" x14ac:dyDescent="0.25">
      <c r="A325" s="17"/>
      <c r="G325"/>
      <c r="H325"/>
      <c r="J325"/>
      <c r="K325"/>
      <c r="L325"/>
      <c r="M325"/>
      <c r="N325"/>
      <c r="P325"/>
      <c r="Q325"/>
      <c r="R325"/>
      <c r="S325"/>
      <c r="T325"/>
      <c r="U325" s="46"/>
      <c r="V325" s="46"/>
    </row>
    <row r="326" spans="1:22" ht="15" customHeight="1" x14ac:dyDescent="0.25">
      <c r="A326" s="17"/>
      <c r="G326"/>
      <c r="H326"/>
      <c r="J326"/>
      <c r="K326"/>
      <c r="L326"/>
      <c r="M326"/>
      <c r="N326"/>
      <c r="P326"/>
      <c r="Q326"/>
      <c r="R326"/>
      <c r="S326"/>
      <c r="T326"/>
      <c r="U326" s="46"/>
      <c r="V326" s="46"/>
    </row>
    <row r="327" spans="1:22" ht="15" customHeight="1" x14ac:dyDescent="0.25">
      <c r="A327" s="17"/>
      <c r="G327"/>
      <c r="H327"/>
      <c r="J327"/>
      <c r="K327"/>
      <c r="L327"/>
      <c r="M327"/>
      <c r="N327"/>
      <c r="P327"/>
      <c r="Q327"/>
      <c r="R327"/>
      <c r="S327"/>
      <c r="T327"/>
      <c r="U327" s="46"/>
      <c r="V327" s="46"/>
    </row>
    <row r="328" spans="1:22" ht="15" customHeight="1" x14ac:dyDescent="0.25">
      <c r="A328" s="17"/>
      <c r="G328"/>
      <c r="H328"/>
      <c r="J328"/>
      <c r="K328"/>
      <c r="L328"/>
      <c r="M328"/>
      <c r="N328"/>
      <c r="P328"/>
      <c r="Q328"/>
      <c r="R328"/>
      <c r="S328"/>
      <c r="T328"/>
      <c r="U328" s="46"/>
      <c r="V328" s="46"/>
    </row>
    <row r="329" spans="1:22" ht="15" customHeight="1" x14ac:dyDescent="0.25">
      <c r="A329" s="17"/>
      <c r="G329"/>
      <c r="H329"/>
      <c r="J329"/>
      <c r="K329"/>
      <c r="L329"/>
      <c r="M329"/>
      <c r="N329"/>
      <c r="P329"/>
      <c r="Q329"/>
      <c r="R329"/>
      <c r="S329"/>
      <c r="T329"/>
      <c r="U329" s="46"/>
      <c r="V329" s="46"/>
    </row>
    <row r="330" spans="1:22" ht="15" customHeight="1" x14ac:dyDescent="0.25">
      <c r="A330" s="17"/>
      <c r="G330"/>
      <c r="H330"/>
      <c r="J330"/>
      <c r="K330"/>
      <c r="L330"/>
      <c r="M330"/>
      <c r="N330"/>
      <c r="P330"/>
      <c r="Q330"/>
      <c r="R330"/>
      <c r="S330"/>
      <c r="T330"/>
      <c r="U330" s="46"/>
      <c r="V330" s="46"/>
    </row>
    <row r="331" spans="1:22" ht="15" customHeight="1" x14ac:dyDescent="0.25">
      <c r="A331" s="17"/>
      <c r="G331"/>
      <c r="H331"/>
      <c r="J331"/>
      <c r="K331"/>
      <c r="L331"/>
      <c r="M331"/>
      <c r="N331"/>
      <c r="P331"/>
      <c r="Q331"/>
      <c r="R331"/>
      <c r="S331"/>
      <c r="T331"/>
      <c r="U331" s="46"/>
      <c r="V331" s="46"/>
    </row>
    <row r="332" spans="1:22" ht="15" customHeight="1" x14ac:dyDescent="0.25">
      <c r="A332" s="17"/>
      <c r="G332"/>
      <c r="H332"/>
      <c r="J332"/>
      <c r="K332"/>
      <c r="L332"/>
      <c r="M332"/>
      <c r="N332"/>
      <c r="P332"/>
      <c r="Q332"/>
      <c r="R332"/>
      <c r="S332"/>
      <c r="T332"/>
      <c r="U332" s="46"/>
      <c r="V332" s="46"/>
    </row>
    <row r="333" spans="1:22" ht="15" customHeight="1" x14ac:dyDescent="0.25">
      <c r="A333" s="17"/>
      <c r="G333"/>
      <c r="H333"/>
      <c r="J333"/>
      <c r="K333"/>
      <c r="L333"/>
      <c r="M333"/>
      <c r="N333"/>
      <c r="P333"/>
      <c r="Q333"/>
      <c r="R333"/>
      <c r="S333"/>
      <c r="T333"/>
      <c r="U333" s="46"/>
      <c r="V333" s="46"/>
    </row>
    <row r="334" spans="1:22" ht="15" customHeight="1" x14ac:dyDescent="0.25">
      <c r="A334" s="17"/>
      <c r="G334"/>
      <c r="H334"/>
      <c r="J334"/>
      <c r="K334"/>
      <c r="L334"/>
      <c r="M334"/>
      <c r="N334"/>
      <c r="P334"/>
      <c r="Q334"/>
      <c r="R334"/>
      <c r="S334"/>
      <c r="T334"/>
      <c r="U334" s="46"/>
      <c r="V334" s="46"/>
    </row>
    <row r="335" spans="1:22" ht="15" customHeight="1" x14ac:dyDescent="0.25">
      <c r="A335" s="17"/>
      <c r="G335"/>
      <c r="H335"/>
      <c r="J335"/>
      <c r="K335"/>
      <c r="L335"/>
      <c r="M335"/>
      <c r="N335"/>
      <c r="P335"/>
      <c r="Q335"/>
      <c r="R335"/>
      <c r="S335"/>
      <c r="T335"/>
      <c r="U335" s="46"/>
      <c r="V335" s="46"/>
    </row>
    <row r="336" spans="1:22" ht="15" customHeight="1" x14ac:dyDescent="0.25">
      <c r="A336" s="17"/>
      <c r="G336"/>
      <c r="H336"/>
      <c r="J336"/>
      <c r="K336"/>
      <c r="L336"/>
      <c r="M336"/>
      <c r="N336"/>
      <c r="P336"/>
      <c r="Q336"/>
      <c r="R336"/>
      <c r="S336"/>
      <c r="T336"/>
      <c r="U336" s="46"/>
      <c r="V336" s="46"/>
    </row>
    <row r="337" spans="1:22" ht="15" customHeight="1" x14ac:dyDescent="0.25">
      <c r="A337" s="17"/>
      <c r="G337"/>
      <c r="H337"/>
      <c r="J337"/>
      <c r="K337"/>
      <c r="L337"/>
      <c r="M337"/>
      <c r="N337"/>
      <c r="P337"/>
      <c r="Q337"/>
      <c r="R337"/>
      <c r="S337"/>
      <c r="T337"/>
      <c r="U337" s="46"/>
      <c r="V337" s="46"/>
    </row>
    <row r="338" spans="1:22" ht="15" customHeight="1" x14ac:dyDescent="0.25">
      <c r="A338" s="17"/>
      <c r="G338"/>
      <c r="H338"/>
      <c r="J338"/>
      <c r="K338"/>
      <c r="L338"/>
      <c r="M338"/>
      <c r="N338"/>
      <c r="P338"/>
      <c r="Q338"/>
      <c r="R338"/>
      <c r="S338"/>
      <c r="T338"/>
      <c r="U338" s="46"/>
      <c r="V338" s="46"/>
    </row>
    <row r="339" spans="1:22" ht="15" customHeight="1" x14ac:dyDescent="0.25">
      <c r="A339" s="17"/>
      <c r="G339"/>
      <c r="H339"/>
      <c r="J339"/>
      <c r="K339"/>
      <c r="L339"/>
      <c r="M339"/>
      <c r="N339"/>
      <c r="P339"/>
      <c r="Q339"/>
      <c r="R339"/>
      <c r="S339"/>
      <c r="T339"/>
      <c r="U339" s="46"/>
      <c r="V339" s="46"/>
    </row>
    <row r="340" spans="1:22" ht="15" customHeight="1" x14ac:dyDescent="0.25">
      <c r="A340" s="17"/>
      <c r="G340"/>
      <c r="H340"/>
      <c r="J340"/>
      <c r="K340"/>
      <c r="L340"/>
      <c r="M340"/>
      <c r="N340"/>
      <c r="P340"/>
      <c r="Q340"/>
      <c r="R340"/>
      <c r="S340"/>
      <c r="T340"/>
      <c r="U340" s="46"/>
      <c r="V340" s="46"/>
    </row>
    <row r="341" spans="1:22" ht="15" customHeight="1" x14ac:dyDescent="0.25">
      <c r="A341" s="17"/>
      <c r="G341"/>
      <c r="H341"/>
      <c r="J341"/>
      <c r="K341"/>
      <c r="L341"/>
      <c r="M341"/>
      <c r="N341"/>
      <c r="P341"/>
      <c r="Q341"/>
      <c r="R341"/>
      <c r="S341"/>
      <c r="T341"/>
      <c r="U341" s="46"/>
      <c r="V341" s="46"/>
    </row>
    <row r="342" spans="1:22" ht="15" customHeight="1" x14ac:dyDescent="0.25">
      <c r="A342" s="17"/>
      <c r="G342"/>
      <c r="H342"/>
      <c r="J342"/>
      <c r="K342"/>
      <c r="L342"/>
      <c r="M342"/>
      <c r="N342"/>
      <c r="P342"/>
      <c r="Q342"/>
      <c r="R342"/>
      <c r="S342"/>
      <c r="T342"/>
      <c r="U342" s="46"/>
      <c r="V342" s="46"/>
    </row>
    <row r="343" spans="1:22" ht="15" customHeight="1" x14ac:dyDescent="0.25">
      <c r="A343" s="17"/>
      <c r="G343"/>
      <c r="H343"/>
      <c r="J343"/>
      <c r="K343"/>
      <c r="L343"/>
      <c r="M343"/>
      <c r="N343"/>
      <c r="P343"/>
      <c r="Q343"/>
      <c r="R343"/>
      <c r="S343"/>
      <c r="T343"/>
      <c r="U343" s="46"/>
      <c r="V343" s="46"/>
    </row>
    <row r="344" spans="1:22" ht="15" customHeight="1" x14ac:dyDescent="0.25">
      <c r="A344" s="17"/>
      <c r="G344"/>
      <c r="H344"/>
      <c r="J344"/>
      <c r="K344"/>
      <c r="L344"/>
      <c r="M344"/>
      <c r="N344"/>
      <c r="P344"/>
      <c r="Q344"/>
      <c r="R344"/>
      <c r="S344"/>
      <c r="T344"/>
      <c r="U344" s="46"/>
      <c r="V344" s="46"/>
    </row>
    <row r="345" spans="1:22" ht="15" customHeight="1" x14ac:dyDescent="0.25">
      <c r="A345" s="17"/>
      <c r="G345"/>
      <c r="H345"/>
      <c r="J345"/>
      <c r="K345"/>
      <c r="L345"/>
      <c r="M345"/>
      <c r="N345"/>
      <c r="P345"/>
      <c r="Q345"/>
      <c r="R345"/>
      <c r="S345"/>
      <c r="T345"/>
      <c r="U345" s="46"/>
      <c r="V345" s="46"/>
    </row>
    <row r="346" spans="1:22" ht="15" customHeight="1" x14ac:dyDescent="0.25">
      <c r="A346" s="17"/>
      <c r="G346"/>
      <c r="H346"/>
      <c r="J346"/>
      <c r="K346"/>
      <c r="L346"/>
      <c r="M346"/>
      <c r="N346"/>
      <c r="P346"/>
      <c r="Q346"/>
      <c r="R346"/>
      <c r="S346"/>
      <c r="T346"/>
      <c r="U346" s="46"/>
      <c r="V346" s="46"/>
    </row>
    <row r="347" spans="1:22" ht="15" customHeight="1" x14ac:dyDescent="0.25">
      <c r="A347" s="17"/>
      <c r="G347"/>
      <c r="H347"/>
      <c r="J347"/>
      <c r="K347"/>
      <c r="L347"/>
      <c r="M347"/>
      <c r="N347"/>
      <c r="P347"/>
      <c r="Q347"/>
      <c r="R347"/>
      <c r="S347"/>
      <c r="T347"/>
      <c r="U347" s="46"/>
      <c r="V347" s="46"/>
    </row>
    <row r="348" spans="1:22" ht="15" customHeight="1" x14ac:dyDescent="0.25">
      <c r="A348" s="17"/>
      <c r="G348"/>
      <c r="H348"/>
      <c r="J348"/>
      <c r="K348"/>
      <c r="L348"/>
      <c r="M348"/>
      <c r="N348"/>
      <c r="P348"/>
      <c r="Q348"/>
      <c r="R348"/>
      <c r="S348"/>
      <c r="T348"/>
      <c r="U348" s="46"/>
      <c r="V348" s="46"/>
    </row>
    <row r="349" spans="1:22" ht="15" customHeight="1" x14ac:dyDescent="0.25">
      <c r="A349" s="17"/>
      <c r="G349"/>
      <c r="H349"/>
      <c r="J349"/>
      <c r="K349"/>
      <c r="L349"/>
      <c r="M349"/>
      <c r="N349"/>
      <c r="P349"/>
      <c r="Q349"/>
      <c r="R349"/>
      <c r="S349"/>
      <c r="T349"/>
      <c r="U349" s="46"/>
      <c r="V349" s="46"/>
    </row>
    <row r="350" spans="1:22" ht="15" customHeight="1" x14ac:dyDescent="0.25">
      <c r="A350" s="17"/>
      <c r="G350"/>
      <c r="H350"/>
      <c r="J350"/>
      <c r="K350"/>
      <c r="L350"/>
      <c r="M350"/>
      <c r="N350"/>
      <c r="P350"/>
      <c r="Q350"/>
      <c r="R350"/>
      <c r="S350"/>
      <c r="T350"/>
      <c r="U350" s="46"/>
      <c r="V350" s="46"/>
    </row>
    <row r="351" spans="1:22" ht="15" customHeight="1" x14ac:dyDescent="0.25">
      <c r="A351" s="17"/>
      <c r="G351"/>
      <c r="H351"/>
      <c r="J351"/>
      <c r="K351"/>
      <c r="L351"/>
      <c r="M351"/>
      <c r="N351"/>
      <c r="P351"/>
      <c r="Q351"/>
      <c r="R351"/>
      <c r="S351"/>
      <c r="T351"/>
      <c r="U351" s="46"/>
      <c r="V351" s="46"/>
    </row>
    <row r="352" spans="1:22" ht="15" customHeight="1" x14ac:dyDescent="0.25">
      <c r="A352" s="17"/>
      <c r="G352"/>
      <c r="H352"/>
      <c r="J352"/>
      <c r="K352"/>
      <c r="L352"/>
      <c r="M352"/>
      <c r="N352"/>
      <c r="P352"/>
      <c r="Q352"/>
      <c r="R352"/>
      <c r="S352"/>
      <c r="T352"/>
      <c r="U352" s="46"/>
      <c r="V352" s="46"/>
    </row>
    <row r="353" spans="1:22" ht="15" customHeight="1" x14ac:dyDescent="0.25">
      <c r="A353" s="17"/>
      <c r="G353"/>
      <c r="H353"/>
      <c r="J353"/>
      <c r="K353"/>
      <c r="L353"/>
      <c r="M353"/>
      <c r="N353"/>
      <c r="P353"/>
      <c r="Q353"/>
      <c r="R353"/>
      <c r="S353"/>
      <c r="T353"/>
      <c r="U353" s="46"/>
      <c r="V353" s="46"/>
    </row>
    <row r="354" spans="1:22" ht="15" customHeight="1" x14ac:dyDescent="0.25">
      <c r="A354" s="17"/>
      <c r="G354"/>
      <c r="H354"/>
      <c r="J354"/>
      <c r="K354"/>
      <c r="L354"/>
      <c r="M354"/>
      <c r="N354"/>
      <c r="P354"/>
      <c r="Q354"/>
      <c r="R354"/>
      <c r="S354"/>
      <c r="T354"/>
      <c r="U354" s="46"/>
      <c r="V354" s="46"/>
    </row>
    <row r="355" spans="1:22" ht="15" customHeight="1" x14ac:dyDescent="0.25">
      <c r="A355" s="17"/>
      <c r="G355"/>
      <c r="H355"/>
      <c r="J355"/>
      <c r="K355"/>
      <c r="L355"/>
      <c r="M355"/>
      <c r="N355"/>
      <c r="P355"/>
      <c r="Q355"/>
      <c r="R355"/>
      <c r="S355"/>
      <c r="T355"/>
      <c r="U355" s="46"/>
      <c r="V355" s="46"/>
    </row>
    <row r="356" spans="1:22" ht="15" customHeight="1" x14ac:dyDescent="0.25">
      <c r="A356" s="17"/>
      <c r="G356"/>
      <c r="H356"/>
      <c r="J356"/>
      <c r="K356"/>
      <c r="L356"/>
      <c r="M356"/>
      <c r="N356"/>
      <c r="P356"/>
      <c r="Q356"/>
      <c r="R356"/>
      <c r="S356"/>
      <c r="T356"/>
      <c r="U356" s="46"/>
      <c r="V356" s="46"/>
    </row>
    <row r="357" spans="1:22" ht="15" customHeight="1" x14ac:dyDescent="0.25">
      <c r="A357" s="17"/>
      <c r="G357"/>
      <c r="H357"/>
      <c r="J357"/>
      <c r="K357"/>
      <c r="L357"/>
      <c r="M357"/>
      <c r="N357"/>
      <c r="P357"/>
      <c r="Q357"/>
      <c r="R357"/>
      <c r="S357"/>
      <c r="T357"/>
      <c r="U357" s="46"/>
      <c r="V357" s="46"/>
    </row>
    <row r="358" spans="1:22" ht="15" customHeight="1" x14ac:dyDescent="0.25">
      <c r="A358" s="17"/>
      <c r="G358"/>
      <c r="H358"/>
      <c r="J358"/>
      <c r="K358"/>
      <c r="L358"/>
      <c r="M358"/>
      <c r="N358"/>
      <c r="P358"/>
      <c r="Q358"/>
      <c r="R358"/>
      <c r="S358"/>
      <c r="T358"/>
      <c r="U358" s="46"/>
      <c r="V358" s="46"/>
    </row>
    <row r="359" spans="1:22" ht="15" customHeight="1" x14ac:dyDescent="0.25">
      <c r="A359" s="17"/>
      <c r="G359"/>
      <c r="H359"/>
      <c r="J359"/>
      <c r="K359"/>
      <c r="L359"/>
      <c r="M359"/>
      <c r="N359"/>
      <c r="P359"/>
      <c r="Q359"/>
      <c r="R359"/>
      <c r="S359"/>
      <c r="T359"/>
      <c r="U359" s="46"/>
      <c r="V359" s="46"/>
    </row>
    <row r="360" spans="1:22" ht="15" customHeight="1" x14ac:dyDescent="0.25">
      <c r="A360" s="17"/>
      <c r="G360"/>
      <c r="H360"/>
      <c r="J360"/>
      <c r="K360"/>
      <c r="L360"/>
      <c r="M360"/>
      <c r="N360"/>
      <c r="P360"/>
      <c r="Q360"/>
      <c r="R360"/>
      <c r="S360"/>
      <c r="T360"/>
      <c r="U360" s="46"/>
      <c r="V360" s="46"/>
    </row>
    <row r="361" spans="1:22" ht="15" customHeight="1" x14ac:dyDescent="0.25">
      <c r="A361" s="17"/>
      <c r="G361"/>
      <c r="H361"/>
      <c r="J361"/>
      <c r="K361"/>
      <c r="L361"/>
      <c r="M361"/>
      <c r="N361"/>
      <c r="P361"/>
      <c r="Q361"/>
      <c r="R361"/>
      <c r="S361"/>
      <c r="T361"/>
      <c r="U361" s="46"/>
      <c r="V361" s="46"/>
    </row>
    <row r="362" spans="1:22" ht="15" customHeight="1" x14ac:dyDescent="0.25">
      <c r="A362" s="17"/>
      <c r="G362"/>
      <c r="H362"/>
      <c r="J362"/>
      <c r="K362"/>
      <c r="L362"/>
      <c r="M362"/>
      <c r="N362"/>
      <c r="P362"/>
      <c r="Q362"/>
      <c r="R362"/>
      <c r="S362"/>
      <c r="T362"/>
      <c r="U362" s="46"/>
      <c r="V362" s="46"/>
    </row>
    <row r="363" spans="1:22" ht="15" customHeight="1" x14ac:dyDescent="0.25">
      <c r="A363" s="17"/>
      <c r="G363"/>
      <c r="H363"/>
      <c r="J363"/>
      <c r="K363"/>
      <c r="L363"/>
      <c r="M363"/>
      <c r="N363"/>
      <c r="P363"/>
      <c r="Q363"/>
      <c r="R363"/>
      <c r="S363"/>
      <c r="T363"/>
      <c r="U363" s="46"/>
      <c r="V363" s="46"/>
    </row>
    <row r="364" spans="1:22" ht="15" customHeight="1" x14ac:dyDescent="0.25">
      <c r="A364" s="17"/>
      <c r="G364"/>
      <c r="H364"/>
      <c r="J364"/>
      <c r="K364"/>
      <c r="L364"/>
      <c r="M364"/>
      <c r="N364"/>
      <c r="P364"/>
      <c r="Q364"/>
      <c r="R364"/>
      <c r="S364"/>
      <c r="T364"/>
      <c r="U364" s="46"/>
      <c r="V364" s="46"/>
    </row>
    <row r="365" spans="1:22" ht="15" customHeight="1" x14ac:dyDescent="0.25">
      <c r="A365" s="17"/>
      <c r="G365"/>
      <c r="H365"/>
      <c r="J365"/>
      <c r="K365"/>
      <c r="L365"/>
      <c r="M365"/>
      <c r="N365"/>
      <c r="P365"/>
      <c r="Q365"/>
      <c r="R365"/>
      <c r="S365"/>
      <c r="T365"/>
      <c r="U365" s="46"/>
      <c r="V365" s="46"/>
    </row>
    <row r="366" spans="1:22" ht="15" customHeight="1" x14ac:dyDescent="0.25">
      <c r="A366" s="17"/>
      <c r="G366"/>
      <c r="H366"/>
      <c r="J366"/>
      <c r="K366"/>
      <c r="L366"/>
      <c r="M366"/>
      <c r="N366"/>
      <c r="P366"/>
      <c r="Q366"/>
      <c r="R366"/>
      <c r="S366"/>
      <c r="T366"/>
      <c r="U366" s="46"/>
      <c r="V366" s="46"/>
    </row>
    <row r="367" spans="1:22" ht="15" customHeight="1" x14ac:dyDescent="0.25">
      <c r="A367" s="17"/>
      <c r="G367"/>
      <c r="H367"/>
      <c r="J367"/>
      <c r="K367"/>
      <c r="L367"/>
      <c r="M367"/>
      <c r="N367"/>
      <c r="P367"/>
      <c r="Q367"/>
      <c r="R367"/>
      <c r="S367"/>
      <c r="T367"/>
      <c r="U367" s="46"/>
      <c r="V367" s="46"/>
    </row>
    <row r="368" spans="1:22" ht="15" customHeight="1" x14ac:dyDescent="0.25">
      <c r="A368" s="17"/>
      <c r="G368"/>
      <c r="H368"/>
      <c r="J368"/>
      <c r="K368"/>
      <c r="L368"/>
      <c r="M368"/>
      <c r="N368"/>
      <c r="P368"/>
      <c r="Q368"/>
      <c r="R368"/>
      <c r="S368"/>
      <c r="T368"/>
      <c r="U368" s="46"/>
      <c r="V368" s="46"/>
    </row>
    <row r="369" spans="1:22" ht="15" customHeight="1" x14ac:dyDescent="0.25">
      <c r="A369" s="17"/>
      <c r="G369"/>
      <c r="H369"/>
      <c r="J369"/>
      <c r="K369"/>
      <c r="L369"/>
      <c r="M369"/>
      <c r="N369"/>
      <c r="P369"/>
      <c r="Q369"/>
      <c r="R369"/>
      <c r="S369"/>
      <c r="T369"/>
      <c r="U369" s="46"/>
      <c r="V369" s="46"/>
    </row>
    <row r="370" spans="1:22" ht="15" customHeight="1" x14ac:dyDescent="0.25">
      <c r="A370" s="17"/>
      <c r="G370"/>
      <c r="H370"/>
      <c r="J370"/>
      <c r="K370"/>
      <c r="L370"/>
      <c r="M370"/>
      <c r="N370"/>
      <c r="P370"/>
      <c r="Q370"/>
      <c r="R370"/>
      <c r="S370"/>
      <c r="T370"/>
      <c r="U370" s="46"/>
      <c r="V370" s="46"/>
    </row>
    <row r="371" spans="1:22" ht="15" customHeight="1" x14ac:dyDescent="0.25">
      <c r="A371" s="17"/>
      <c r="G371"/>
      <c r="H371"/>
      <c r="J371"/>
      <c r="K371"/>
      <c r="L371"/>
      <c r="M371"/>
      <c r="N371"/>
      <c r="P371"/>
      <c r="Q371"/>
      <c r="R371"/>
      <c r="S371"/>
      <c r="T371"/>
      <c r="U371" s="46"/>
      <c r="V371" s="46"/>
    </row>
    <row r="372" spans="1:22" ht="15" customHeight="1" x14ac:dyDescent="0.25">
      <c r="A372" s="17"/>
      <c r="G372"/>
      <c r="H372"/>
      <c r="J372"/>
      <c r="K372"/>
      <c r="L372"/>
      <c r="M372"/>
      <c r="N372"/>
      <c r="P372"/>
      <c r="Q372"/>
      <c r="R372"/>
      <c r="S372"/>
      <c r="T372"/>
      <c r="U372" s="46"/>
      <c r="V372" s="46"/>
    </row>
    <row r="373" spans="1:22" ht="15" customHeight="1" x14ac:dyDescent="0.25">
      <c r="A373" s="17"/>
      <c r="G373"/>
      <c r="H373"/>
      <c r="J373"/>
      <c r="K373"/>
      <c r="L373"/>
      <c r="M373"/>
      <c r="N373"/>
      <c r="P373"/>
      <c r="Q373"/>
      <c r="R373"/>
      <c r="S373"/>
      <c r="T373"/>
      <c r="U373" s="46"/>
      <c r="V373" s="46"/>
    </row>
    <row r="374" spans="1:22" ht="15" customHeight="1" x14ac:dyDescent="0.25">
      <c r="A374" s="17"/>
      <c r="G374"/>
      <c r="H374"/>
      <c r="J374"/>
      <c r="K374"/>
      <c r="L374"/>
      <c r="M374"/>
      <c r="N374"/>
      <c r="P374"/>
      <c r="Q374"/>
      <c r="R374"/>
      <c r="S374"/>
      <c r="T374"/>
      <c r="U374" s="46"/>
      <c r="V374" s="46"/>
    </row>
    <row r="375" spans="1:22" ht="15" customHeight="1" x14ac:dyDescent="0.25">
      <c r="A375" s="17"/>
      <c r="G375"/>
      <c r="H375"/>
      <c r="J375"/>
      <c r="K375"/>
      <c r="L375"/>
      <c r="M375"/>
      <c r="N375"/>
      <c r="P375"/>
      <c r="Q375"/>
      <c r="R375"/>
      <c r="S375"/>
      <c r="T375"/>
      <c r="U375" s="46"/>
      <c r="V375" s="46"/>
    </row>
    <row r="376" spans="1:22" ht="15" customHeight="1" x14ac:dyDescent="0.25">
      <c r="A376" s="17"/>
      <c r="G376"/>
      <c r="H376"/>
      <c r="J376"/>
      <c r="K376"/>
      <c r="L376"/>
      <c r="M376"/>
      <c r="N376"/>
      <c r="P376"/>
      <c r="Q376"/>
      <c r="R376"/>
      <c r="S376"/>
      <c r="T376"/>
      <c r="U376" s="46"/>
      <c r="V376" s="46"/>
    </row>
    <row r="377" spans="1:22" ht="15" customHeight="1" x14ac:dyDescent="0.25">
      <c r="A377" s="17"/>
      <c r="G377"/>
      <c r="H377"/>
      <c r="J377"/>
      <c r="K377"/>
      <c r="L377"/>
      <c r="M377"/>
      <c r="N377"/>
      <c r="P377"/>
      <c r="Q377"/>
      <c r="R377"/>
      <c r="S377"/>
      <c r="T377"/>
      <c r="U377" s="46"/>
      <c r="V377" s="46"/>
    </row>
    <row r="378" spans="1:22" ht="15" customHeight="1" x14ac:dyDescent="0.25">
      <c r="A378" s="17"/>
      <c r="G378"/>
      <c r="H378"/>
      <c r="J378"/>
      <c r="K378"/>
      <c r="L378"/>
      <c r="M378"/>
      <c r="N378"/>
      <c r="P378"/>
      <c r="Q378"/>
      <c r="R378"/>
      <c r="S378"/>
      <c r="T378"/>
      <c r="U378" s="46"/>
      <c r="V378" s="46"/>
    </row>
    <row r="379" spans="1:22" ht="15" customHeight="1" x14ac:dyDescent="0.25">
      <c r="A379" s="17"/>
      <c r="G379"/>
      <c r="H379"/>
      <c r="J379"/>
      <c r="K379"/>
      <c r="L379"/>
      <c r="M379"/>
      <c r="N379"/>
      <c r="P379"/>
      <c r="Q379"/>
      <c r="R379"/>
      <c r="S379"/>
      <c r="T379"/>
      <c r="U379" s="46"/>
      <c r="V379" s="46"/>
    </row>
    <row r="380" spans="1:22" ht="15" customHeight="1" x14ac:dyDescent="0.25">
      <c r="A380" s="17"/>
      <c r="G380"/>
      <c r="H380"/>
      <c r="J380"/>
      <c r="K380"/>
      <c r="L380"/>
      <c r="M380"/>
      <c r="N380"/>
      <c r="P380"/>
      <c r="Q380"/>
      <c r="R380"/>
      <c r="S380"/>
      <c r="T380"/>
      <c r="U380" s="46"/>
      <c r="V380" s="46"/>
    </row>
    <row r="381" spans="1:22" ht="15" customHeight="1" x14ac:dyDescent="0.25">
      <c r="A381" s="17"/>
      <c r="G381"/>
      <c r="H381"/>
      <c r="J381"/>
      <c r="K381"/>
      <c r="L381"/>
      <c r="M381"/>
      <c r="N381"/>
      <c r="P381"/>
      <c r="Q381"/>
      <c r="R381"/>
      <c r="S381"/>
      <c r="T381"/>
      <c r="U381" s="46"/>
      <c r="V381" s="46"/>
    </row>
    <row r="382" spans="1:22" ht="15" customHeight="1" x14ac:dyDescent="0.25">
      <c r="A382" s="17"/>
      <c r="G382"/>
      <c r="H382"/>
      <c r="J382"/>
      <c r="K382"/>
      <c r="L382"/>
      <c r="M382"/>
      <c r="N382"/>
      <c r="P382"/>
      <c r="Q382"/>
      <c r="R382"/>
      <c r="S382"/>
      <c r="T382"/>
      <c r="U382" s="46"/>
      <c r="V382" s="46"/>
    </row>
    <row r="383" spans="1:22" ht="15" customHeight="1" x14ac:dyDescent="0.25">
      <c r="A383" s="17"/>
      <c r="G383"/>
      <c r="H383"/>
      <c r="J383"/>
      <c r="K383"/>
      <c r="L383"/>
      <c r="M383"/>
      <c r="N383"/>
      <c r="P383"/>
      <c r="Q383"/>
      <c r="R383"/>
      <c r="S383"/>
      <c r="T383"/>
      <c r="U383" s="46"/>
      <c r="V383" s="46"/>
    </row>
    <row r="384" spans="1:22" ht="15" customHeight="1" x14ac:dyDescent="0.25">
      <c r="A384" s="17"/>
      <c r="G384"/>
      <c r="H384"/>
      <c r="J384"/>
      <c r="K384"/>
      <c r="L384"/>
      <c r="M384"/>
      <c r="N384"/>
      <c r="P384"/>
      <c r="Q384"/>
      <c r="R384"/>
      <c r="S384"/>
      <c r="T384"/>
      <c r="U384" s="46"/>
      <c r="V384" s="46"/>
    </row>
    <row r="385" spans="1:22" ht="15" customHeight="1" x14ac:dyDescent="0.25">
      <c r="A385" s="17"/>
      <c r="G385"/>
      <c r="H385"/>
      <c r="J385"/>
      <c r="K385"/>
      <c r="L385"/>
      <c r="M385"/>
      <c r="N385"/>
      <c r="P385"/>
      <c r="Q385"/>
      <c r="R385"/>
      <c r="S385"/>
      <c r="T385"/>
      <c r="U385" s="46"/>
      <c r="V385" s="46"/>
    </row>
    <row r="386" spans="1:22" ht="15" customHeight="1" x14ac:dyDescent="0.25">
      <c r="A386" s="17"/>
      <c r="G386"/>
      <c r="H386"/>
      <c r="J386"/>
      <c r="K386"/>
      <c r="L386"/>
      <c r="M386"/>
      <c r="N386"/>
      <c r="P386"/>
      <c r="Q386"/>
      <c r="R386"/>
      <c r="S386"/>
      <c r="T386"/>
      <c r="U386" s="46"/>
      <c r="V386" s="46"/>
    </row>
    <row r="387" spans="1:22" ht="15" customHeight="1" x14ac:dyDescent="0.25">
      <c r="A387" s="17"/>
      <c r="G387"/>
      <c r="H387"/>
      <c r="J387"/>
      <c r="K387"/>
      <c r="L387"/>
      <c r="M387"/>
      <c r="N387"/>
      <c r="P387"/>
      <c r="Q387"/>
      <c r="R387"/>
      <c r="S387"/>
      <c r="T387"/>
      <c r="U387" s="46"/>
      <c r="V387" s="46"/>
    </row>
    <row r="388" spans="1:22" ht="15" customHeight="1" x14ac:dyDescent="0.25">
      <c r="A388" s="17"/>
      <c r="G388"/>
      <c r="H388"/>
      <c r="J388"/>
      <c r="K388"/>
      <c r="L388"/>
      <c r="M388"/>
      <c r="N388"/>
      <c r="P388"/>
      <c r="Q388"/>
      <c r="R388"/>
      <c r="S388"/>
      <c r="T388"/>
      <c r="U388" s="46"/>
      <c r="V388" s="46"/>
    </row>
    <row r="389" spans="1:22" ht="15" customHeight="1" x14ac:dyDescent="0.25">
      <c r="A389" s="17"/>
      <c r="G389"/>
      <c r="H389"/>
      <c r="J389"/>
      <c r="K389"/>
      <c r="L389"/>
      <c r="M389"/>
      <c r="N389"/>
      <c r="P389"/>
      <c r="Q389"/>
      <c r="R389"/>
      <c r="S389"/>
      <c r="T389"/>
      <c r="U389" s="46"/>
      <c r="V389" s="46"/>
    </row>
    <row r="390" spans="1:22" ht="15" customHeight="1" x14ac:dyDescent="0.25">
      <c r="A390" s="17"/>
      <c r="G390"/>
      <c r="H390"/>
      <c r="J390"/>
      <c r="K390"/>
      <c r="L390"/>
      <c r="M390"/>
      <c r="N390"/>
      <c r="P390"/>
      <c r="Q390"/>
      <c r="R390"/>
      <c r="S390"/>
      <c r="T390"/>
      <c r="U390" s="46"/>
      <c r="V390" s="46"/>
    </row>
    <row r="391" spans="1:22" ht="15" customHeight="1" x14ac:dyDescent="0.25">
      <c r="A391" s="17"/>
      <c r="G391"/>
      <c r="H391"/>
      <c r="J391"/>
      <c r="K391"/>
      <c r="L391"/>
      <c r="M391"/>
      <c r="N391"/>
      <c r="P391"/>
      <c r="Q391"/>
      <c r="R391"/>
      <c r="S391"/>
      <c r="T391"/>
      <c r="U391" s="46"/>
      <c r="V391" s="46"/>
    </row>
    <row r="392" spans="1:22" ht="15" customHeight="1" x14ac:dyDescent="0.25">
      <c r="A392" s="17"/>
      <c r="G392"/>
      <c r="H392"/>
      <c r="J392"/>
      <c r="K392"/>
      <c r="L392"/>
      <c r="M392"/>
      <c r="N392"/>
      <c r="P392"/>
      <c r="Q392"/>
      <c r="R392"/>
      <c r="S392"/>
      <c r="T392"/>
      <c r="U392" s="46"/>
      <c r="V392" s="46"/>
    </row>
    <row r="393" spans="1:22" ht="15" customHeight="1" x14ac:dyDescent="0.25">
      <c r="A393" s="17"/>
      <c r="G393"/>
      <c r="H393"/>
      <c r="J393"/>
      <c r="K393"/>
      <c r="L393"/>
      <c r="M393"/>
      <c r="N393"/>
      <c r="P393"/>
      <c r="Q393"/>
      <c r="R393"/>
      <c r="S393"/>
      <c r="T393"/>
      <c r="U393" s="46"/>
      <c r="V393" s="46"/>
    </row>
    <row r="394" spans="1:22" ht="15" customHeight="1" x14ac:dyDescent="0.25">
      <c r="A394" s="17"/>
      <c r="G394"/>
      <c r="H394"/>
      <c r="J394"/>
      <c r="K394"/>
      <c r="L394"/>
      <c r="M394"/>
      <c r="N394"/>
      <c r="P394"/>
      <c r="Q394"/>
      <c r="R394"/>
      <c r="S394"/>
      <c r="T394"/>
      <c r="U394" s="46"/>
      <c r="V394" s="46"/>
    </row>
    <row r="395" spans="1:22" ht="15" customHeight="1" x14ac:dyDescent="0.25">
      <c r="A395" s="17"/>
      <c r="G395"/>
      <c r="H395"/>
      <c r="J395"/>
      <c r="K395"/>
      <c r="L395"/>
      <c r="M395"/>
      <c r="N395"/>
      <c r="P395"/>
      <c r="Q395"/>
      <c r="R395"/>
      <c r="S395"/>
      <c r="T395"/>
      <c r="U395" s="46"/>
      <c r="V395" s="46"/>
    </row>
    <row r="396" spans="1:22" ht="15" customHeight="1" x14ac:dyDescent="0.25">
      <c r="A396" s="17"/>
      <c r="G396"/>
      <c r="H396"/>
      <c r="J396"/>
      <c r="K396"/>
      <c r="L396"/>
      <c r="M396"/>
      <c r="N396"/>
      <c r="P396"/>
      <c r="Q396"/>
      <c r="R396"/>
      <c r="S396"/>
      <c r="T396"/>
      <c r="U396" s="46"/>
      <c r="V396" s="46"/>
    </row>
    <row r="397" spans="1:22" ht="15" customHeight="1" x14ac:dyDescent="0.25">
      <c r="A397" s="17"/>
      <c r="G397"/>
      <c r="H397"/>
      <c r="J397"/>
      <c r="K397"/>
      <c r="L397"/>
      <c r="M397"/>
      <c r="N397"/>
      <c r="P397"/>
      <c r="Q397"/>
      <c r="R397"/>
      <c r="S397"/>
      <c r="T397"/>
      <c r="U397" s="46"/>
      <c r="V397" s="46"/>
    </row>
    <row r="398" spans="1:22" ht="15" customHeight="1" x14ac:dyDescent="0.25">
      <c r="A398" s="17"/>
      <c r="G398"/>
      <c r="H398"/>
      <c r="J398"/>
      <c r="K398"/>
      <c r="L398"/>
      <c r="M398"/>
      <c r="N398"/>
      <c r="P398"/>
      <c r="Q398"/>
      <c r="R398"/>
      <c r="S398"/>
      <c r="T398"/>
      <c r="U398" s="46"/>
      <c r="V398" s="46"/>
    </row>
    <row r="399" spans="1:22" ht="15" customHeight="1" x14ac:dyDescent="0.25">
      <c r="A399" s="17"/>
      <c r="G399"/>
      <c r="H399"/>
      <c r="J399"/>
      <c r="K399"/>
      <c r="L399"/>
      <c r="M399"/>
      <c r="N399"/>
      <c r="P399"/>
      <c r="Q399"/>
      <c r="R399"/>
      <c r="S399"/>
      <c r="T399"/>
      <c r="U399" s="46"/>
      <c r="V399" s="46"/>
    </row>
    <row r="400" spans="1:22" ht="15" customHeight="1" x14ac:dyDescent="0.25">
      <c r="A400" s="17"/>
      <c r="G400"/>
      <c r="H400"/>
      <c r="J400"/>
      <c r="K400"/>
      <c r="L400"/>
      <c r="M400"/>
      <c r="N400"/>
      <c r="P400"/>
      <c r="Q400"/>
      <c r="R400"/>
      <c r="S400"/>
      <c r="T400"/>
      <c r="U400" s="46"/>
      <c r="V400" s="46"/>
    </row>
    <row r="401" spans="1:22" ht="15" customHeight="1" x14ac:dyDescent="0.25">
      <c r="A401" s="17"/>
      <c r="G401"/>
      <c r="H401"/>
      <c r="J401"/>
      <c r="K401"/>
      <c r="L401"/>
      <c r="M401"/>
      <c r="N401"/>
      <c r="P401"/>
      <c r="Q401"/>
      <c r="R401"/>
      <c r="S401"/>
      <c r="T401"/>
      <c r="U401" s="46"/>
      <c r="V401" s="46"/>
    </row>
    <row r="402" spans="1:22" ht="15" customHeight="1" x14ac:dyDescent="0.25">
      <c r="A402" s="17"/>
      <c r="G402"/>
      <c r="H402"/>
      <c r="J402"/>
      <c r="K402"/>
      <c r="L402"/>
      <c r="M402"/>
      <c r="N402"/>
      <c r="P402"/>
      <c r="Q402"/>
      <c r="R402"/>
      <c r="S402"/>
      <c r="T402"/>
      <c r="U402" s="46"/>
      <c r="V402" s="46"/>
    </row>
    <row r="403" spans="1:22" ht="15" customHeight="1" x14ac:dyDescent="0.25">
      <c r="A403" s="17"/>
      <c r="G403"/>
      <c r="H403"/>
      <c r="J403"/>
      <c r="K403"/>
      <c r="L403"/>
      <c r="M403"/>
      <c r="N403"/>
      <c r="P403"/>
      <c r="Q403"/>
      <c r="R403"/>
      <c r="S403"/>
      <c r="T403"/>
      <c r="U403" s="46"/>
      <c r="V403" s="46"/>
    </row>
    <row r="404" spans="1:22" ht="15" customHeight="1" x14ac:dyDescent="0.25">
      <c r="A404" s="17"/>
      <c r="G404"/>
      <c r="H404"/>
      <c r="J404"/>
      <c r="K404"/>
      <c r="L404"/>
      <c r="M404"/>
      <c r="N404"/>
      <c r="P404"/>
      <c r="Q404"/>
      <c r="R404"/>
      <c r="S404"/>
      <c r="T404"/>
      <c r="U404" s="46"/>
      <c r="V404" s="46"/>
    </row>
    <row r="405" spans="1:22" ht="15" customHeight="1" x14ac:dyDescent="0.25">
      <c r="A405" s="17"/>
      <c r="G405"/>
      <c r="H405"/>
      <c r="J405"/>
      <c r="K405"/>
      <c r="L405"/>
      <c r="M405"/>
      <c r="N405"/>
      <c r="P405"/>
      <c r="Q405"/>
      <c r="R405"/>
      <c r="S405"/>
      <c r="T405"/>
      <c r="U405" s="46"/>
      <c r="V405" s="46"/>
    </row>
    <row r="406" spans="1:22" ht="15" customHeight="1" x14ac:dyDescent="0.25">
      <c r="A406" s="17"/>
      <c r="G406"/>
      <c r="H406"/>
      <c r="J406"/>
      <c r="K406"/>
      <c r="L406"/>
      <c r="M406"/>
      <c r="N406"/>
      <c r="P406"/>
      <c r="Q406"/>
      <c r="R406"/>
      <c r="S406"/>
      <c r="T406"/>
      <c r="U406" s="46"/>
      <c r="V406" s="46"/>
    </row>
    <row r="407" spans="1:22" ht="15" customHeight="1" x14ac:dyDescent="0.25">
      <c r="A407" s="17"/>
      <c r="G407"/>
      <c r="H407"/>
      <c r="J407"/>
      <c r="K407"/>
      <c r="L407"/>
      <c r="M407"/>
      <c r="N407"/>
      <c r="P407"/>
      <c r="Q407"/>
      <c r="R407"/>
      <c r="S407"/>
      <c r="T407"/>
      <c r="U407" s="46"/>
      <c r="V407" s="46"/>
    </row>
    <row r="408" spans="1:22" ht="15" customHeight="1" x14ac:dyDescent="0.25">
      <c r="A408" s="17"/>
      <c r="G408"/>
      <c r="H408"/>
      <c r="J408"/>
      <c r="K408"/>
      <c r="L408"/>
      <c r="M408"/>
      <c r="N408"/>
      <c r="P408"/>
      <c r="Q408"/>
      <c r="R408"/>
      <c r="S408"/>
      <c r="T408"/>
      <c r="U408" s="46"/>
      <c r="V408" s="46"/>
    </row>
    <row r="409" spans="1:22" ht="15" customHeight="1" x14ac:dyDescent="0.25">
      <c r="A409" s="17"/>
      <c r="G409"/>
      <c r="H409"/>
      <c r="J409"/>
      <c r="K409"/>
      <c r="L409"/>
      <c r="M409"/>
      <c r="N409"/>
      <c r="P409"/>
      <c r="Q409"/>
      <c r="R409"/>
      <c r="S409"/>
      <c r="T409"/>
      <c r="U409" s="46"/>
      <c r="V409" s="46"/>
    </row>
    <row r="410" spans="1:22" ht="15" customHeight="1" x14ac:dyDescent="0.25">
      <c r="A410" s="17"/>
      <c r="G410"/>
      <c r="H410"/>
      <c r="J410"/>
      <c r="K410"/>
      <c r="L410"/>
      <c r="M410"/>
      <c r="N410"/>
      <c r="P410"/>
      <c r="Q410"/>
      <c r="R410"/>
      <c r="S410"/>
      <c r="T410"/>
      <c r="U410" s="46"/>
      <c r="V410" s="46"/>
    </row>
    <row r="411" spans="1:22" ht="15" customHeight="1" x14ac:dyDescent="0.25">
      <c r="A411" s="17"/>
      <c r="G411"/>
      <c r="H411"/>
      <c r="J411"/>
      <c r="K411"/>
      <c r="L411"/>
      <c r="M411"/>
      <c r="N411"/>
      <c r="P411"/>
      <c r="Q411"/>
      <c r="R411"/>
      <c r="S411"/>
      <c r="T411"/>
      <c r="U411" s="46"/>
      <c r="V411" s="46"/>
    </row>
    <row r="412" spans="1:22" ht="15" customHeight="1" x14ac:dyDescent="0.25">
      <c r="A412" s="17"/>
      <c r="G412"/>
      <c r="H412"/>
      <c r="J412"/>
      <c r="K412"/>
      <c r="L412"/>
      <c r="M412"/>
      <c r="N412"/>
      <c r="P412"/>
      <c r="Q412"/>
      <c r="R412"/>
      <c r="S412"/>
      <c r="T412"/>
      <c r="U412" s="46"/>
      <c r="V412" s="46"/>
    </row>
    <row r="413" spans="1:22" ht="15" customHeight="1" x14ac:dyDescent="0.25">
      <c r="A413" s="17"/>
      <c r="G413"/>
      <c r="H413"/>
      <c r="J413"/>
      <c r="K413"/>
      <c r="L413"/>
      <c r="M413"/>
      <c r="N413"/>
      <c r="P413"/>
      <c r="Q413"/>
      <c r="R413"/>
      <c r="S413"/>
      <c r="T413"/>
      <c r="U413" s="46"/>
      <c r="V413" s="46"/>
    </row>
    <row r="414" spans="1:22" ht="15" customHeight="1" x14ac:dyDescent="0.25">
      <c r="A414" s="17"/>
      <c r="G414"/>
      <c r="H414"/>
      <c r="J414"/>
      <c r="K414"/>
      <c r="L414"/>
      <c r="M414"/>
      <c r="N414"/>
      <c r="P414"/>
      <c r="Q414"/>
      <c r="R414"/>
      <c r="S414"/>
      <c r="T414"/>
      <c r="U414" s="46"/>
      <c r="V414" s="46"/>
    </row>
    <row r="415" spans="1:22" ht="15" customHeight="1" x14ac:dyDescent="0.25">
      <c r="A415" s="17"/>
      <c r="G415"/>
      <c r="H415"/>
      <c r="J415"/>
      <c r="K415"/>
      <c r="L415"/>
      <c r="M415"/>
      <c r="N415"/>
      <c r="P415"/>
      <c r="Q415"/>
      <c r="R415"/>
      <c r="S415"/>
      <c r="T415"/>
      <c r="U415" s="46"/>
      <c r="V415" s="46"/>
    </row>
    <row r="416" spans="1:22" ht="15" customHeight="1" x14ac:dyDescent="0.25">
      <c r="A416" s="17"/>
      <c r="G416"/>
      <c r="H416"/>
      <c r="J416"/>
      <c r="K416"/>
      <c r="L416"/>
      <c r="M416"/>
      <c r="N416"/>
      <c r="P416"/>
      <c r="Q416"/>
      <c r="R416"/>
      <c r="S416"/>
      <c r="T416"/>
      <c r="U416" s="46"/>
      <c r="V416" s="46"/>
    </row>
    <row r="417" spans="1:22" ht="15" customHeight="1" x14ac:dyDescent="0.25">
      <c r="A417" s="17"/>
      <c r="G417"/>
      <c r="H417"/>
      <c r="J417"/>
      <c r="K417"/>
      <c r="L417"/>
      <c r="M417"/>
      <c r="N417"/>
      <c r="P417"/>
      <c r="Q417"/>
      <c r="R417"/>
      <c r="S417"/>
      <c r="T417"/>
      <c r="U417" s="46"/>
      <c r="V417" s="46"/>
    </row>
    <row r="418" spans="1:22" ht="15" customHeight="1" x14ac:dyDescent="0.25">
      <c r="A418" s="17"/>
      <c r="G418"/>
      <c r="H418"/>
      <c r="J418"/>
      <c r="K418"/>
      <c r="L418"/>
      <c r="M418"/>
      <c r="N418"/>
      <c r="P418"/>
      <c r="Q418"/>
      <c r="R418"/>
      <c r="S418"/>
      <c r="T418"/>
      <c r="U418" s="46"/>
      <c r="V418" s="46"/>
    </row>
    <row r="419" spans="1:22" ht="15" customHeight="1" x14ac:dyDescent="0.25">
      <c r="A419" s="17"/>
      <c r="G419"/>
      <c r="H419"/>
      <c r="J419"/>
      <c r="K419"/>
      <c r="L419"/>
      <c r="M419"/>
      <c r="N419"/>
      <c r="P419"/>
      <c r="Q419"/>
      <c r="R419"/>
      <c r="S419"/>
      <c r="T419"/>
      <c r="U419" s="46"/>
      <c r="V419" s="46"/>
    </row>
    <row r="420" spans="1:22" ht="15" customHeight="1" x14ac:dyDescent="0.25">
      <c r="A420" s="17"/>
      <c r="G420"/>
      <c r="H420"/>
      <c r="J420"/>
      <c r="K420"/>
      <c r="L420"/>
      <c r="M420"/>
      <c r="N420"/>
      <c r="P420"/>
      <c r="Q420"/>
      <c r="R420"/>
      <c r="S420"/>
      <c r="T420"/>
      <c r="U420" s="46"/>
      <c r="V420" s="46"/>
    </row>
    <row r="421" spans="1:22" ht="15" customHeight="1" x14ac:dyDescent="0.25">
      <c r="A421" s="17"/>
      <c r="G421"/>
      <c r="H421"/>
      <c r="J421"/>
      <c r="K421"/>
      <c r="L421"/>
      <c r="M421"/>
      <c r="N421"/>
      <c r="P421"/>
      <c r="Q421"/>
      <c r="R421"/>
      <c r="S421"/>
      <c r="T421"/>
      <c r="U421" s="46"/>
      <c r="V421" s="46"/>
    </row>
    <row r="422" spans="1:22" ht="15" customHeight="1" x14ac:dyDescent="0.25">
      <c r="A422" s="17"/>
      <c r="G422"/>
      <c r="H422"/>
      <c r="J422"/>
      <c r="K422"/>
      <c r="L422"/>
      <c r="M422"/>
      <c r="N422"/>
      <c r="P422"/>
      <c r="Q422"/>
      <c r="R422"/>
      <c r="S422"/>
      <c r="T422"/>
      <c r="U422" s="46"/>
      <c r="V422" s="46"/>
    </row>
    <row r="423" spans="1:22" ht="15" customHeight="1" x14ac:dyDescent="0.25">
      <c r="A423" s="17"/>
      <c r="G423"/>
      <c r="H423"/>
      <c r="J423"/>
      <c r="K423"/>
      <c r="L423"/>
      <c r="M423"/>
      <c r="N423"/>
      <c r="P423"/>
      <c r="Q423"/>
      <c r="R423"/>
      <c r="S423"/>
      <c r="T423"/>
      <c r="U423" s="46"/>
      <c r="V423" s="46"/>
    </row>
    <row r="424" spans="1:22" ht="15" customHeight="1" x14ac:dyDescent="0.25">
      <c r="A424" s="17"/>
      <c r="G424"/>
      <c r="H424"/>
      <c r="J424"/>
      <c r="K424"/>
      <c r="L424"/>
      <c r="M424"/>
      <c r="N424"/>
      <c r="P424"/>
      <c r="Q424"/>
      <c r="R424"/>
      <c r="S424"/>
      <c r="T424"/>
      <c r="U424" s="46"/>
      <c r="V424" s="46"/>
    </row>
    <row r="425" spans="1:22" ht="15" customHeight="1" x14ac:dyDescent="0.25">
      <c r="A425" s="17"/>
      <c r="G425"/>
      <c r="H425"/>
      <c r="J425"/>
      <c r="K425"/>
      <c r="L425"/>
      <c r="M425"/>
      <c r="N425"/>
      <c r="P425"/>
      <c r="Q425"/>
      <c r="R425"/>
      <c r="S425"/>
      <c r="T425"/>
      <c r="U425" s="46"/>
      <c r="V425" s="46"/>
    </row>
    <row r="426" spans="1:22" ht="15" customHeight="1" x14ac:dyDescent="0.25">
      <c r="A426" s="17"/>
      <c r="G426"/>
      <c r="H426"/>
      <c r="J426"/>
      <c r="K426"/>
      <c r="L426"/>
      <c r="M426"/>
      <c r="N426"/>
      <c r="P426"/>
      <c r="Q426"/>
      <c r="R426"/>
      <c r="S426"/>
      <c r="T426"/>
      <c r="U426" s="46"/>
      <c r="V426" s="46"/>
    </row>
    <row r="427" spans="1:22" ht="15" customHeight="1" x14ac:dyDescent="0.25">
      <c r="A427" s="17"/>
      <c r="G427"/>
      <c r="H427"/>
      <c r="J427"/>
      <c r="K427"/>
      <c r="L427"/>
      <c r="M427"/>
      <c r="N427"/>
      <c r="P427"/>
      <c r="Q427"/>
      <c r="R427"/>
      <c r="S427"/>
      <c r="T427"/>
      <c r="U427" s="46"/>
      <c r="V427" s="46"/>
    </row>
    <row r="428" spans="1:22" ht="15" customHeight="1" x14ac:dyDescent="0.25">
      <c r="A428" s="17"/>
      <c r="G428"/>
      <c r="H428"/>
      <c r="J428"/>
      <c r="K428"/>
      <c r="L428"/>
      <c r="M428"/>
      <c r="N428"/>
      <c r="P428"/>
      <c r="Q428"/>
      <c r="R428"/>
      <c r="S428"/>
      <c r="T428"/>
      <c r="U428" s="46"/>
      <c r="V428" s="46"/>
    </row>
    <row r="429" spans="1:22" ht="15" customHeight="1" x14ac:dyDescent="0.25">
      <c r="A429" s="17"/>
      <c r="H429"/>
      <c r="U429" s="46"/>
      <c r="V429" s="46"/>
    </row>
    <row r="430" spans="1:22" ht="15" customHeight="1" x14ac:dyDescent="0.25">
      <c r="U430" s="46"/>
      <c r="V430" s="46"/>
    </row>
    <row r="431" spans="1:22" ht="15" customHeight="1" x14ac:dyDescent="0.25">
      <c r="U431" s="46"/>
      <c r="V431" s="46"/>
    </row>
    <row r="432" spans="1:22" ht="15" customHeight="1" x14ac:dyDescent="0.25">
      <c r="U432" s="46"/>
      <c r="V432" s="46"/>
    </row>
    <row r="433" spans="21:22" ht="15" customHeight="1" x14ac:dyDescent="0.25">
      <c r="U433" s="46"/>
      <c r="V433" s="46"/>
    </row>
    <row r="434" spans="21:22" ht="15" customHeight="1" x14ac:dyDescent="0.25">
      <c r="U434" s="46"/>
      <c r="V434" s="46"/>
    </row>
    <row r="435" spans="21:22" ht="15" customHeight="1" x14ac:dyDescent="0.25">
      <c r="U435" s="46"/>
      <c r="V435" s="46"/>
    </row>
    <row r="436" spans="21:22" ht="15" customHeight="1" x14ac:dyDescent="0.25">
      <c r="U436" s="46"/>
      <c r="V436" s="46"/>
    </row>
    <row r="437" spans="21:22" ht="15" customHeight="1" x14ac:dyDescent="0.25">
      <c r="U437" s="46"/>
      <c r="V437" s="46"/>
    </row>
    <row r="438" spans="21:22" ht="15" customHeight="1" x14ac:dyDescent="0.25">
      <c r="U438" s="46"/>
      <c r="V438" s="46"/>
    </row>
    <row r="439" spans="21:22" ht="15" customHeight="1" x14ac:dyDescent="0.25">
      <c r="U439" s="46"/>
      <c r="V439" s="46"/>
    </row>
    <row r="440" spans="21:22" ht="15" customHeight="1" x14ac:dyDescent="0.25">
      <c r="U440" s="46"/>
      <c r="V440" s="46"/>
    </row>
    <row r="441" spans="21:22" ht="15" customHeight="1" x14ac:dyDescent="0.25">
      <c r="U441" s="46"/>
      <c r="V441" s="46"/>
    </row>
    <row r="442" spans="21:22" ht="15" customHeight="1" x14ac:dyDescent="0.25"/>
    <row r="443" spans="21:22" ht="15" customHeight="1" x14ac:dyDescent="0.25"/>
  </sheetData>
  <phoneticPr fontId="8" type="noConversion"/>
  <conditionalFormatting sqref="E2:T1048576">
    <cfRule type="cellIs" dxfId="77" priority="1" operator="lessThan">
      <formula>6</formula>
    </cfRule>
  </conditionalFormatting>
  <conditionalFormatting sqref="P1:T1">
    <cfRule type="cellIs" dxfId="76" priority="16" operator="lessThan">
      <formula>6</formula>
    </cfRule>
  </conditionalFormatting>
  <conditionalFormatting sqref="U1:U38 U47:U1048576">
    <cfRule type="cellIs" dxfId="75" priority="15" operator="greaterThan">
      <formula>19</formula>
    </cfRule>
  </conditionalFormatting>
  <conditionalFormatting sqref="V1:V38 V47:V1048576">
    <cfRule type="cellIs" dxfId="74" priority="14" operator="greaterThan">
      <formula>5</formula>
    </cfRule>
  </conditionalFormatting>
  <dataValidations count="3">
    <dataValidation allowBlank="1" showInputMessage="1" showErrorMessage="1" promptTitle="petunjuk Pengisian " prompt="Izin 20 Hari dalam 1 Semester dapat menurunkan satu nilai akhlaq" sqref="U47:U1048576 U1:U38" xr:uid="{00000000-0002-0000-0200-000000000000}"/>
    <dataValidation allowBlank="1" showInputMessage="1" showErrorMessage="1" promptTitle="Petunjuk Pengisian" prompt="Tidak Izin 6 Hari dalam 1 Semester dapat menurunkan satu nilai akhlaq" sqref="V47:V1048576 V1:V38" xr:uid="{00000000-0002-0000-0200-000001000000}"/>
    <dataValidation allowBlank="1" showInputMessage="1" showErrorMessage="1" prompt="jumlah nilai pelajaran seluruh siswi dibagi Jumlah siswi _x000a_- tanpa mengikutkan yang boyong/ cuty _x000a_- siswi yang her/ tanpa keterangan dikira kirakan 4 nilainya" sqref="H41:H54" xr:uid="{00000000-0002-0000-0200-000002000000}"/>
  </dataValidation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41"/>
  <sheetViews>
    <sheetView zoomScale="70" zoomScaleNormal="70" workbookViewId="0">
      <selection activeCell="S30" sqref="S30"/>
    </sheetView>
  </sheetViews>
  <sheetFormatPr defaultRowHeight="30" x14ac:dyDescent="0.25"/>
  <cols>
    <col min="1" max="1" width="14.85546875" style="35" customWidth="1"/>
    <col min="2" max="2" width="32.42578125" style="88" customWidth="1"/>
    <col min="3" max="3" width="16.85546875" style="7" customWidth="1"/>
    <col min="4" max="4" width="14.85546875" style="88" customWidth="1"/>
    <col min="5" max="5" width="17.7109375" style="3" customWidth="1"/>
    <col min="6" max="6" width="7.42578125" style="5" customWidth="1"/>
    <col min="7" max="8" width="17.7109375" style="5" customWidth="1"/>
    <col min="9" max="9" width="17.7109375" style="25" customWidth="1"/>
    <col min="10" max="14" width="17.7109375" style="5" customWidth="1"/>
    <col min="15" max="15" width="17.7109375" style="25" customWidth="1"/>
    <col min="16" max="19" width="17.7109375" style="5" customWidth="1"/>
    <col min="20" max="20" width="29.42578125" style="6" customWidth="1"/>
    <col min="21" max="22" width="8.7109375" style="45" customWidth="1"/>
  </cols>
  <sheetData>
    <row r="1" spans="1:22" s="20" customFormat="1" ht="25.15" customHeight="1" thickBot="1" x14ac:dyDescent="0.3">
      <c r="A1" s="34" t="s">
        <v>1</v>
      </c>
      <c r="B1" s="86" t="s">
        <v>0</v>
      </c>
      <c r="C1" s="11" t="s">
        <v>2</v>
      </c>
      <c r="D1" s="86" t="s">
        <v>13</v>
      </c>
      <c r="E1" s="39" t="s">
        <v>3</v>
      </c>
      <c r="F1" s="36"/>
      <c r="G1" s="21" t="s">
        <v>51</v>
      </c>
      <c r="H1" s="21" t="s">
        <v>4</v>
      </c>
      <c r="I1" s="22" t="s">
        <v>52</v>
      </c>
      <c r="J1" s="21" t="s">
        <v>5</v>
      </c>
      <c r="K1" s="21" t="s">
        <v>53</v>
      </c>
      <c r="L1" s="21" t="s">
        <v>73</v>
      </c>
      <c r="M1" s="21" t="s">
        <v>54</v>
      </c>
      <c r="N1" s="21" t="s">
        <v>55</v>
      </c>
      <c r="O1" s="22" t="s">
        <v>57</v>
      </c>
      <c r="P1" s="12" t="s">
        <v>6</v>
      </c>
      <c r="Q1" s="12" t="s">
        <v>7</v>
      </c>
      <c r="R1" s="12" t="s">
        <v>8</v>
      </c>
      <c r="S1" s="12" t="s">
        <v>9</v>
      </c>
      <c r="T1" s="13" t="s">
        <v>10</v>
      </c>
      <c r="U1" s="43" t="s">
        <v>11</v>
      </c>
      <c r="V1" s="43" t="s">
        <v>12</v>
      </c>
    </row>
    <row r="2" spans="1:22" s="1" customFormat="1" ht="25.15" customHeight="1" thickBot="1" x14ac:dyDescent="0.3">
      <c r="A2" s="65" t="s">
        <v>14</v>
      </c>
      <c r="B2" s="123" t="s">
        <v>170</v>
      </c>
      <c r="C2" s="132">
        <v>2651</v>
      </c>
      <c r="D2" s="89" t="s">
        <v>14</v>
      </c>
      <c r="E2" s="3" t="str">
        <f>TEXT(F2,"[$-2000000]0")</f>
        <v>٥</v>
      </c>
      <c r="F2" s="3">
        <v>5</v>
      </c>
      <c r="G2" s="3">
        <v>8</v>
      </c>
      <c r="H2" s="3">
        <v>9</v>
      </c>
      <c r="I2" s="3">
        <v>6</v>
      </c>
      <c r="J2" s="3">
        <v>8</v>
      </c>
      <c r="K2" s="3">
        <v>8</v>
      </c>
      <c r="L2" s="3" t="s">
        <v>56</v>
      </c>
      <c r="M2" s="3">
        <v>8</v>
      </c>
      <c r="N2" s="3">
        <v>7</v>
      </c>
      <c r="O2" s="3">
        <v>7</v>
      </c>
      <c r="P2" s="3">
        <v>8</v>
      </c>
      <c r="Q2" s="3">
        <v>8</v>
      </c>
      <c r="R2" s="3">
        <v>8</v>
      </c>
      <c r="S2" s="3">
        <v>8</v>
      </c>
      <c r="T2" s="4">
        <f>SUM(E2:S2)</f>
        <v>98</v>
      </c>
      <c r="U2" s="44" t="s">
        <v>56</v>
      </c>
      <c r="V2" s="44">
        <v>2</v>
      </c>
    </row>
    <row r="3" spans="1:22" s="1" customFormat="1" ht="25.15" customHeight="1" thickBot="1" x14ac:dyDescent="0.3">
      <c r="A3" s="65" t="s">
        <v>15</v>
      </c>
      <c r="B3" s="124" t="s">
        <v>171</v>
      </c>
      <c r="C3" s="85">
        <v>2721</v>
      </c>
      <c r="D3" s="89" t="s">
        <v>15</v>
      </c>
      <c r="E3" s="3" t="str">
        <f t="shared" ref="E3:E34" si="0">TEXT(F3,"[$-2000000]0")</f>
        <v>٨</v>
      </c>
      <c r="F3" s="3">
        <v>8</v>
      </c>
      <c r="G3" s="3">
        <v>9</v>
      </c>
      <c r="H3" s="3">
        <v>9</v>
      </c>
      <c r="I3" s="3">
        <v>7</v>
      </c>
      <c r="J3" s="3">
        <v>8</v>
      </c>
      <c r="K3" s="3">
        <v>8</v>
      </c>
      <c r="L3" s="3" t="s">
        <v>56</v>
      </c>
      <c r="M3" s="3">
        <v>9</v>
      </c>
      <c r="N3" s="3">
        <v>6</v>
      </c>
      <c r="O3" s="3">
        <v>8</v>
      </c>
      <c r="P3" s="3">
        <v>8</v>
      </c>
      <c r="Q3" s="3">
        <v>8</v>
      </c>
      <c r="R3" s="3">
        <v>8</v>
      </c>
      <c r="S3" s="3">
        <v>8</v>
      </c>
      <c r="T3" s="4">
        <f t="shared" ref="T3:T33" si="1">SUM(E3:S3)</f>
        <v>104</v>
      </c>
      <c r="U3" s="44" t="s">
        <v>56</v>
      </c>
      <c r="V3" s="44" t="s">
        <v>56</v>
      </c>
    </row>
    <row r="4" spans="1:22" s="1" customFormat="1" ht="25.15" customHeight="1" thickBot="1" x14ac:dyDescent="0.3">
      <c r="A4" s="65" t="s">
        <v>16</v>
      </c>
      <c r="B4" s="124" t="s">
        <v>172</v>
      </c>
      <c r="C4" s="85">
        <v>2726</v>
      </c>
      <c r="D4" s="89" t="s">
        <v>16</v>
      </c>
      <c r="E4" s="3" t="str">
        <f t="shared" si="0"/>
        <v>٦</v>
      </c>
      <c r="F4" s="3">
        <v>6</v>
      </c>
      <c r="G4" s="3">
        <v>6</v>
      </c>
      <c r="H4" s="3">
        <v>6</v>
      </c>
      <c r="I4" s="3">
        <v>4</v>
      </c>
      <c r="J4" s="3">
        <v>6</v>
      </c>
      <c r="K4" s="3">
        <v>4</v>
      </c>
      <c r="L4" s="3" t="s">
        <v>56</v>
      </c>
      <c r="M4" s="3">
        <v>8</v>
      </c>
      <c r="N4" s="3">
        <v>7</v>
      </c>
      <c r="O4" s="3">
        <v>6</v>
      </c>
      <c r="P4" s="3">
        <v>9</v>
      </c>
      <c r="Q4" s="3">
        <v>8</v>
      </c>
      <c r="R4" s="3">
        <v>7</v>
      </c>
      <c r="S4" s="3">
        <v>8</v>
      </c>
      <c r="T4" s="4">
        <f t="shared" si="1"/>
        <v>85</v>
      </c>
      <c r="U4" s="44">
        <v>1</v>
      </c>
      <c r="V4" s="44" t="s">
        <v>56</v>
      </c>
    </row>
    <row r="5" spans="1:22" s="168" customFormat="1" ht="25.15" customHeight="1" thickBot="1" x14ac:dyDescent="0.3">
      <c r="A5" s="161" t="s">
        <v>17</v>
      </c>
      <c r="B5" s="169" t="s">
        <v>173</v>
      </c>
      <c r="C5" s="163">
        <v>2793</v>
      </c>
      <c r="D5" s="186" t="s">
        <v>17</v>
      </c>
      <c r="E5" s="165" t="str">
        <f t="shared" si="0"/>
        <v>٨</v>
      </c>
      <c r="F5" s="165">
        <v>8</v>
      </c>
      <c r="G5" s="165">
        <v>8</v>
      </c>
      <c r="H5" s="165">
        <v>9</v>
      </c>
      <c r="I5" s="165">
        <v>9</v>
      </c>
      <c r="J5" s="165">
        <v>9</v>
      </c>
      <c r="K5" s="165">
        <v>9</v>
      </c>
      <c r="L5" s="165" t="s">
        <v>56</v>
      </c>
      <c r="M5" s="165">
        <v>9</v>
      </c>
      <c r="N5" s="165">
        <v>9</v>
      </c>
      <c r="O5" s="165">
        <v>9</v>
      </c>
      <c r="P5" s="165">
        <v>9</v>
      </c>
      <c r="Q5" s="165">
        <v>8</v>
      </c>
      <c r="R5" s="165">
        <v>8</v>
      </c>
      <c r="S5" s="165">
        <v>8</v>
      </c>
      <c r="T5" s="165">
        <f t="shared" si="1"/>
        <v>112</v>
      </c>
      <c r="U5" s="167">
        <v>5</v>
      </c>
      <c r="V5" s="167" t="s">
        <v>56</v>
      </c>
    </row>
    <row r="6" spans="1:22" s="1" customFormat="1" ht="25.15" customHeight="1" thickBot="1" x14ac:dyDescent="0.3">
      <c r="A6" s="65" t="s">
        <v>18</v>
      </c>
      <c r="B6" s="124" t="s">
        <v>174</v>
      </c>
      <c r="C6" s="85">
        <v>2821</v>
      </c>
      <c r="D6" s="89" t="s">
        <v>18</v>
      </c>
      <c r="E6" s="3" t="str">
        <f t="shared" si="0"/>
        <v>٧</v>
      </c>
      <c r="F6" s="3">
        <v>7</v>
      </c>
      <c r="G6" s="3">
        <v>7</v>
      </c>
      <c r="H6" s="3">
        <v>8</v>
      </c>
      <c r="I6" s="3">
        <v>4</v>
      </c>
      <c r="J6" s="3">
        <v>5</v>
      </c>
      <c r="K6" s="3">
        <v>6</v>
      </c>
      <c r="L6" s="3" t="s">
        <v>56</v>
      </c>
      <c r="M6" s="3">
        <v>8</v>
      </c>
      <c r="N6" s="3">
        <v>7</v>
      </c>
      <c r="O6" s="3">
        <v>7</v>
      </c>
      <c r="P6" s="3">
        <v>8</v>
      </c>
      <c r="Q6" s="3">
        <v>7</v>
      </c>
      <c r="R6" s="3">
        <v>7</v>
      </c>
      <c r="S6" s="3">
        <v>8</v>
      </c>
      <c r="T6" s="4">
        <f t="shared" si="1"/>
        <v>89</v>
      </c>
      <c r="U6" s="44" t="s">
        <v>56</v>
      </c>
      <c r="V6" s="44" t="s">
        <v>56</v>
      </c>
    </row>
    <row r="7" spans="1:22" s="59" customFormat="1" ht="24.95" customHeight="1" x14ac:dyDescent="0.25">
      <c r="A7" s="77" t="s">
        <v>19</v>
      </c>
      <c r="B7" s="203" t="s">
        <v>200</v>
      </c>
      <c r="C7" s="85">
        <v>2757</v>
      </c>
      <c r="D7" s="202" t="s">
        <v>19</v>
      </c>
      <c r="E7" s="151" t="str">
        <f t="shared" si="0"/>
        <v>٧</v>
      </c>
      <c r="F7" s="151">
        <v>7</v>
      </c>
      <c r="G7" s="151">
        <v>6</v>
      </c>
      <c r="H7" s="151">
        <v>9</v>
      </c>
      <c r="I7" s="151">
        <v>4</v>
      </c>
      <c r="J7" s="151">
        <v>6</v>
      </c>
      <c r="K7" s="151">
        <v>4</v>
      </c>
      <c r="L7" s="151" t="s">
        <v>56</v>
      </c>
      <c r="M7" s="151">
        <v>8</v>
      </c>
      <c r="N7" s="151">
        <v>5</v>
      </c>
      <c r="O7" s="151">
        <v>7</v>
      </c>
      <c r="P7" s="151">
        <v>7</v>
      </c>
      <c r="Q7" s="151">
        <v>7</v>
      </c>
      <c r="R7" s="151">
        <v>7</v>
      </c>
      <c r="S7" s="151">
        <v>8</v>
      </c>
      <c r="T7" s="151">
        <f t="shared" si="1"/>
        <v>85</v>
      </c>
      <c r="U7" s="152">
        <v>4</v>
      </c>
      <c r="V7" s="152">
        <v>2</v>
      </c>
    </row>
    <row r="8" spans="1:22" s="1" customFormat="1" ht="25.15" customHeight="1" thickBot="1" x14ac:dyDescent="0.3">
      <c r="A8" s="65" t="s">
        <v>20</v>
      </c>
      <c r="B8" s="124" t="s">
        <v>175</v>
      </c>
      <c r="C8" s="85">
        <v>2758</v>
      </c>
      <c r="D8" s="89" t="s">
        <v>20</v>
      </c>
      <c r="E8" s="3" t="str">
        <f t="shared" si="0"/>
        <v>٨</v>
      </c>
      <c r="F8" s="3">
        <v>8</v>
      </c>
      <c r="G8" s="3">
        <v>6</v>
      </c>
      <c r="H8" s="3">
        <v>8</v>
      </c>
      <c r="I8" s="3">
        <v>5</v>
      </c>
      <c r="J8" s="3">
        <v>8</v>
      </c>
      <c r="K8" s="3">
        <v>6</v>
      </c>
      <c r="L8" s="3" t="s">
        <v>56</v>
      </c>
      <c r="M8" s="3">
        <v>8</v>
      </c>
      <c r="N8" s="3">
        <v>8</v>
      </c>
      <c r="O8" s="3">
        <v>8</v>
      </c>
      <c r="P8" s="3">
        <v>8</v>
      </c>
      <c r="Q8" s="3">
        <v>8</v>
      </c>
      <c r="R8" s="3">
        <v>7</v>
      </c>
      <c r="S8" s="3">
        <v>8</v>
      </c>
      <c r="T8" s="4">
        <f t="shared" si="1"/>
        <v>96</v>
      </c>
      <c r="U8" s="44" t="s">
        <v>56</v>
      </c>
      <c r="V8" s="44" t="s">
        <v>56</v>
      </c>
    </row>
    <row r="9" spans="1:22" s="1" customFormat="1" ht="25.15" customHeight="1" thickBot="1" x14ac:dyDescent="0.3">
      <c r="A9" s="65" t="s">
        <v>21</v>
      </c>
      <c r="B9" s="124" t="s">
        <v>176</v>
      </c>
      <c r="C9" s="85">
        <v>2857</v>
      </c>
      <c r="D9" s="89" t="s">
        <v>21</v>
      </c>
      <c r="E9" s="3" t="str">
        <f t="shared" si="0"/>
        <v>٧</v>
      </c>
      <c r="F9" s="3">
        <v>7</v>
      </c>
      <c r="G9" s="3">
        <v>8</v>
      </c>
      <c r="H9" s="3">
        <v>8</v>
      </c>
      <c r="I9" s="3">
        <v>7</v>
      </c>
      <c r="J9" s="3">
        <v>7</v>
      </c>
      <c r="K9" s="3">
        <v>8</v>
      </c>
      <c r="L9" s="3" t="s">
        <v>56</v>
      </c>
      <c r="M9" s="3">
        <v>9</v>
      </c>
      <c r="N9" s="3">
        <v>9</v>
      </c>
      <c r="O9" s="3">
        <v>7</v>
      </c>
      <c r="P9" s="3">
        <v>7</v>
      </c>
      <c r="Q9" s="3">
        <v>8</v>
      </c>
      <c r="R9" s="3">
        <v>8</v>
      </c>
      <c r="S9" s="3">
        <v>8</v>
      </c>
      <c r="T9" s="4">
        <f t="shared" si="1"/>
        <v>101</v>
      </c>
      <c r="U9" s="44" t="s">
        <v>56</v>
      </c>
      <c r="V9" s="44" t="s">
        <v>56</v>
      </c>
    </row>
    <row r="10" spans="1:22" s="1" customFormat="1" ht="25.15" customHeight="1" thickBot="1" x14ac:dyDescent="0.3">
      <c r="A10" s="65" t="s">
        <v>22</v>
      </c>
      <c r="B10" s="124" t="s">
        <v>177</v>
      </c>
      <c r="C10" s="85">
        <v>2733</v>
      </c>
      <c r="D10" s="89" t="s">
        <v>22</v>
      </c>
      <c r="E10" s="3" t="str">
        <f t="shared" si="0"/>
        <v>٥</v>
      </c>
      <c r="F10" s="3">
        <v>5</v>
      </c>
      <c r="G10" s="3">
        <v>6</v>
      </c>
      <c r="H10" s="3">
        <v>8</v>
      </c>
      <c r="I10" s="3">
        <v>5</v>
      </c>
      <c r="J10" s="3">
        <v>6</v>
      </c>
      <c r="K10" s="3">
        <v>6</v>
      </c>
      <c r="L10" s="3" t="s">
        <v>56</v>
      </c>
      <c r="M10" s="3">
        <v>6</v>
      </c>
      <c r="N10" s="3">
        <v>5</v>
      </c>
      <c r="O10" s="3">
        <v>7</v>
      </c>
      <c r="P10" s="3">
        <v>8</v>
      </c>
      <c r="Q10" s="3">
        <v>7</v>
      </c>
      <c r="R10" s="3">
        <v>8</v>
      </c>
      <c r="S10" s="3">
        <v>8</v>
      </c>
      <c r="T10" s="4">
        <f t="shared" si="1"/>
        <v>85</v>
      </c>
      <c r="U10" s="44">
        <v>1</v>
      </c>
      <c r="V10" s="44" t="s">
        <v>56</v>
      </c>
    </row>
    <row r="11" spans="1:22" s="1" customFormat="1" ht="25.15" customHeight="1" thickBot="1" x14ac:dyDescent="0.3">
      <c r="A11" s="65" t="s">
        <v>23</v>
      </c>
      <c r="B11" s="124" t="s">
        <v>178</v>
      </c>
      <c r="C11" s="85">
        <v>2862</v>
      </c>
      <c r="D11" s="89" t="s">
        <v>23</v>
      </c>
      <c r="E11" s="3" t="str">
        <f t="shared" si="0"/>
        <v>٨</v>
      </c>
      <c r="F11" s="3">
        <v>8</v>
      </c>
      <c r="G11" s="3">
        <v>7</v>
      </c>
      <c r="H11" s="3">
        <v>9</v>
      </c>
      <c r="I11" s="3">
        <v>6</v>
      </c>
      <c r="J11" s="3">
        <v>7</v>
      </c>
      <c r="K11" s="3">
        <v>9</v>
      </c>
      <c r="L11" s="3" t="s">
        <v>56</v>
      </c>
      <c r="M11" s="3">
        <v>9</v>
      </c>
      <c r="N11" s="3">
        <v>9</v>
      </c>
      <c r="O11" s="3">
        <v>9</v>
      </c>
      <c r="P11" s="3">
        <v>8</v>
      </c>
      <c r="Q11" s="3">
        <v>8</v>
      </c>
      <c r="R11" s="3">
        <v>7</v>
      </c>
      <c r="S11" s="3">
        <v>8</v>
      </c>
      <c r="T11" s="4">
        <f t="shared" si="1"/>
        <v>104</v>
      </c>
      <c r="U11" s="44">
        <v>1</v>
      </c>
      <c r="V11" s="44" t="s">
        <v>56</v>
      </c>
    </row>
    <row r="12" spans="1:22" s="168" customFormat="1" ht="25.15" customHeight="1" thickBot="1" x14ac:dyDescent="0.3">
      <c r="A12" s="161" t="s">
        <v>24</v>
      </c>
      <c r="B12" s="169" t="s">
        <v>179</v>
      </c>
      <c r="C12" s="163">
        <v>2763</v>
      </c>
      <c r="D12" s="186" t="s">
        <v>24</v>
      </c>
      <c r="E12" s="165" t="str">
        <f t="shared" si="0"/>
        <v>٨</v>
      </c>
      <c r="F12" s="165">
        <v>8</v>
      </c>
      <c r="G12" s="165">
        <v>8</v>
      </c>
      <c r="H12" s="165">
        <v>7</v>
      </c>
      <c r="I12" s="165">
        <v>6</v>
      </c>
      <c r="J12" s="165">
        <v>9</v>
      </c>
      <c r="K12" s="165">
        <v>8</v>
      </c>
      <c r="L12" s="165" t="s">
        <v>56</v>
      </c>
      <c r="M12" s="165">
        <v>7</v>
      </c>
      <c r="N12" s="165">
        <v>9</v>
      </c>
      <c r="O12" s="165">
        <v>7</v>
      </c>
      <c r="P12" s="165">
        <v>8</v>
      </c>
      <c r="Q12" s="165">
        <v>8</v>
      </c>
      <c r="R12" s="165">
        <v>8</v>
      </c>
      <c r="S12" s="165">
        <v>8</v>
      </c>
      <c r="T12" s="165">
        <f t="shared" si="1"/>
        <v>101</v>
      </c>
      <c r="U12" s="167">
        <v>1</v>
      </c>
      <c r="V12" s="167" t="s">
        <v>56</v>
      </c>
    </row>
    <row r="13" spans="1:22" s="1" customFormat="1" ht="25.15" customHeight="1" thickBot="1" x14ac:dyDescent="0.3">
      <c r="A13" s="65" t="s">
        <v>25</v>
      </c>
      <c r="B13" s="124" t="s">
        <v>180</v>
      </c>
      <c r="C13" s="85">
        <v>2764</v>
      </c>
      <c r="D13" s="89" t="s">
        <v>25</v>
      </c>
      <c r="E13" s="3" t="str">
        <f t="shared" si="0"/>
        <v>٦</v>
      </c>
      <c r="F13" s="3">
        <v>6</v>
      </c>
      <c r="G13" s="3">
        <v>7</v>
      </c>
      <c r="H13" s="3">
        <v>8</v>
      </c>
      <c r="I13" s="3">
        <v>4</v>
      </c>
      <c r="J13" s="3">
        <v>6</v>
      </c>
      <c r="K13" s="3">
        <v>5</v>
      </c>
      <c r="L13" s="3" t="s">
        <v>56</v>
      </c>
      <c r="M13" s="3">
        <v>4</v>
      </c>
      <c r="N13" s="3">
        <v>7</v>
      </c>
      <c r="O13" s="3">
        <v>7</v>
      </c>
      <c r="P13" s="3">
        <v>8</v>
      </c>
      <c r="Q13" s="3">
        <v>8</v>
      </c>
      <c r="R13" s="3">
        <v>8</v>
      </c>
      <c r="S13" s="3">
        <v>8</v>
      </c>
      <c r="T13" s="4">
        <f t="shared" si="1"/>
        <v>86</v>
      </c>
      <c r="U13" s="44" t="s">
        <v>56</v>
      </c>
      <c r="V13" s="44" t="s">
        <v>56</v>
      </c>
    </row>
    <row r="14" spans="1:22" s="1" customFormat="1" ht="25.15" customHeight="1" thickBot="1" x14ac:dyDescent="0.3">
      <c r="A14" s="65" t="s">
        <v>26</v>
      </c>
      <c r="B14" s="124" t="s">
        <v>181</v>
      </c>
      <c r="C14" s="85">
        <v>2865</v>
      </c>
      <c r="D14" s="89" t="s">
        <v>26</v>
      </c>
      <c r="E14" s="3" t="str">
        <f t="shared" si="0"/>
        <v>٤</v>
      </c>
      <c r="F14" s="3">
        <v>4</v>
      </c>
      <c r="G14" s="3">
        <v>6</v>
      </c>
      <c r="H14" s="3">
        <v>7</v>
      </c>
      <c r="I14" s="3">
        <v>4</v>
      </c>
      <c r="J14" s="3">
        <v>6</v>
      </c>
      <c r="K14" s="3">
        <v>6</v>
      </c>
      <c r="L14" s="3" t="s">
        <v>56</v>
      </c>
      <c r="M14" s="3">
        <v>8</v>
      </c>
      <c r="N14" s="3">
        <v>4</v>
      </c>
      <c r="O14" s="3">
        <v>6</v>
      </c>
      <c r="P14" s="3">
        <v>8</v>
      </c>
      <c r="Q14" s="3">
        <v>7</v>
      </c>
      <c r="R14" s="3">
        <v>7</v>
      </c>
      <c r="S14" s="3">
        <v>8</v>
      </c>
      <c r="T14" s="4">
        <f t="shared" si="1"/>
        <v>81</v>
      </c>
      <c r="U14" s="44" t="s">
        <v>56</v>
      </c>
      <c r="V14" s="44" t="s">
        <v>56</v>
      </c>
    </row>
    <row r="15" spans="1:22" s="1" customFormat="1" ht="25.15" customHeight="1" thickBot="1" x14ac:dyDescent="0.3">
      <c r="A15" s="65" t="s">
        <v>27</v>
      </c>
      <c r="B15" s="124" t="s">
        <v>182</v>
      </c>
      <c r="C15" s="85">
        <v>2831</v>
      </c>
      <c r="D15" s="89" t="s">
        <v>27</v>
      </c>
      <c r="E15" s="3" t="str">
        <f t="shared" si="0"/>
        <v>٨</v>
      </c>
      <c r="F15" s="3">
        <v>8</v>
      </c>
      <c r="G15" s="3">
        <v>9</v>
      </c>
      <c r="H15" s="3">
        <v>9</v>
      </c>
      <c r="I15" s="3">
        <v>9</v>
      </c>
      <c r="J15" s="3">
        <v>9</v>
      </c>
      <c r="K15" s="3">
        <v>9</v>
      </c>
      <c r="L15" s="3" t="s">
        <v>56</v>
      </c>
      <c r="M15" s="3">
        <v>9</v>
      </c>
      <c r="N15" s="3">
        <v>9</v>
      </c>
      <c r="O15" s="3">
        <v>8</v>
      </c>
      <c r="P15" s="3">
        <v>8</v>
      </c>
      <c r="Q15" s="3">
        <v>9</v>
      </c>
      <c r="R15" s="3">
        <v>8</v>
      </c>
      <c r="S15" s="3">
        <v>8</v>
      </c>
      <c r="T15" s="4">
        <f t="shared" si="1"/>
        <v>112</v>
      </c>
      <c r="U15" s="44">
        <v>1</v>
      </c>
      <c r="V15" s="44" t="s">
        <v>56</v>
      </c>
    </row>
    <row r="16" spans="1:22" s="168" customFormat="1" ht="25.15" customHeight="1" thickBot="1" x14ac:dyDescent="0.3">
      <c r="A16" s="161" t="s">
        <v>28</v>
      </c>
      <c r="B16" s="169" t="s">
        <v>183</v>
      </c>
      <c r="C16" s="163">
        <v>2895</v>
      </c>
      <c r="D16" s="186" t="s">
        <v>28</v>
      </c>
      <c r="E16" s="165" t="str">
        <f t="shared" si="0"/>
        <v>٧</v>
      </c>
      <c r="F16" s="165">
        <v>7</v>
      </c>
      <c r="G16" s="165">
        <v>6</v>
      </c>
      <c r="H16" s="165">
        <v>9</v>
      </c>
      <c r="I16" s="165">
        <v>7</v>
      </c>
      <c r="J16" s="165">
        <v>7</v>
      </c>
      <c r="K16" s="165">
        <v>7</v>
      </c>
      <c r="L16" s="165" t="s">
        <v>56</v>
      </c>
      <c r="M16" s="165">
        <v>8</v>
      </c>
      <c r="N16" s="165">
        <v>7</v>
      </c>
      <c r="O16" s="165">
        <v>8</v>
      </c>
      <c r="P16" s="165">
        <v>8</v>
      </c>
      <c r="Q16" s="165">
        <v>8</v>
      </c>
      <c r="R16" s="165">
        <v>8</v>
      </c>
      <c r="S16" s="165">
        <v>8</v>
      </c>
      <c r="T16" s="165">
        <f t="shared" si="1"/>
        <v>98</v>
      </c>
      <c r="U16" s="167">
        <v>1</v>
      </c>
      <c r="V16" s="167" t="s">
        <v>56</v>
      </c>
    </row>
    <row r="17" spans="1:22" s="1" customFormat="1" ht="25.15" customHeight="1" thickBot="1" x14ac:dyDescent="0.3">
      <c r="A17" s="65" t="s">
        <v>29</v>
      </c>
      <c r="B17" s="124" t="s">
        <v>184</v>
      </c>
      <c r="C17" s="85">
        <v>2809</v>
      </c>
      <c r="D17" s="89" t="s">
        <v>29</v>
      </c>
      <c r="E17" s="3" t="str">
        <f t="shared" si="0"/>
        <v>٧</v>
      </c>
      <c r="F17" s="3">
        <v>7</v>
      </c>
      <c r="G17" s="3">
        <v>4</v>
      </c>
      <c r="H17" s="3">
        <v>8</v>
      </c>
      <c r="I17" s="3">
        <v>5</v>
      </c>
      <c r="J17" s="3">
        <v>5</v>
      </c>
      <c r="K17" s="3">
        <v>6</v>
      </c>
      <c r="L17" s="3" t="s">
        <v>56</v>
      </c>
      <c r="M17" s="3">
        <v>6</v>
      </c>
      <c r="N17" s="3">
        <v>5</v>
      </c>
      <c r="O17" s="3">
        <v>6</v>
      </c>
      <c r="P17" s="3">
        <v>9</v>
      </c>
      <c r="Q17" s="3">
        <v>8</v>
      </c>
      <c r="R17" s="3">
        <v>8</v>
      </c>
      <c r="S17" s="3">
        <v>8</v>
      </c>
      <c r="T17" s="4">
        <f t="shared" si="1"/>
        <v>85</v>
      </c>
      <c r="U17" s="44" t="s">
        <v>56</v>
      </c>
      <c r="V17" s="44" t="s">
        <v>56</v>
      </c>
    </row>
    <row r="18" spans="1:22" s="1" customFormat="1" ht="25.15" customHeight="1" thickBot="1" x14ac:dyDescent="0.3">
      <c r="A18" s="65" t="s">
        <v>30</v>
      </c>
      <c r="B18" s="124" t="s">
        <v>185</v>
      </c>
      <c r="C18" s="132">
        <v>2665</v>
      </c>
      <c r="D18" s="89" t="s">
        <v>30</v>
      </c>
      <c r="E18" s="3" t="str">
        <f t="shared" si="0"/>
        <v>٩</v>
      </c>
      <c r="F18" s="3">
        <v>9</v>
      </c>
      <c r="G18" s="3">
        <v>9</v>
      </c>
      <c r="H18" s="3">
        <v>9</v>
      </c>
      <c r="I18" s="3">
        <v>9</v>
      </c>
      <c r="J18" s="3">
        <v>9</v>
      </c>
      <c r="K18" s="3">
        <v>9</v>
      </c>
      <c r="L18" s="3" t="s">
        <v>56</v>
      </c>
      <c r="M18" s="3">
        <v>9</v>
      </c>
      <c r="N18" s="3">
        <v>9</v>
      </c>
      <c r="O18" s="3">
        <v>9</v>
      </c>
      <c r="P18" s="3">
        <v>9</v>
      </c>
      <c r="Q18" s="3">
        <v>9</v>
      </c>
      <c r="R18" s="3">
        <v>8</v>
      </c>
      <c r="S18" s="3">
        <v>8</v>
      </c>
      <c r="T18" s="4">
        <f t="shared" si="1"/>
        <v>115</v>
      </c>
      <c r="U18" s="44">
        <v>2</v>
      </c>
      <c r="V18" s="44" t="s">
        <v>56</v>
      </c>
    </row>
    <row r="19" spans="1:22" s="1" customFormat="1" ht="25.15" customHeight="1" thickBot="1" x14ac:dyDescent="0.3">
      <c r="A19" s="65" t="s">
        <v>31</v>
      </c>
      <c r="B19" s="124" t="s">
        <v>186</v>
      </c>
      <c r="C19" s="132">
        <v>2666</v>
      </c>
      <c r="D19" s="89" t="s">
        <v>31</v>
      </c>
      <c r="E19" s="3" t="str">
        <f t="shared" si="0"/>
        <v>٦</v>
      </c>
      <c r="F19" s="3">
        <v>6</v>
      </c>
      <c r="G19" s="3">
        <v>4</v>
      </c>
      <c r="H19" s="3">
        <v>8</v>
      </c>
      <c r="I19" s="3">
        <v>6</v>
      </c>
      <c r="J19" s="3">
        <v>6</v>
      </c>
      <c r="K19" s="3">
        <v>4</v>
      </c>
      <c r="L19" s="3" t="s">
        <v>56</v>
      </c>
      <c r="M19" s="3">
        <v>8</v>
      </c>
      <c r="N19" s="3">
        <v>5</v>
      </c>
      <c r="O19" s="3">
        <v>7</v>
      </c>
      <c r="P19" s="3">
        <v>8</v>
      </c>
      <c r="Q19" s="3">
        <v>8</v>
      </c>
      <c r="R19" s="3">
        <v>8</v>
      </c>
      <c r="S19" s="3">
        <v>8</v>
      </c>
      <c r="T19" s="4">
        <f t="shared" si="1"/>
        <v>86</v>
      </c>
      <c r="U19" s="44">
        <v>1</v>
      </c>
      <c r="V19" s="44" t="s">
        <v>56</v>
      </c>
    </row>
    <row r="20" spans="1:22" s="1" customFormat="1" ht="25.15" customHeight="1" thickBot="1" x14ac:dyDescent="0.3">
      <c r="A20" s="65" t="s">
        <v>32</v>
      </c>
      <c r="B20" s="124" t="s">
        <v>187</v>
      </c>
      <c r="C20" s="85">
        <v>2705</v>
      </c>
      <c r="D20" s="89" t="s">
        <v>32</v>
      </c>
      <c r="E20" s="3" t="str">
        <f t="shared" si="0"/>
        <v>٥</v>
      </c>
      <c r="F20" s="3">
        <v>5</v>
      </c>
      <c r="G20" s="3">
        <v>5</v>
      </c>
      <c r="H20" s="3">
        <v>8</v>
      </c>
      <c r="I20" s="3">
        <v>4</v>
      </c>
      <c r="J20" s="3">
        <v>7</v>
      </c>
      <c r="K20" s="3">
        <v>4</v>
      </c>
      <c r="L20" s="3" t="s">
        <v>56</v>
      </c>
      <c r="M20" s="3">
        <v>5</v>
      </c>
      <c r="N20" s="3">
        <v>4</v>
      </c>
      <c r="O20" s="3">
        <v>5</v>
      </c>
      <c r="P20" s="3">
        <v>7</v>
      </c>
      <c r="Q20" s="3">
        <v>7</v>
      </c>
      <c r="R20" s="3">
        <v>7</v>
      </c>
      <c r="S20" s="3">
        <v>8</v>
      </c>
      <c r="T20" s="4">
        <f t="shared" si="1"/>
        <v>76</v>
      </c>
      <c r="U20" s="44">
        <v>1</v>
      </c>
      <c r="V20" s="44" t="s">
        <v>56</v>
      </c>
    </row>
    <row r="21" spans="1:22" s="1" customFormat="1" ht="25.15" customHeight="1" thickBot="1" x14ac:dyDescent="0.3">
      <c r="A21" s="65" t="s">
        <v>33</v>
      </c>
      <c r="B21" s="124" t="s">
        <v>188</v>
      </c>
      <c r="C21" s="85">
        <v>2706</v>
      </c>
      <c r="D21" s="89" t="s">
        <v>33</v>
      </c>
      <c r="E21" s="3" t="str">
        <f t="shared" si="0"/>
        <v>٤</v>
      </c>
      <c r="F21" s="3">
        <v>4</v>
      </c>
      <c r="G21" s="3">
        <v>4</v>
      </c>
      <c r="H21" s="3">
        <v>5</v>
      </c>
      <c r="I21" s="3">
        <v>4</v>
      </c>
      <c r="J21" s="3">
        <v>4</v>
      </c>
      <c r="K21" s="3">
        <v>4</v>
      </c>
      <c r="L21" s="3" t="s">
        <v>56</v>
      </c>
      <c r="M21" s="3">
        <v>4</v>
      </c>
      <c r="N21" s="3">
        <v>4</v>
      </c>
      <c r="O21" s="3">
        <v>5</v>
      </c>
      <c r="P21" s="3">
        <v>8</v>
      </c>
      <c r="Q21" s="3">
        <v>7</v>
      </c>
      <c r="R21" s="3">
        <v>7</v>
      </c>
      <c r="S21" s="3">
        <v>8</v>
      </c>
      <c r="T21" s="4">
        <f t="shared" si="1"/>
        <v>68</v>
      </c>
      <c r="U21" s="44" t="s">
        <v>56</v>
      </c>
      <c r="V21" s="44" t="s">
        <v>56</v>
      </c>
    </row>
    <row r="22" spans="1:22" s="1" customFormat="1" ht="25.15" customHeight="1" x14ac:dyDescent="0.25">
      <c r="A22" s="65" t="s">
        <v>34</v>
      </c>
      <c r="B22" s="128" t="s">
        <v>201</v>
      </c>
      <c r="C22" s="85">
        <v>2708</v>
      </c>
      <c r="D22" s="89" t="s">
        <v>34</v>
      </c>
      <c r="E22" s="3" t="str">
        <f t="shared" si="0"/>
        <v>٧</v>
      </c>
      <c r="F22" s="3">
        <v>7</v>
      </c>
      <c r="G22" s="3">
        <v>4</v>
      </c>
      <c r="H22" s="3">
        <v>8</v>
      </c>
      <c r="I22" s="3">
        <v>4</v>
      </c>
      <c r="J22" s="3">
        <v>6</v>
      </c>
      <c r="K22" s="3">
        <v>7</v>
      </c>
      <c r="L22" s="3" t="s">
        <v>56</v>
      </c>
      <c r="M22" s="3">
        <v>5</v>
      </c>
      <c r="N22" s="3">
        <v>5</v>
      </c>
      <c r="O22" s="3">
        <v>6</v>
      </c>
      <c r="P22" s="3">
        <v>8</v>
      </c>
      <c r="Q22" s="3">
        <v>7</v>
      </c>
      <c r="R22" s="3">
        <v>7</v>
      </c>
      <c r="S22" s="3">
        <v>8</v>
      </c>
      <c r="T22" s="4">
        <f t="shared" si="1"/>
        <v>82</v>
      </c>
      <c r="U22" s="44">
        <v>1</v>
      </c>
      <c r="V22" s="44">
        <v>1</v>
      </c>
    </row>
    <row r="23" spans="1:22" s="1" customFormat="1" ht="25.15" customHeight="1" thickBot="1" x14ac:dyDescent="0.3">
      <c r="A23" s="65" t="s">
        <v>35</v>
      </c>
      <c r="B23" s="124" t="s">
        <v>189</v>
      </c>
      <c r="C23" s="85">
        <v>2841</v>
      </c>
      <c r="D23" s="89" t="s">
        <v>35</v>
      </c>
      <c r="E23" s="3" t="str">
        <f t="shared" si="0"/>
        <v>٤</v>
      </c>
      <c r="F23" s="3">
        <v>4</v>
      </c>
      <c r="G23" s="3">
        <v>4</v>
      </c>
      <c r="H23" s="3">
        <v>7</v>
      </c>
      <c r="I23" s="3">
        <v>4</v>
      </c>
      <c r="J23" s="3">
        <v>5</v>
      </c>
      <c r="K23" s="3">
        <v>5</v>
      </c>
      <c r="L23" s="3" t="s">
        <v>56</v>
      </c>
      <c r="M23" s="3">
        <v>4</v>
      </c>
      <c r="N23" s="3">
        <v>5</v>
      </c>
      <c r="O23" s="3">
        <v>5</v>
      </c>
      <c r="P23" s="3">
        <v>8</v>
      </c>
      <c r="Q23" s="3">
        <v>8</v>
      </c>
      <c r="R23" s="3">
        <v>7</v>
      </c>
      <c r="S23" s="3">
        <v>8</v>
      </c>
      <c r="T23" s="4">
        <f t="shared" si="1"/>
        <v>74</v>
      </c>
      <c r="U23" s="44" t="s">
        <v>56</v>
      </c>
      <c r="V23" s="44" t="s">
        <v>56</v>
      </c>
    </row>
    <row r="24" spans="1:22" s="1" customFormat="1" ht="25.15" customHeight="1" thickBot="1" x14ac:dyDescent="0.3">
      <c r="A24" s="65" t="s">
        <v>36</v>
      </c>
      <c r="B24" s="123" t="s">
        <v>190</v>
      </c>
      <c r="C24" s="85">
        <v>2812</v>
      </c>
      <c r="D24" s="89" t="s">
        <v>36</v>
      </c>
      <c r="E24" s="3" t="str">
        <f t="shared" si="0"/>
        <v>٦</v>
      </c>
      <c r="F24" s="3">
        <v>6</v>
      </c>
      <c r="G24" s="3">
        <v>4</v>
      </c>
      <c r="H24" s="3">
        <v>8</v>
      </c>
      <c r="I24" s="3">
        <v>4</v>
      </c>
      <c r="J24" s="3">
        <v>7</v>
      </c>
      <c r="K24" s="3">
        <v>5</v>
      </c>
      <c r="L24" s="3" t="s">
        <v>56</v>
      </c>
      <c r="M24" s="3">
        <v>6</v>
      </c>
      <c r="N24" s="3">
        <v>4</v>
      </c>
      <c r="O24" s="3">
        <v>8</v>
      </c>
      <c r="P24" s="3">
        <v>7</v>
      </c>
      <c r="Q24" s="3">
        <v>7</v>
      </c>
      <c r="R24" s="3">
        <v>7</v>
      </c>
      <c r="S24" s="3">
        <v>8</v>
      </c>
      <c r="T24" s="4">
        <f t="shared" si="1"/>
        <v>81</v>
      </c>
      <c r="U24" s="44">
        <v>1</v>
      </c>
      <c r="V24" s="44" t="s">
        <v>56</v>
      </c>
    </row>
    <row r="25" spans="1:22" s="1" customFormat="1" ht="25.15" customHeight="1" thickBot="1" x14ac:dyDescent="0.3">
      <c r="A25" s="65" t="s">
        <v>37</v>
      </c>
      <c r="B25" s="124" t="s">
        <v>191</v>
      </c>
      <c r="C25" s="132">
        <v>2672</v>
      </c>
      <c r="D25" s="89" t="s">
        <v>37</v>
      </c>
      <c r="E25" s="3" t="str">
        <f t="shared" si="0"/>
        <v>٩</v>
      </c>
      <c r="F25" s="3">
        <v>9</v>
      </c>
      <c r="G25" s="3">
        <v>9</v>
      </c>
      <c r="H25" s="3">
        <v>9</v>
      </c>
      <c r="I25" s="3">
        <v>9</v>
      </c>
      <c r="J25" s="3">
        <v>9</v>
      </c>
      <c r="K25" s="3">
        <v>9</v>
      </c>
      <c r="L25" s="3" t="s">
        <v>56</v>
      </c>
      <c r="M25" s="3">
        <v>9</v>
      </c>
      <c r="N25" s="3">
        <v>9</v>
      </c>
      <c r="O25" s="3">
        <v>9</v>
      </c>
      <c r="P25" s="3">
        <v>8</v>
      </c>
      <c r="Q25" s="3">
        <v>8</v>
      </c>
      <c r="R25" s="3">
        <v>8</v>
      </c>
      <c r="S25" s="3">
        <v>8</v>
      </c>
      <c r="T25" s="4">
        <f t="shared" si="1"/>
        <v>113</v>
      </c>
      <c r="U25" s="44" t="s">
        <v>56</v>
      </c>
      <c r="V25" s="44" t="s">
        <v>56</v>
      </c>
    </row>
    <row r="26" spans="1:22" s="1" customFormat="1" ht="25.15" customHeight="1" thickBot="1" x14ac:dyDescent="0.3">
      <c r="A26" s="65" t="s">
        <v>38</v>
      </c>
      <c r="B26" s="124" t="s">
        <v>192</v>
      </c>
      <c r="C26" s="85">
        <v>2875</v>
      </c>
      <c r="D26" s="89" t="s">
        <v>38</v>
      </c>
      <c r="E26" s="3" t="str">
        <f t="shared" si="0"/>
        <v>٦</v>
      </c>
      <c r="F26" s="3">
        <v>6</v>
      </c>
      <c r="G26" s="3">
        <v>7</v>
      </c>
      <c r="H26" s="3">
        <v>9</v>
      </c>
      <c r="I26" s="3">
        <v>5</v>
      </c>
      <c r="J26" s="3">
        <v>6</v>
      </c>
      <c r="K26" s="3">
        <v>6</v>
      </c>
      <c r="L26" s="3" t="s">
        <v>56</v>
      </c>
      <c r="M26" s="3">
        <v>8</v>
      </c>
      <c r="N26" s="3">
        <v>4</v>
      </c>
      <c r="O26" s="3">
        <v>7</v>
      </c>
      <c r="P26" s="3">
        <v>7</v>
      </c>
      <c r="Q26" s="3">
        <v>8</v>
      </c>
      <c r="R26" s="3">
        <v>8</v>
      </c>
      <c r="S26" s="3">
        <v>8</v>
      </c>
      <c r="T26" s="4">
        <f t="shared" si="1"/>
        <v>89</v>
      </c>
      <c r="U26" s="44">
        <v>4</v>
      </c>
      <c r="V26" s="44" t="s">
        <v>56</v>
      </c>
    </row>
    <row r="27" spans="1:22" s="1" customFormat="1" ht="25.15" customHeight="1" thickBot="1" x14ac:dyDescent="0.3">
      <c r="A27" s="65" t="s">
        <v>39</v>
      </c>
      <c r="B27" s="124" t="s">
        <v>193</v>
      </c>
      <c r="C27" s="85">
        <v>2845</v>
      </c>
      <c r="D27" s="89" t="s">
        <v>39</v>
      </c>
      <c r="E27" s="3" t="str">
        <f t="shared" si="0"/>
        <v>٥</v>
      </c>
      <c r="F27" s="3">
        <v>5</v>
      </c>
      <c r="G27" s="3">
        <v>6</v>
      </c>
      <c r="H27" s="3">
        <v>8</v>
      </c>
      <c r="I27" s="3">
        <v>5</v>
      </c>
      <c r="J27" s="3">
        <v>6</v>
      </c>
      <c r="K27" s="3">
        <v>4</v>
      </c>
      <c r="L27" s="3" t="s">
        <v>56</v>
      </c>
      <c r="M27" s="3">
        <v>6</v>
      </c>
      <c r="N27" s="3">
        <v>6</v>
      </c>
      <c r="O27" s="3">
        <v>8</v>
      </c>
      <c r="P27" s="3">
        <v>8</v>
      </c>
      <c r="Q27" s="3">
        <v>8</v>
      </c>
      <c r="R27" s="3">
        <v>8</v>
      </c>
      <c r="S27" s="3">
        <v>8</v>
      </c>
      <c r="T27" s="4">
        <f t="shared" si="1"/>
        <v>86</v>
      </c>
      <c r="U27" s="44" t="s">
        <v>56</v>
      </c>
      <c r="V27" s="44" t="s">
        <v>56</v>
      </c>
    </row>
    <row r="28" spans="1:22" s="59" customFormat="1" ht="25.15" customHeight="1" thickBot="1" x14ac:dyDescent="0.3">
      <c r="A28" s="77" t="s">
        <v>40</v>
      </c>
      <c r="B28" s="149" t="s">
        <v>194</v>
      </c>
      <c r="C28" s="85">
        <v>2782</v>
      </c>
      <c r="D28" s="202" t="s">
        <v>40</v>
      </c>
      <c r="E28" s="151" t="str">
        <f t="shared" si="0"/>
        <v>٩</v>
      </c>
      <c r="F28" s="151">
        <v>9</v>
      </c>
      <c r="G28" s="151">
        <v>9</v>
      </c>
      <c r="H28" s="151">
        <v>9</v>
      </c>
      <c r="I28" s="151">
        <v>7</v>
      </c>
      <c r="J28" s="151">
        <v>7</v>
      </c>
      <c r="K28" s="151">
        <v>7</v>
      </c>
      <c r="L28" s="151" t="s">
        <v>56</v>
      </c>
      <c r="M28" s="151">
        <v>6</v>
      </c>
      <c r="N28" s="151">
        <v>6</v>
      </c>
      <c r="O28" s="151">
        <v>9</v>
      </c>
      <c r="P28" s="151">
        <v>9</v>
      </c>
      <c r="Q28" s="151">
        <v>8</v>
      </c>
      <c r="R28" s="151">
        <v>8</v>
      </c>
      <c r="S28" s="151">
        <v>8</v>
      </c>
      <c r="T28" s="151">
        <f t="shared" si="1"/>
        <v>102</v>
      </c>
      <c r="U28" s="152">
        <v>2</v>
      </c>
      <c r="V28" s="152">
        <v>1</v>
      </c>
    </row>
    <row r="29" spans="1:22" s="192" customFormat="1" ht="25.15" customHeight="1" thickBot="1" x14ac:dyDescent="0.3">
      <c r="A29" s="187" t="s">
        <v>41</v>
      </c>
      <c r="B29" s="193" t="s">
        <v>195</v>
      </c>
      <c r="C29" s="188">
        <v>2751</v>
      </c>
      <c r="D29" s="189" t="s">
        <v>41</v>
      </c>
      <c r="E29" s="190" t="str">
        <f t="shared" si="0"/>
        <v>٨</v>
      </c>
      <c r="F29" s="190">
        <v>8</v>
      </c>
      <c r="G29" s="190">
        <v>5</v>
      </c>
      <c r="H29" s="190">
        <v>7</v>
      </c>
      <c r="I29" s="190">
        <v>5</v>
      </c>
      <c r="J29" s="190">
        <v>4</v>
      </c>
      <c r="K29" s="190">
        <v>6</v>
      </c>
      <c r="L29" s="190" t="s">
        <v>56</v>
      </c>
      <c r="M29" s="190">
        <v>7</v>
      </c>
      <c r="N29" s="190">
        <v>6</v>
      </c>
      <c r="O29" s="190">
        <v>7</v>
      </c>
      <c r="P29" s="190">
        <v>8</v>
      </c>
      <c r="Q29" s="190">
        <v>8</v>
      </c>
      <c r="R29" s="190">
        <v>8</v>
      </c>
      <c r="S29" s="190">
        <v>6</v>
      </c>
      <c r="T29" s="190">
        <f t="shared" si="1"/>
        <v>85</v>
      </c>
      <c r="U29" s="191">
        <v>2</v>
      </c>
      <c r="V29" s="191">
        <v>12</v>
      </c>
    </row>
    <row r="30" spans="1:22" s="1" customFormat="1" ht="25.15" customHeight="1" thickBot="1" x14ac:dyDescent="0.3">
      <c r="A30" s="65" t="s">
        <v>42</v>
      </c>
      <c r="B30" s="124" t="s">
        <v>196</v>
      </c>
      <c r="C30" s="85">
        <v>2907</v>
      </c>
      <c r="D30" s="89" t="s">
        <v>42</v>
      </c>
      <c r="E30" s="3" t="str">
        <f t="shared" si="0"/>
        <v>٩</v>
      </c>
      <c r="F30" s="3">
        <v>9</v>
      </c>
      <c r="G30" s="3">
        <v>9</v>
      </c>
      <c r="H30" s="3">
        <v>7</v>
      </c>
      <c r="I30" s="3">
        <v>7</v>
      </c>
      <c r="J30" s="3">
        <v>9</v>
      </c>
      <c r="K30" s="3">
        <v>8</v>
      </c>
      <c r="L30" s="3" t="s">
        <v>56</v>
      </c>
      <c r="M30" s="3">
        <v>8</v>
      </c>
      <c r="N30" s="3">
        <v>9</v>
      </c>
      <c r="O30" s="3">
        <v>8</v>
      </c>
      <c r="P30" s="3">
        <v>7</v>
      </c>
      <c r="Q30" s="3">
        <v>8</v>
      </c>
      <c r="R30" s="3">
        <v>8</v>
      </c>
      <c r="S30" s="3">
        <v>8</v>
      </c>
      <c r="T30" s="4">
        <f t="shared" si="1"/>
        <v>105</v>
      </c>
      <c r="U30" s="44">
        <v>1</v>
      </c>
      <c r="V30" s="44" t="s">
        <v>56</v>
      </c>
    </row>
    <row r="31" spans="1:22" s="2" customFormat="1" ht="25.15" customHeight="1" thickBot="1" x14ac:dyDescent="0.3">
      <c r="A31" s="65">
        <v>30</v>
      </c>
      <c r="B31" s="124" t="s">
        <v>197</v>
      </c>
      <c r="C31" s="85">
        <v>2849</v>
      </c>
      <c r="D31" s="89" t="s">
        <v>43</v>
      </c>
      <c r="E31" s="3" t="str">
        <f t="shared" si="0"/>
        <v>٦</v>
      </c>
      <c r="F31" s="3">
        <v>6</v>
      </c>
      <c r="G31" s="3">
        <v>7</v>
      </c>
      <c r="H31" s="3">
        <v>8</v>
      </c>
      <c r="I31" s="3">
        <v>5</v>
      </c>
      <c r="J31" s="3">
        <v>6</v>
      </c>
      <c r="K31" s="3">
        <v>6</v>
      </c>
      <c r="L31" s="3" t="s">
        <v>56</v>
      </c>
      <c r="M31" s="3">
        <v>9</v>
      </c>
      <c r="N31" s="3">
        <v>6</v>
      </c>
      <c r="O31" s="3">
        <v>7</v>
      </c>
      <c r="P31" s="3">
        <v>8</v>
      </c>
      <c r="Q31" s="3">
        <v>7</v>
      </c>
      <c r="R31" s="3">
        <v>8</v>
      </c>
      <c r="S31" s="3">
        <v>8</v>
      </c>
      <c r="T31" s="4">
        <f t="shared" si="1"/>
        <v>91</v>
      </c>
      <c r="U31" s="44">
        <v>1</v>
      </c>
      <c r="V31" s="44" t="s">
        <v>56</v>
      </c>
    </row>
    <row r="32" spans="1:22" s="176" customFormat="1" ht="25.15" customHeight="1" thickBot="1" x14ac:dyDescent="0.3">
      <c r="A32" s="161">
        <v>31</v>
      </c>
      <c r="B32" s="169" t="s">
        <v>198</v>
      </c>
      <c r="C32" s="170">
        <v>2686</v>
      </c>
      <c r="D32" s="186" t="s">
        <v>44</v>
      </c>
      <c r="E32" s="165" t="str">
        <f t="shared" si="0"/>
        <v>٨</v>
      </c>
      <c r="F32" s="165">
        <v>8</v>
      </c>
      <c r="G32" s="165">
        <v>8</v>
      </c>
      <c r="H32" s="165">
        <v>9</v>
      </c>
      <c r="I32" s="165">
        <v>7</v>
      </c>
      <c r="J32" s="165">
        <v>9</v>
      </c>
      <c r="K32" s="165">
        <v>9</v>
      </c>
      <c r="L32" s="165" t="s">
        <v>56</v>
      </c>
      <c r="M32" s="165">
        <v>9</v>
      </c>
      <c r="N32" s="165">
        <v>9</v>
      </c>
      <c r="O32" s="165">
        <v>5</v>
      </c>
      <c r="P32" s="165">
        <v>8</v>
      </c>
      <c r="Q32" s="165">
        <v>8</v>
      </c>
      <c r="R32" s="165">
        <v>8</v>
      </c>
      <c r="S32" s="165">
        <v>8</v>
      </c>
      <c r="T32" s="165">
        <f t="shared" si="1"/>
        <v>105</v>
      </c>
      <c r="U32" s="167">
        <v>1</v>
      </c>
      <c r="V32" s="167" t="s">
        <v>56</v>
      </c>
    </row>
    <row r="33" spans="1:22" s="176" customFormat="1" ht="25.15" customHeight="1" thickBot="1" x14ac:dyDescent="0.3">
      <c r="A33" s="161">
        <v>32</v>
      </c>
      <c r="B33" s="169" t="s">
        <v>199</v>
      </c>
      <c r="C33" s="163">
        <v>2719</v>
      </c>
      <c r="D33" s="186" t="s">
        <v>45</v>
      </c>
      <c r="E33" s="165" t="str">
        <f t="shared" si="0"/>
        <v>٤</v>
      </c>
      <c r="F33" s="165">
        <v>4</v>
      </c>
      <c r="G33" s="165">
        <v>6</v>
      </c>
      <c r="H33" s="165">
        <v>7</v>
      </c>
      <c r="I33" s="165">
        <v>4</v>
      </c>
      <c r="J33" s="165">
        <v>5</v>
      </c>
      <c r="K33" s="165">
        <v>6</v>
      </c>
      <c r="L33" s="165" t="s">
        <v>56</v>
      </c>
      <c r="M33" s="165">
        <v>5</v>
      </c>
      <c r="N33" s="165">
        <v>7</v>
      </c>
      <c r="O33" s="165">
        <v>6</v>
      </c>
      <c r="P33" s="165">
        <v>8</v>
      </c>
      <c r="Q33" s="165">
        <v>7</v>
      </c>
      <c r="R33" s="165">
        <v>8</v>
      </c>
      <c r="S33" s="165">
        <v>8</v>
      </c>
      <c r="T33" s="165">
        <f t="shared" si="1"/>
        <v>81</v>
      </c>
      <c r="U33" s="167">
        <v>2</v>
      </c>
      <c r="V33" s="167" t="s">
        <v>56</v>
      </c>
    </row>
    <row r="34" spans="1:22" s="9" customFormat="1" ht="25.15" customHeight="1" x14ac:dyDescent="0.25">
      <c r="A34" s="65"/>
      <c r="B34" s="87" t="s">
        <v>50</v>
      </c>
      <c r="C34" s="7"/>
      <c r="D34" s="88"/>
      <c r="E34" s="3" t="str">
        <f t="shared" si="0"/>
        <v>٢١٤</v>
      </c>
      <c r="F34" s="38">
        <f t="shared" ref="F34:K34" si="2">SUM(F2:F33)</f>
        <v>214</v>
      </c>
      <c r="G34" s="8">
        <f t="shared" si="2"/>
        <v>211</v>
      </c>
      <c r="H34" s="8">
        <f t="shared" si="2"/>
        <v>257</v>
      </c>
      <c r="I34" s="24">
        <f t="shared" si="2"/>
        <v>181</v>
      </c>
      <c r="J34" s="8">
        <f t="shared" si="2"/>
        <v>217</v>
      </c>
      <c r="K34" s="8">
        <f t="shared" si="2"/>
        <v>208</v>
      </c>
      <c r="L34" s="63" t="s">
        <v>56</v>
      </c>
      <c r="M34" s="8">
        <f t="shared" ref="M34:S34" si="3">SUM(M2:M33)</f>
        <v>232</v>
      </c>
      <c r="N34" s="8">
        <f t="shared" si="3"/>
        <v>211</v>
      </c>
      <c r="O34" s="24">
        <f t="shared" si="3"/>
        <v>228</v>
      </c>
      <c r="P34" s="8">
        <f t="shared" si="3"/>
        <v>255</v>
      </c>
      <c r="Q34" s="8">
        <f t="shared" si="3"/>
        <v>248</v>
      </c>
      <c r="R34" s="8">
        <f t="shared" si="3"/>
        <v>245</v>
      </c>
      <c r="S34" s="8">
        <f t="shared" si="3"/>
        <v>254</v>
      </c>
      <c r="T34" s="8"/>
      <c r="U34" s="44"/>
      <c r="V34" s="44"/>
    </row>
    <row r="35" spans="1:22" ht="15" customHeight="1" x14ac:dyDescent="0.25">
      <c r="A35" s="65"/>
      <c r="U35" s="44"/>
      <c r="V35" s="44"/>
    </row>
    <row r="36" spans="1:22" ht="15" customHeight="1" x14ac:dyDescent="0.25">
      <c r="U36" s="44"/>
      <c r="V36" s="44"/>
    </row>
    <row r="37" spans="1:22" s="18" customFormat="1" ht="15" customHeight="1" x14ac:dyDescent="0.25">
      <c r="A37" s="17"/>
      <c r="B37" s="88"/>
      <c r="C37" s="7"/>
      <c r="D37" s="88"/>
      <c r="E37" s="3"/>
      <c r="F37" s="5"/>
      <c r="G37" s="5"/>
      <c r="H37" s="5"/>
      <c r="I37" s="25"/>
      <c r="J37" s="5"/>
      <c r="K37" s="5"/>
      <c r="L37" s="5"/>
      <c r="M37" s="5"/>
      <c r="N37" s="5"/>
      <c r="O37" s="25"/>
      <c r="P37" s="5"/>
      <c r="Q37" s="5"/>
      <c r="R37" s="5"/>
      <c r="S37" s="5"/>
      <c r="T37" s="6"/>
      <c r="U37" s="44"/>
      <c r="V37" s="44"/>
    </row>
    <row r="38" spans="1:22" s="18" customFormat="1" ht="20.25" customHeight="1" x14ac:dyDescent="0.25">
      <c r="A38" s="17"/>
      <c r="B38" s="88"/>
      <c r="C38" s="7"/>
      <c r="D38" s="88"/>
      <c r="E38" s="3"/>
      <c r="F38" s="5"/>
      <c r="G38" s="4"/>
      <c r="H38" s="14" t="s">
        <v>49</v>
      </c>
      <c r="I38" s="23"/>
      <c r="J38" s="5"/>
      <c r="K38" s="5"/>
      <c r="L38" s="5"/>
      <c r="M38" s="5"/>
      <c r="N38" s="5"/>
      <c r="O38" s="25"/>
      <c r="P38" s="5"/>
      <c r="Q38" s="5"/>
      <c r="R38" s="5"/>
      <c r="S38" s="5"/>
      <c r="T38" s="6"/>
      <c r="U38"/>
      <c r="V38" s="44"/>
    </row>
    <row r="39" spans="1:22" s="18" customFormat="1" ht="20.25" customHeight="1" x14ac:dyDescent="0.25">
      <c r="A39" s="17"/>
      <c r="B39" s="88"/>
      <c r="C39" s="7"/>
      <c r="D39" s="88"/>
      <c r="E39" s="3"/>
      <c r="F39" s="5"/>
      <c r="G39" s="5"/>
      <c r="H39" s="16">
        <f>E34/D33</f>
        <v>7</v>
      </c>
      <c r="I39" s="25"/>
      <c r="J39" s="5"/>
      <c r="K39" s="5"/>
      <c r="L39" s="5"/>
      <c r="M39" s="5"/>
      <c r="N39" s="5"/>
      <c r="O39" s="25"/>
      <c r="P39" s="5"/>
      <c r="Q39" s="5"/>
      <c r="R39" s="5"/>
      <c r="S39" s="5"/>
      <c r="T39" s="5"/>
      <c r="U39"/>
      <c r="V39"/>
    </row>
    <row r="40" spans="1:22" s="18" customFormat="1" ht="20.25" customHeight="1" x14ac:dyDescent="0.25">
      <c r="A40" s="17"/>
      <c r="B40" s="145" t="s">
        <v>327</v>
      </c>
      <c r="C40" s="7"/>
      <c r="D40" s="88"/>
      <c r="E40" s="3"/>
      <c r="F40" s="5"/>
      <c r="G40" s="5"/>
      <c r="H40" s="16">
        <f>G34/D33</f>
        <v>7</v>
      </c>
      <c r="I40" s="25"/>
      <c r="J40" s="5"/>
      <c r="K40" s="5"/>
      <c r="L40" s="5"/>
      <c r="M40" s="5"/>
      <c r="N40" s="5"/>
      <c r="O40" s="25"/>
      <c r="P40" s="5"/>
      <c r="Q40" s="5"/>
      <c r="R40" s="5"/>
      <c r="S40" s="5"/>
      <c r="T40" s="6"/>
      <c r="U40"/>
      <c r="V40"/>
    </row>
    <row r="41" spans="1:22" s="18" customFormat="1" ht="20.25" customHeight="1" x14ac:dyDescent="0.25">
      <c r="A41" s="17"/>
      <c r="B41" s="194" t="s">
        <v>332</v>
      </c>
      <c r="C41" s="7"/>
      <c r="D41" s="88"/>
      <c r="E41" s="3"/>
      <c r="F41" s="5"/>
      <c r="G41" s="5"/>
      <c r="H41" s="16">
        <f>H34/D33</f>
        <v>8</v>
      </c>
      <c r="I41" s="25"/>
      <c r="J41" s="5"/>
      <c r="K41" s="5"/>
      <c r="L41" s="5"/>
      <c r="M41" s="5"/>
      <c r="N41" s="5"/>
      <c r="O41" s="25"/>
      <c r="P41" s="5"/>
      <c r="Q41" s="5"/>
      <c r="R41" s="5"/>
      <c r="S41" s="5"/>
      <c r="T41" s="6"/>
      <c r="U41"/>
      <c r="V41"/>
    </row>
    <row r="42" spans="1:22" s="18" customFormat="1" ht="20.25" customHeight="1" x14ac:dyDescent="0.25">
      <c r="A42" s="17"/>
      <c r="B42" s="88"/>
      <c r="C42" s="7"/>
      <c r="D42" s="88"/>
      <c r="E42" s="3"/>
      <c r="F42" s="5"/>
      <c r="G42" s="5"/>
      <c r="H42" s="16">
        <f>I34/D33</f>
        <v>6</v>
      </c>
      <c r="I42" s="25"/>
      <c r="J42" s="5"/>
      <c r="K42" s="5"/>
      <c r="L42" s="5"/>
      <c r="M42" s="5"/>
      <c r="N42" s="5"/>
      <c r="O42" s="25"/>
      <c r="P42" s="5"/>
      <c r="Q42" s="5"/>
      <c r="R42" s="5"/>
      <c r="S42" s="5"/>
      <c r="T42" s="6"/>
      <c r="U42"/>
      <c r="V42"/>
    </row>
    <row r="43" spans="1:22" s="18" customFormat="1" ht="20.25" customHeight="1" x14ac:dyDescent="0.25">
      <c r="A43" s="17"/>
      <c r="B43" s="88"/>
      <c r="C43" s="7"/>
      <c r="D43" s="88"/>
      <c r="E43" s="3"/>
      <c r="F43" s="5"/>
      <c r="G43" s="5"/>
      <c r="H43" s="16">
        <f>J34/D33</f>
        <v>7</v>
      </c>
      <c r="I43" s="25"/>
      <c r="J43" s="5"/>
      <c r="K43" s="5"/>
      <c r="L43" s="5"/>
      <c r="M43" s="5"/>
      <c r="N43" s="5"/>
      <c r="O43" s="25"/>
      <c r="P43" s="5"/>
      <c r="Q43" s="5"/>
      <c r="R43" s="5"/>
      <c r="S43" s="5"/>
      <c r="T43" s="6"/>
      <c r="U43"/>
      <c r="V43"/>
    </row>
    <row r="44" spans="1:22" s="18" customFormat="1" ht="20.25" customHeight="1" x14ac:dyDescent="0.25">
      <c r="A44" s="17"/>
      <c r="B44" s="88"/>
      <c r="C44" s="7"/>
      <c r="D44" s="88"/>
      <c r="E44" s="3"/>
      <c r="F44" s="5"/>
      <c r="G44" s="5"/>
      <c r="H44" s="16">
        <f>K34/D33</f>
        <v>7</v>
      </c>
      <c r="I44" s="25"/>
      <c r="J44" s="5"/>
      <c r="K44" s="5"/>
      <c r="L44" s="5"/>
      <c r="M44" s="5"/>
      <c r="N44" s="5"/>
      <c r="O44" s="25"/>
      <c r="P44" s="5"/>
      <c r="Q44" s="5"/>
      <c r="R44" s="5"/>
      <c r="S44" s="5"/>
      <c r="T44" s="6"/>
      <c r="U44"/>
      <c r="V44"/>
    </row>
    <row r="45" spans="1:22" s="18" customFormat="1" ht="20.25" customHeight="1" x14ac:dyDescent="0.25">
      <c r="A45" s="17"/>
      <c r="B45" s="88"/>
      <c r="C45" s="7"/>
      <c r="D45" s="88"/>
      <c r="E45" s="3"/>
      <c r="F45" s="5"/>
      <c r="G45" s="5"/>
      <c r="H45" s="33" t="s">
        <v>56</v>
      </c>
      <c r="I45" s="25"/>
      <c r="J45" s="5"/>
      <c r="K45" s="5"/>
      <c r="L45" s="5"/>
      <c r="M45" s="5"/>
      <c r="N45" s="5"/>
      <c r="O45" s="25"/>
      <c r="P45" s="5"/>
      <c r="Q45" s="5"/>
      <c r="R45" s="5"/>
      <c r="S45" s="5"/>
      <c r="T45" s="6"/>
      <c r="U45" s="45"/>
      <c r="V45" s="45"/>
    </row>
    <row r="46" spans="1:22" s="18" customFormat="1" ht="20.25" customHeight="1" x14ac:dyDescent="0.25">
      <c r="A46" s="17"/>
      <c r="B46" s="88"/>
      <c r="C46" s="7"/>
      <c r="D46" s="88"/>
      <c r="E46" s="3"/>
      <c r="F46" s="5"/>
      <c r="G46" s="5"/>
      <c r="H46" s="16">
        <f>M34/D33</f>
        <v>7</v>
      </c>
      <c r="I46" s="25"/>
      <c r="J46" s="5"/>
      <c r="K46" s="5"/>
      <c r="L46" s="5"/>
      <c r="M46" s="5"/>
      <c r="N46" s="5"/>
      <c r="O46" s="25"/>
      <c r="P46" s="5"/>
      <c r="Q46" s="5"/>
      <c r="R46" s="5"/>
      <c r="S46" s="5"/>
      <c r="T46" s="6"/>
      <c r="U46" s="45"/>
      <c r="V46" s="45"/>
    </row>
    <row r="47" spans="1:22" s="18" customFormat="1" ht="20.25" customHeight="1" x14ac:dyDescent="0.25">
      <c r="A47" s="17"/>
      <c r="B47" s="88"/>
      <c r="C47" s="7"/>
      <c r="D47" s="88"/>
      <c r="E47" s="3"/>
      <c r="F47" s="5"/>
      <c r="G47" s="5"/>
      <c r="H47" s="16">
        <f>N34/D33</f>
        <v>7</v>
      </c>
      <c r="I47" s="25"/>
      <c r="J47" s="5"/>
      <c r="K47" s="5"/>
      <c r="L47" s="5"/>
      <c r="M47" s="5"/>
      <c r="N47" s="5"/>
      <c r="O47" s="25"/>
      <c r="P47" s="5"/>
      <c r="Q47" s="5"/>
      <c r="R47" s="5"/>
      <c r="S47" s="5"/>
      <c r="T47" s="6"/>
      <c r="U47" s="45"/>
      <c r="V47" s="45"/>
    </row>
    <row r="48" spans="1:22" s="18" customFormat="1" ht="20.25" customHeight="1" x14ac:dyDescent="0.25">
      <c r="A48" s="17"/>
      <c r="B48" s="88"/>
      <c r="C48" s="7"/>
      <c r="D48" s="88"/>
      <c r="E48" s="3"/>
      <c r="F48" s="5"/>
      <c r="G48" s="5"/>
      <c r="H48" s="16">
        <f>O34/D33</f>
        <v>7</v>
      </c>
      <c r="I48" s="25"/>
      <c r="J48" s="5"/>
      <c r="K48" s="5"/>
      <c r="L48" s="5"/>
      <c r="M48" s="5"/>
      <c r="N48" s="5"/>
      <c r="O48" s="25"/>
      <c r="P48" s="5"/>
      <c r="Q48" s="5"/>
      <c r="R48" s="5"/>
      <c r="S48" s="5"/>
      <c r="T48" s="6"/>
      <c r="U48" s="45"/>
      <c r="V48" s="45"/>
    </row>
    <row r="49" spans="1:22" s="18" customFormat="1" ht="20.25" customHeight="1" x14ac:dyDescent="0.25">
      <c r="A49" s="17"/>
      <c r="B49" s="88"/>
      <c r="C49" s="7"/>
      <c r="D49" s="88"/>
      <c r="E49" s="3"/>
      <c r="F49" s="5"/>
      <c r="G49" s="5"/>
      <c r="H49" s="16">
        <f>P34/D33</f>
        <v>8</v>
      </c>
      <c r="I49" s="25"/>
      <c r="J49" s="5"/>
      <c r="K49" s="5"/>
      <c r="L49" s="5"/>
      <c r="M49" s="5"/>
      <c r="N49" s="5"/>
      <c r="O49" s="25"/>
      <c r="P49" s="5"/>
      <c r="Q49" s="5"/>
      <c r="R49" s="5"/>
      <c r="S49" s="5"/>
      <c r="T49" s="6"/>
      <c r="U49" s="45"/>
      <c r="V49" s="45"/>
    </row>
    <row r="50" spans="1:22" s="18" customFormat="1" ht="20.25" customHeight="1" x14ac:dyDescent="0.25">
      <c r="A50" s="17"/>
      <c r="B50" s="88"/>
      <c r="C50" s="7"/>
      <c r="D50" s="88"/>
      <c r="E50" s="3"/>
      <c r="F50" s="5"/>
      <c r="G50" s="5"/>
      <c r="H50" s="16">
        <f>Q34/D33</f>
        <v>8</v>
      </c>
      <c r="I50" s="25"/>
      <c r="J50" s="5"/>
      <c r="K50" s="5"/>
      <c r="L50" s="5"/>
      <c r="M50" s="5"/>
      <c r="N50" s="5"/>
      <c r="O50" s="25"/>
      <c r="P50" s="5"/>
      <c r="Q50" s="5"/>
      <c r="R50" s="5"/>
      <c r="S50" s="5"/>
      <c r="T50" s="6"/>
      <c r="U50" s="45"/>
      <c r="V50" s="45"/>
    </row>
    <row r="51" spans="1:22" s="18" customFormat="1" ht="20.25" customHeight="1" x14ac:dyDescent="0.25">
      <c r="A51" s="65"/>
      <c r="B51" s="88"/>
      <c r="C51" s="7"/>
      <c r="D51" s="88"/>
      <c r="E51" s="3"/>
      <c r="F51" s="5"/>
      <c r="G51" s="5"/>
      <c r="H51" s="16">
        <f>R34/D33</f>
        <v>8</v>
      </c>
      <c r="I51" s="25"/>
      <c r="J51" s="5"/>
      <c r="K51" s="5"/>
      <c r="L51" s="5"/>
      <c r="M51" s="5"/>
      <c r="N51" s="5"/>
      <c r="O51" s="25"/>
      <c r="P51" s="5"/>
      <c r="Q51" s="5"/>
      <c r="R51" s="5"/>
      <c r="S51" s="5"/>
      <c r="T51" s="6"/>
      <c r="U51" s="45"/>
      <c r="V51" s="45"/>
    </row>
    <row r="52" spans="1:22" s="18" customFormat="1" ht="25.15" customHeight="1" x14ac:dyDescent="0.25">
      <c r="A52" s="65"/>
      <c r="B52" s="88"/>
      <c r="C52" s="7"/>
      <c r="D52" s="88"/>
      <c r="E52" s="3"/>
      <c r="F52" s="5"/>
      <c r="G52" s="5"/>
      <c r="H52" s="16">
        <f>S34/D33</f>
        <v>8</v>
      </c>
      <c r="I52" s="25"/>
      <c r="J52" s="5"/>
      <c r="K52" s="5"/>
      <c r="L52" s="5"/>
      <c r="M52" s="5"/>
      <c r="N52" s="5"/>
      <c r="O52" s="25"/>
      <c r="P52" s="5"/>
      <c r="Q52" s="5"/>
      <c r="R52" s="5"/>
      <c r="S52" s="5"/>
      <c r="T52" s="6"/>
      <c r="U52" s="45"/>
      <c r="V52" s="45"/>
    </row>
    <row r="53" spans="1:22" s="18" customFormat="1" ht="15" customHeight="1" x14ac:dyDescent="0.25">
      <c r="A53" s="65"/>
      <c r="B53" s="88"/>
      <c r="C53" s="7"/>
      <c r="D53" s="88"/>
      <c r="E53" s="3"/>
      <c r="F53" s="5"/>
      <c r="G53" s="5"/>
      <c r="H53" s="15">
        <f>SUM(H39:H52)</f>
        <v>95</v>
      </c>
      <c r="I53" s="25"/>
      <c r="J53" s="5"/>
      <c r="K53" s="5"/>
      <c r="L53" s="5"/>
      <c r="M53" s="5"/>
      <c r="N53" s="5"/>
      <c r="O53" s="25"/>
      <c r="P53" s="5"/>
      <c r="Q53" s="5"/>
      <c r="R53" s="5"/>
      <c r="S53" s="5"/>
      <c r="T53" s="6"/>
      <c r="U53" s="45"/>
      <c r="V53" s="45"/>
    </row>
    <row r="54" spans="1:22" s="18" customFormat="1" ht="15" customHeight="1" x14ac:dyDescent="0.25">
      <c r="A54" s="65"/>
      <c r="B54" s="88"/>
      <c r="C54" s="7"/>
      <c r="D54" s="88"/>
      <c r="E54" s="3"/>
      <c r="F54" s="5"/>
      <c r="G54" s="5"/>
      <c r="H54" s="5"/>
      <c r="I54" s="25"/>
      <c r="J54" s="5"/>
      <c r="K54" s="5"/>
      <c r="L54" s="5"/>
      <c r="M54" s="5"/>
      <c r="N54" s="5"/>
      <c r="O54" s="25"/>
      <c r="P54" s="5"/>
      <c r="Q54" s="5"/>
      <c r="R54" s="5"/>
      <c r="S54" s="5"/>
      <c r="T54" s="6"/>
      <c r="U54" s="45"/>
      <c r="V54" s="45"/>
    </row>
    <row r="55" spans="1:22" s="18" customFormat="1" ht="15" customHeight="1" x14ac:dyDescent="0.25">
      <c r="A55" s="65"/>
      <c r="B55" s="88"/>
      <c r="C55" s="7"/>
      <c r="D55" s="88"/>
      <c r="E55" s="3"/>
      <c r="F55" s="5"/>
      <c r="G55" s="5"/>
      <c r="H55" s="5"/>
      <c r="I55" s="25"/>
      <c r="J55" s="5"/>
      <c r="K55" s="5"/>
      <c r="L55" s="5"/>
      <c r="M55" s="5"/>
      <c r="N55" s="5"/>
      <c r="O55" s="25"/>
      <c r="P55" s="5"/>
      <c r="Q55" s="5"/>
      <c r="R55" s="5"/>
      <c r="S55" s="5"/>
      <c r="T55" s="6"/>
      <c r="U55" s="45"/>
      <c r="V55" s="45"/>
    </row>
    <row r="56" spans="1:22" s="18" customFormat="1" ht="15" customHeight="1" x14ac:dyDescent="0.25">
      <c r="A56" s="65"/>
      <c r="B56" s="88"/>
      <c r="C56" s="7"/>
      <c r="D56" s="88"/>
      <c r="E56" s="3"/>
      <c r="F56" s="5"/>
      <c r="G56" s="5"/>
      <c r="H56" s="5"/>
      <c r="I56" s="25"/>
      <c r="J56" s="5"/>
      <c r="K56" s="5"/>
      <c r="L56" s="5"/>
      <c r="M56" s="5"/>
      <c r="N56" s="5"/>
      <c r="O56" s="25"/>
      <c r="P56" s="5"/>
      <c r="Q56" s="5"/>
      <c r="R56" s="5"/>
      <c r="S56" s="5"/>
      <c r="T56" s="6"/>
      <c r="U56" s="45"/>
      <c r="V56" s="45"/>
    </row>
    <row r="57" spans="1:22" s="18" customFormat="1" ht="15" customHeight="1" x14ac:dyDescent="0.25">
      <c r="A57" s="65"/>
      <c r="B57" s="88"/>
      <c r="C57" s="7"/>
      <c r="D57" s="88"/>
      <c r="E57" s="3"/>
      <c r="F57" s="5"/>
      <c r="G57" s="5"/>
      <c r="H57" s="5"/>
      <c r="I57" s="25"/>
      <c r="J57" s="5"/>
      <c r="K57" s="5"/>
      <c r="L57" s="5"/>
      <c r="M57" s="5"/>
      <c r="N57" s="5"/>
      <c r="O57" s="25"/>
      <c r="P57" s="5"/>
      <c r="Q57" s="5"/>
      <c r="R57" s="5"/>
      <c r="S57" s="5"/>
      <c r="T57" s="6"/>
      <c r="U57" s="45"/>
      <c r="V57" s="45"/>
    </row>
    <row r="58" spans="1:22" s="18" customFormat="1" ht="15" customHeight="1" x14ac:dyDescent="0.25">
      <c r="A58" s="65"/>
      <c r="B58" s="88"/>
      <c r="C58" s="7"/>
      <c r="D58" s="88"/>
      <c r="E58" s="3"/>
      <c r="F58" s="5"/>
      <c r="G58" s="5"/>
      <c r="H58" s="5"/>
      <c r="I58" s="25"/>
      <c r="J58" s="5"/>
      <c r="K58" s="5"/>
      <c r="L58" s="5"/>
      <c r="M58" s="5"/>
      <c r="N58" s="5"/>
      <c r="O58" s="25"/>
      <c r="P58" s="5"/>
      <c r="Q58" s="5"/>
      <c r="R58" s="5"/>
      <c r="S58" s="5"/>
      <c r="T58" s="6"/>
      <c r="U58" s="45"/>
      <c r="V58" s="45"/>
    </row>
    <row r="59" spans="1:22" s="18" customFormat="1" ht="15" customHeight="1" x14ac:dyDescent="0.25">
      <c r="A59" s="65"/>
      <c r="B59" s="88"/>
      <c r="C59" s="7"/>
      <c r="D59" s="88"/>
      <c r="E59" s="3"/>
      <c r="F59" s="5"/>
      <c r="G59" s="5"/>
      <c r="H59" s="5"/>
      <c r="I59" s="25"/>
      <c r="J59" s="5"/>
      <c r="K59" s="5"/>
      <c r="L59" s="5"/>
      <c r="M59" s="5"/>
      <c r="N59" s="5"/>
      <c r="O59" s="25"/>
      <c r="P59" s="5"/>
      <c r="Q59" s="5"/>
      <c r="R59" s="5"/>
      <c r="S59" s="5"/>
      <c r="T59" s="6"/>
      <c r="U59" s="45"/>
      <c r="V59" s="45"/>
    </row>
    <row r="60" spans="1:22" s="18" customFormat="1" ht="15" customHeight="1" x14ac:dyDescent="0.25">
      <c r="A60" s="65"/>
      <c r="B60" s="88"/>
      <c r="C60" s="7"/>
      <c r="D60" s="88"/>
      <c r="E60" s="3"/>
      <c r="F60" s="5"/>
      <c r="G60" s="5"/>
      <c r="H60" s="5"/>
      <c r="I60" s="25"/>
      <c r="J60" s="5"/>
      <c r="K60" s="5"/>
      <c r="L60" s="5"/>
      <c r="M60" s="5"/>
      <c r="N60" s="5"/>
      <c r="O60" s="25"/>
      <c r="P60" s="5"/>
      <c r="Q60" s="5"/>
      <c r="R60" s="5"/>
      <c r="S60" s="5"/>
      <c r="T60" s="6"/>
      <c r="U60" s="45"/>
      <c r="V60" s="45"/>
    </row>
    <row r="61" spans="1:22" s="18" customFormat="1" ht="15" customHeight="1" x14ac:dyDescent="0.25">
      <c r="A61" s="65"/>
      <c r="B61" s="88"/>
      <c r="C61" s="7"/>
      <c r="D61" s="88"/>
      <c r="E61" s="3"/>
      <c r="F61" s="5"/>
      <c r="G61" s="5"/>
      <c r="H61" s="5"/>
      <c r="I61" s="25"/>
      <c r="J61" s="5"/>
      <c r="K61" s="5"/>
      <c r="L61" s="5"/>
      <c r="M61" s="5"/>
      <c r="N61" s="5"/>
      <c r="O61" s="25"/>
      <c r="P61" s="5"/>
      <c r="Q61" s="5"/>
      <c r="R61" s="5"/>
      <c r="S61" s="5"/>
      <c r="T61" s="6"/>
      <c r="U61" s="45"/>
      <c r="V61" s="45"/>
    </row>
    <row r="62" spans="1:22" s="18" customFormat="1" ht="15" customHeight="1" x14ac:dyDescent="0.25">
      <c r="A62" s="65"/>
      <c r="B62" s="88"/>
      <c r="C62" s="7"/>
      <c r="D62" s="88"/>
      <c r="E62" s="3"/>
      <c r="F62" s="5"/>
      <c r="G62" s="5"/>
      <c r="H62" s="5"/>
      <c r="I62" s="25"/>
      <c r="J62" s="5"/>
      <c r="K62" s="5"/>
      <c r="L62" s="5"/>
      <c r="M62" s="5"/>
      <c r="N62" s="5"/>
      <c r="O62" s="25"/>
      <c r="P62" s="5"/>
      <c r="Q62" s="5"/>
      <c r="R62" s="5"/>
      <c r="S62" s="5"/>
      <c r="T62" s="6"/>
      <c r="U62" s="45"/>
      <c r="V62" s="45"/>
    </row>
    <row r="63" spans="1:22" s="18" customFormat="1" ht="15" customHeight="1" x14ac:dyDescent="0.25">
      <c r="A63" s="65"/>
      <c r="B63" s="88"/>
      <c r="C63" s="7"/>
      <c r="D63" s="88"/>
      <c r="E63" s="3"/>
      <c r="F63" s="5"/>
      <c r="G63" s="5"/>
      <c r="H63" s="5"/>
      <c r="I63" s="25"/>
      <c r="J63" s="5"/>
      <c r="K63" s="5"/>
      <c r="L63" s="5"/>
      <c r="M63" s="5"/>
      <c r="N63" s="5"/>
      <c r="O63" s="25"/>
      <c r="P63" s="5"/>
      <c r="Q63" s="5"/>
      <c r="R63" s="5"/>
      <c r="S63" s="5"/>
      <c r="T63" s="6"/>
      <c r="U63" s="45"/>
      <c r="V63" s="45"/>
    </row>
    <row r="64" spans="1:22" s="18" customFormat="1" ht="15" customHeight="1" x14ac:dyDescent="0.25">
      <c r="A64" s="65"/>
      <c r="B64" s="88"/>
      <c r="C64" s="7"/>
      <c r="D64" s="88"/>
      <c r="E64" s="3"/>
      <c r="F64" s="5"/>
      <c r="G64" s="5"/>
      <c r="H64" s="5"/>
      <c r="I64" s="25"/>
      <c r="J64" s="5"/>
      <c r="K64" s="5"/>
      <c r="L64" s="5"/>
      <c r="M64" s="5"/>
      <c r="N64" s="5"/>
      <c r="O64" s="25"/>
      <c r="P64" s="5"/>
      <c r="Q64" s="5"/>
      <c r="R64" s="5"/>
      <c r="S64" s="5"/>
      <c r="T64" s="6"/>
      <c r="U64" s="45"/>
      <c r="V64" s="45"/>
    </row>
    <row r="65" spans="1:22" s="18" customFormat="1" ht="15" customHeight="1" x14ac:dyDescent="0.25">
      <c r="A65" s="65"/>
      <c r="B65" s="88"/>
      <c r="C65" s="7"/>
      <c r="D65" s="88"/>
      <c r="E65" s="3"/>
      <c r="F65" s="5"/>
      <c r="G65" s="5"/>
      <c r="H65" s="5"/>
      <c r="I65" s="25"/>
      <c r="J65" s="5"/>
      <c r="K65" s="5"/>
      <c r="L65" s="5"/>
      <c r="M65" s="5"/>
      <c r="N65" s="5"/>
      <c r="O65" s="25"/>
      <c r="P65" s="5"/>
      <c r="Q65" s="5"/>
      <c r="R65" s="5"/>
      <c r="S65" s="5"/>
      <c r="T65" s="6"/>
      <c r="U65" s="45"/>
      <c r="V65" s="45"/>
    </row>
    <row r="66" spans="1:22" s="18" customFormat="1" ht="15" customHeight="1" x14ac:dyDescent="0.25">
      <c r="A66" s="65"/>
      <c r="B66" s="88"/>
      <c r="C66" s="7"/>
      <c r="D66" s="88"/>
      <c r="E66" s="3"/>
      <c r="F66" s="5"/>
      <c r="G66" s="5"/>
      <c r="H66" s="5"/>
      <c r="I66" s="25"/>
      <c r="J66" s="5"/>
      <c r="K66" s="5"/>
      <c r="L66" s="5"/>
      <c r="M66" s="5"/>
      <c r="N66" s="5"/>
      <c r="O66" s="25"/>
      <c r="P66" s="5"/>
      <c r="Q66" s="5"/>
      <c r="R66" s="5"/>
      <c r="S66" s="5"/>
      <c r="T66" s="6"/>
      <c r="U66" s="45"/>
      <c r="V66" s="45"/>
    </row>
    <row r="67" spans="1:22" s="18" customFormat="1" ht="15" customHeight="1" x14ac:dyDescent="0.25">
      <c r="A67" s="65"/>
      <c r="B67" s="88"/>
      <c r="C67" s="7"/>
      <c r="D67" s="88"/>
      <c r="E67" s="3"/>
      <c r="F67" s="5"/>
      <c r="G67" s="5"/>
      <c r="H67" s="5"/>
      <c r="I67" s="25"/>
      <c r="J67" s="5"/>
      <c r="K67" s="5"/>
      <c r="L67" s="5"/>
      <c r="M67" s="5"/>
      <c r="N67" s="5"/>
      <c r="O67" s="25"/>
      <c r="P67" s="5"/>
      <c r="Q67" s="5"/>
      <c r="R67" s="5"/>
      <c r="S67" s="5"/>
      <c r="T67" s="6"/>
      <c r="U67" s="45"/>
      <c r="V67" s="45"/>
    </row>
    <row r="68" spans="1:22" s="18" customFormat="1" ht="15" customHeight="1" x14ac:dyDescent="0.25">
      <c r="A68" s="65"/>
      <c r="B68" s="88"/>
      <c r="C68" s="7"/>
      <c r="D68" s="88"/>
      <c r="E68" s="3"/>
      <c r="F68" s="5"/>
      <c r="G68" s="5"/>
      <c r="H68" s="5"/>
      <c r="I68" s="25"/>
      <c r="J68" s="5"/>
      <c r="K68" s="5"/>
      <c r="L68" s="5"/>
      <c r="M68" s="5"/>
      <c r="N68" s="5"/>
      <c r="O68" s="25"/>
      <c r="P68" s="5"/>
      <c r="Q68" s="5"/>
      <c r="R68" s="5"/>
      <c r="S68" s="5"/>
      <c r="T68" s="6"/>
      <c r="U68" s="45"/>
      <c r="V68" s="45"/>
    </row>
    <row r="69" spans="1:22" s="18" customFormat="1" ht="15" customHeight="1" x14ac:dyDescent="0.25">
      <c r="A69" s="65"/>
      <c r="B69" s="88"/>
      <c r="C69" s="7"/>
      <c r="D69" s="88"/>
      <c r="E69" s="3"/>
      <c r="F69" s="5"/>
      <c r="G69" s="5"/>
      <c r="H69" s="5"/>
      <c r="I69" s="25"/>
      <c r="J69" s="5"/>
      <c r="K69" s="5"/>
      <c r="L69" s="5"/>
      <c r="M69" s="5"/>
      <c r="N69" s="5"/>
      <c r="O69" s="25"/>
      <c r="P69" s="5"/>
      <c r="Q69" s="5"/>
      <c r="R69" s="5"/>
      <c r="S69" s="5"/>
      <c r="T69" s="6"/>
      <c r="U69" s="45"/>
      <c r="V69" s="45"/>
    </row>
    <row r="70" spans="1:22" s="18" customFormat="1" ht="15" customHeight="1" x14ac:dyDescent="0.25">
      <c r="A70" s="65"/>
      <c r="B70" s="88"/>
      <c r="C70" s="7"/>
      <c r="D70" s="88"/>
      <c r="E70" s="3"/>
      <c r="F70" s="5"/>
      <c r="G70" s="5"/>
      <c r="H70" s="5"/>
      <c r="I70" s="25"/>
      <c r="J70" s="5"/>
      <c r="K70" s="5"/>
      <c r="L70" s="5"/>
      <c r="M70" s="5"/>
      <c r="N70" s="5"/>
      <c r="O70" s="25"/>
      <c r="P70" s="5"/>
      <c r="Q70" s="5"/>
      <c r="R70" s="5"/>
      <c r="S70" s="5"/>
      <c r="T70" s="6"/>
      <c r="U70" s="45"/>
      <c r="V70" s="45"/>
    </row>
    <row r="71" spans="1:22" s="18" customFormat="1" ht="15" customHeight="1" x14ac:dyDescent="0.25">
      <c r="A71" s="65"/>
      <c r="B71" s="88"/>
      <c r="C71" s="7"/>
      <c r="D71" s="88"/>
      <c r="E71" s="3"/>
      <c r="F71" s="5"/>
      <c r="G71" s="5"/>
      <c r="H71" s="5"/>
      <c r="I71" s="25"/>
      <c r="J71" s="5"/>
      <c r="K71" s="5"/>
      <c r="L71" s="5"/>
      <c r="M71" s="5"/>
      <c r="N71" s="5"/>
      <c r="O71" s="25"/>
      <c r="P71" s="5"/>
      <c r="Q71" s="5"/>
      <c r="R71" s="5"/>
      <c r="S71" s="5"/>
      <c r="T71" s="6"/>
      <c r="U71" s="45"/>
      <c r="V71" s="45"/>
    </row>
    <row r="72" spans="1:22" s="18" customFormat="1" ht="15" customHeight="1" x14ac:dyDescent="0.25">
      <c r="A72" s="65"/>
      <c r="B72" s="88"/>
      <c r="C72" s="7"/>
      <c r="D72" s="88"/>
      <c r="E72" s="3"/>
      <c r="F72" s="5"/>
      <c r="G72" s="5"/>
      <c r="H72" s="5"/>
      <c r="I72" s="25"/>
      <c r="J72" s="5"/>
      <c r="K72" s="5"/>
      <c r="L72" s="5"/>
      <c r="M72" s="5"/>
      <c r="N72" s="5"/>
      <c r="O72" s="25"/>
      <c r="P72" s="5"/>
      <c r="Q72" s="5"/>
      <c r="R72" s="5"/>
      <c r="S72" s="5"/>
      <c r="T72" s="6"/>
      <c r="U72" s="45"/>
      <c r="V72" s="45"/>
    </row>
    <row r="73" spans="1:22" s="18" customFormat="1" ht="15" customHeight="1" x14ac:dyDescent="0.25">
      <c r="A73" s="65"/>
      <c r="B73" s="88"/>
      <c r="C73" s="7"/>
      <c r="D73" s="88"/>
      <c r="E73" s="3"/>
      <c r="F73" s="5"/>
      <c r="G73" s="5"/>
      <c r="H73" s="5"/>
      <c r="I73" s="25"/>
      <c r="J73" s="5"/>
      <c r="K73" s="5"/>
      <c r="L73" s="5"/>
      <c r="M73" s="5"/>
      <c r="N73" s="5"/>
      <c r="O73" s="25"/>
      <c r="P73" s="5"/>
      <c r="Q73" s="5"/>
      <c r="R73" s="5"/>
      <c r="S73" s="5"/>
      <c r="T73" s="6"/>
      <c r="U73" s="45"/>
      <c r="V73" s="45"/>
    </row>
    <row r="74" spans="1:22" s="18" customFormat="1" ht="15" customHeight="1" x14ac:dyDescent="0.25">
      <c r="A74" s="65"/>
      <c r="B74" s="88"/>
      <c r="C74" s="7"/>
      <c r="D74" s="88"/>
      <c r="E74" s="3"/>
      <c r="F74" s="5"/>
      <c r="G74" s="5"/>
      <c r="H74" s="5"/>
      <c r="I74" s="25"/>
      <c r="J74" s="5"/>
      <c r="K74" s="5"/>
      <c r="L74" s="5"/>
      <c r="M74" s="5"/>
      <c r="N74" s="5"/>
      <c r="O74" s="25"/>
      <c r="P74" s="5"/>
      <c r="Q74" s="5"/>
      <c r="R74" s="5"/>
      <c r="S74" s="5"/>
      <c r="T74" s="6"/>
      <c r="U74" s="45"/>
      <c r="V74" s="45"/>
    </row>
    <row r="75" spans="1:22" s="18" customFormat="1" ht="15" customHeight="1" x14ac:dyDescent="0.25">
      <c r="A75" s="65"/>
      <c r="B75" s="88"/>
      <c r="C75" s="7"/>
      <c r="D75" s="88"/>
      <c r="E75" s="3"/>
      <c r="F75" s="5"/>
      <c r="G75" s="5"/>
      <c r="H75" s="5"/>
      <c r="I75" s="25"/>
      <c r="J75" s="5"/>
      <c r="K75" s="5"/>
      <c r="L75" s="5"/>
      <c r="M75" s="5"/>
      <c r="N75" s="5"/>
      <c r="O75" s="25"/>
      <c r="P75" s="5"/>
      <c r="Q75" s="5"/>
      <c r="R75" s="5"/>
      <c r="S75" s="5"/>
      <c r="T75" s="6"/>
      <c r="U75" s="45"/>
      <c r="V75" s="45"/>
    </row>
    <row r="76" spans="1:22" s="18" customFormat="1" ht="15" customHeight="1" x14ac:dyDescent="0.25">
      <c r="A76" s="65"/>
      <c r="B76" s="88"/>
      <c r="C76" s="7"/>
      <c r="D76" s="88"/>
      <c r="E76" s="3"/>
      <c r="F76" s="5"/>
      <c r="G76" s="5"/>
      <c r="H76" s="5"/>
      <c r="I76" s="25"/>
      <c r="J76" s="5"/>
      <c r="K76" s="5"/>
      <c r="L76" s="5"/>
      <c r="M76" s="5"/>
      <c r="N76" s="5"/>
      <c r="O76" s="25"/>
      <c r="P76" s="5"/>
      <c r="Q76" s="5"/>
      <c r="R76" s="5"/>
      <c r="S76" s="5"/>
      <c r="T76" s="6"/>
      <c r="U76" s="45"/>
      <c r="V76" s="45"/>
    </row>
    <row r="77" spans="1:22" s="18" customFormat="1" ht="15" customHeight="1" x14ac:dyDescent="0.25">
      <c r="A77" s="65"/>
      <c r="B77" s="88"/>
      <c r="C77" s="7"/>
      <c r="D77" s="88"/>
      <c r="E77" s="3"/>
      <c r="F77" s="5"/>
      <c r="G77" s="5"/>
      <c r="H77" s="5"/>
      <c r="I77" s="25"/>
      <c r="J77" s="5"/>
      <c r="K77" s="5"/>
      <c r="L77" s="5"/>
      <c r="M77" s="5"/>
      <c r="N77" s="5"/>
      <c r="O77" s="25"/>
      <c r="P77" s="5"/>
      <c r="Q77" s="5"/>
      <c r="R77" s="5"/>
      <c r="S77" s="5"/>
      <c r="T77" s="6"/>
      <c r="U77" s="45"/>
      <c r="V77" s="45"/>
    </row>
    <row r="78" spans="1:22" s="18" customFormat="1" ht="15" customHeight="1" x14ac:dyDescent="0.25">
      <c r="A78" s="65"/>
      <c r="B78" s="88"/>
      <c r="C78" s="7"/>
      <c r="D78" s="88"/>
      <c r="E78" s="3"/>
      <c r="F78" s="5"/>
      <c r="G78" s="5"/>
      <c r="H78" s="5"/>
      <c r="I78" s="25"/>
      <c r="J78" s="5"/>
      <c r="K78" s="5"/>
      <c r="L78" s="5"/>
      <c r="M78" s="5"/>
      <c r="N78" s="5"/>
      <c r="O78" s="25"/>
      <c r="P78" s="5"/>
      <c r="Q78" s="5"/>
      <c r="R78" s="5"/>
      <c r="S78" s="5"/>
      <c r="T78" s="6"/>
      <c r="U78" s="45"/>
      <c r="V78" s="45"/>
    </row>
    <row r="79" spans="1:22" ht="15" customHeight="1" x14ac:dyDescent="0.25">
      <c r="A79" s="65"/>
    </row>
    <row r="80" spans="1:22" ht="15" customHeight="1" x14ac:dyDescent="0.25">
      <c r="A80" s="65"/>
    </row>
    <row r="81" spans="1:20" ht="15" customHeight="1" x14ac:dyDescent="0.25">
      <c r="A81" s="65"/>
    </row>
    <row r="82" spans="1:20" ht="15" customHeight="1" x14ac:dyDescent="0.25">
      <c r="A82" s="65"/>
    </row>
    <row r="83" spans="1:20" ht="15" customHeight="1" x14ac:dyDescent="0.25">
      <c r="A83" s="65"/>
    </row>
    <row r="84" spans="1:20" ht="15" customHeight="1" x14ac:dyDescent="0.25">
      <c r="A84" s="65"/>
    </row>
    <row r="85" spans="1:20" ht="15" customHeight="1" x14ac:dyDescent="0.25">
      <c r="A85" s="65"/>
    </row>
    <row r="86" spans="1:20" ht="15" customHeight="1" x14ac:dyDescent="0.25">
      <c r="A86" s="65"/>
    </row>
    <row r="87" spans="1:20" ht="15" customHeight="1" x14ac:dyDescent="0.25">
      <c r="A87" s="65"/>
    </row>
    <row r="88" spans="1:20" ht="15" customHeight="1" x14ac:dyDescent="0.25">
      <c r="A88" s="65"/>
      <c r="G88"/>
      <c r="J88"/>
      <c r="K88"/>
      <c r="L88"/>
      <c r="M88"/>
      <c r="N88"/>
      <c r="P88"/>
      <c r="Q88"/>
      <c r="R88"/>
      <c r="S88"/>
      <c r="T88"/>
    </row>
    <row r="89" spans="1:20" ht="15" customHeight="1" x14ac:dyDescent="0.25">
      <c r="A89" s="65"/>
      <c r="G89"/>
      <c r="H89"/>
      <c r="J89"/>
      <c r="K89"/>
      <c r="L89"/>
      <c r="M89"/>
      <c r="N89"/>
      <c r="P89"/>
      <c r="Q89"/>
      <c r="R89"/>
      <c r="S89"/>
      <c r="T89"/>
    </row>
    <row r="90" spans="1:20" ht="15" customHeight="1" x14ac:dyDescent="0.25">
      <c r="A90" s="65"/>
      <c r="G90"/>
      <c r="H90"/>
      <c r="J90"/>
      <c r="K90"/>
      <c r="L90"/>
      <c r="M90"/>
      <c r="N90"/>
      <c r="P90"/>
      <c r="Q90"/>
      <c r="R90"/>
      <c r="S90"/>
      <c r="T90"/>
    </row>
    <row r="91" spans="1:20" ht="15" customHeight="1" x14ac:dyDescent="0.25">
      <c r="A91" s="65"/>
      <c r="G91"/>
      <c r="H91"/>
      <c r="J91"/>
      <c r="K91"/>
      <c r="L91"/>
      <c r="M91"/>
      <c r="N91"/>
      <c r="P91"/>
      <c r="Q91"/>
      <c r="R91"/>
      <c r="S91"/>
      <c r="T91"/>
    </row>
    <row r="92" spans="1:20" ht="15" customHeight="1" x14ac:dyDescent="0.25">
      <c r="A92" s="65"/>
      <c r="G92"/>
      <c r="H92"/>
      <c r="J92"/>
      <c r="K92"/>
      <c r="L92"/>
      <c r="M92"/>
      <c r="N92"/>
      <c r="P92"/>
      <c r="Q92"/>
      <c r="R92"/>
      <c r="S92"/>
      <c r="T92"/>
    </row>
    <row r="93" spans="1:20" ht="15" customHeight="1" x14ac:dyDescent="0.25">
      <c r="A93" s="65"/>
      <c r="G93"/>
      <c r="H93"/>
      <c r="J93"/>
      <c r="K93"/>
      <c r="L93"/>
      <c r="M93"/>
      <c r="N93"/>
      <c r="P93"/>
      <c r="Q93"/>
      <c r="R93"/>
      <c r="S93"/>
      <c r="T93"/>
    </row>
    <row r="94" spans="1:20" ht="15" customHeight="1" x14ac:dyDescent="0.25">
      <c r="A94" s="65"/>
      <c r="G94"/>
      <c r="H94"/>
      <c r="J94"/>
      <c r="K94"/>
      <c r="L94"/>
      <c r="M94"/>
      <c r="N94"/>
      <c r="P94"/>
      <c r="Q94"/>
      <c r="R94"/>
      <c r="S94"/>
      <c r="T94"/>
    </row>
    <row r="95" spans="1:20" ht="15" customHeight="1" x14ac:dyDescent="0.25">
      <c r="A95" s="65"/>
      <c r="G95"/>
      <c r="H95"/>
      <c r="J95"/>
      <c r="K95"/>
      <c r="L95"/>
      <c r="M95"/>
      <c r="N95"/>
      <c r="P95"/>
      <c r="Q95"/>
      <c r="R95"/>
      <c r="S95"/>
      <c r="T95"/>
    </row>
    <row r="96" spans="1:20" ht="15" customHeight="1" x14ac:dyDescent="0.25">
      <c r="A96" s="65"/>
      <c r="G96"/>
      <c r="H96"/>
      <c r="J96"/>
      <c r="K96"/>
      <c r="L96"/>
      <c r="M96"/>
      <c r="N96"/>
      <c r="P96"/>
      <c r="Q96"/>
      <c r="R96"/>
      <c r="S96"/>
      <c r="T96"/>
    </row>
    <row r="97" spans="1:22" ht="15" customHeight="1" x14ac:dyDescent="0.25">
      <c r="A97" s="65"/>
      <c r="G97"/>
      <c r="H97"/>
      <c r="J97"/>
      <c r="K97"/>
      <c r="L97"/>
      <c r="M97"/>
      <c r="N97"/>
      <c r="P97"/>
      <c r="Q97"/>
      <c r="R97"/>
      <c r="S97"/>
      <c r="T97"/>
    </row>
    <row r="98" spans="1:22" ht="15" customHeight="1" x14ac:dyDescent="0.25">
      <c r="A98" s="65"/>
      <c r="G98"/>
      <c r="H98"/>
      <c r="J98"/>
      <c r="K98"/>
      <c r="L98"/>
      <c r="M98"/>
      <c r="N98"/>
      <c r="P98"/>
      <c r="Q98"/>
      <c r="R98"/>
      <c r="S98"/>
      <c r="T98"/>
      <c r="U98" s="46"/>
      <c r="V98" s="46"/>
    </row>
    <row r="99" spans="1:22" ht="15" customHeight="1" x14ac:dyDescent="0.25">
      <c r="A99" s="17"/>
      <c r="G99"/>
      <c r="H99"/>
      <c r="J99"/>
      <c r="K99"/>
      <c r="L99"/>
      <c r="M99"/>
      <c r="N99"/>
      <c r="P99"/>
      <c r="Q99"/>
      <c r="R99"/>
      <c r="S99"/>
      <c r="T99"/>
      <c r="U99" s="46"/>
      <c r="V99" s="46"/>
    </row>
    <row r="100" spans="1:22" ht="15" customHeight="1" x14ac:dyDescent="0.25">
      <c r="A100" s="17"/>
      <c r="G100"/>
      <c r="H100"/>
      <c r="J100"/>
      <c r="K100"/>
      <c r="L100"/>
      <c r="M100"/>
      <c r="N100"/>
      <c r="P100"/>
      <c r="Q100"/>
      <c r="R100"/>
      <c r="S100"/>
      <c r="T100"/>
      <c r="U100" s="46"/>
      <c r="V100" s="46"/>
    </row>
    <row r="101" spans="1:22" ht="15" customHeight="1" x14ac:dyDescent="0.25">
      <c r="A101" s="17"/>
      <c r="G101"/>
      <c r="H101"/>
      <c r="J101"/>
      <c r="K101"/>
      <c r="L101"/>
      <c r="M101"/>
      <c r="N101"/>
      <c r="P101"/>
      <c r="Q101"/>
      <c r="R101"/>
      <c r="S101"/>
      <c r="T101"/>
      <c r="U101" s="46"/>
      <c r="V101" s="46"/>
    </row>
    <row r="102" spans="1:22" ht="15" customHeight="1" x14ac:dyDescent="0.25">
      <c r="A102" s="17"/>
      <c r="G102"/>
      <c r="H102"/>
      <c r="J102"/>
      <c r="K102"/>
      <c r="L102"/>
      <c r="M102"/>
      <c r="N102"/>
      <c r="P102"/>
      <c r="Q102"/>
      <c r="R102"/>
      <c r="S102"/>
      <c r="T102"/>
      <c r="U102" s="46"/>
      <c r="V102" s="46"/>
    </row>
    <row r="103" spans="1:22" ht="15" customHeight="1" x14ac:dyDescent="0.25">
      <c r="A103" s="17"/>
      <c r="G103"/>
      <c r="H103"/>
      <c r="J103"/>
      <c r="K103"/>
      <c r="L103"/>
      <c r="M103"/>
      <c r="N103"/>
      <c r="P103"/>
      <c r="Q103"/>
      <c r="R103"/>
      <c r="S103"/>
      <c r="T103"/>
      <c r="U103" s="46"/>
      <c r="V103" s="46"/>
    </row>
    <row r="104" spans="1:22" ht="15" customHeight="1" x14ac:dyDescent="0.25">
      <c r="A104" s="17"/>
      <c r="G104"/>
      <c r="H104"/>
      <c r="J104"/>
      <c r="K104"/>
      <c r="L104"/>
      <c r="M104"/>
      <c r="N104"/>
      <c r="P104"/>
      <c r="Q104"/>
      <c r="R104"/>
      <c r="S104"/>
      <c r="T104"/>
      <c r="U104" s="46"/>
      <c r="V104" s="46"/>
    </row>
    <row r="105" spans="1:22" ht="15" customHeight="1" x14ac:dyDescent="0.25">
      <c r="A105" s="17"/>
      <c r="G105"/>
      <c r="H105"/>
      <c r="J105"/>
      <c r="K105"/>
      <c r="L105"/>
      <c r="M105"/>
      <c r="N105"/>
      <c r="P105"/>
      <c r="Q105"/>
      <c r="R105"/>
      <c r="S105"/>
      <c r="T105"/>
      <c r="U105" s="46"/>
      <c r="V105" s="46"/>
    </row>
    <row r="106" spans="1:22" ht="15" customHeight="1" x14ac:dyDescent="0.25">
      <c r="A106" s="17"/>
      <c r="G106"/>
      <c r="H106"/>
      <c r="J106"/>
      <c r="K106"/>
      <c r="L106"/>
      <c r="M106"/>
      <c r="N106"/>
      <c r="P106"/>
      <c r="Q106"/>
      <c r="R106"/>
      <c r="S106"/>
      <c r="T106"/>
      <c r="U106" s="46"/>
      <c r="V106" s="46"/>
    </row>
    <row r="107" spans="1:22" ht="15" customHeight="1" x14ac:dyDescent="0.25">
      <c r="A107" s="17"/>
      <c r="G107"/>
      <c r="H107"/>
      <c r="J107"/>
      <c r="K107"/>
      <c r="L107"/>
      <c r="M107"/>
      <c r="N107"/>
      <c r="P107"/>
      <c r="Q107"/>
      <c r="R107"/>
      <c r="S107"/>
      <c r="T107"/>
      <c r="U107" s="46"/>
      <c r="V107" s="46"/>
    </row>
    <row r="108" spans="1:22" ht="15" customHeight="1" x14ac:dyDescent="0.25">
      <c r="A108" s="17"/>
      <c r="G108"/>
      <c r="H108"/>
      <c r="J108"/>
      <c r="K108"/>
      <c r="L108"/>
      <c r="M108"/>
      <c r="N108"/>
      <c r="P108"/>
      <c r="Q108"/>
      <c r="R108"/>
      <c r="S108"/>
      <c r="T108"/>
      <c r="U108" s="46"/>
      <c r="V108" s="46"/>
    </row>
    <row r="109" spans="1:22" ht="15" customHeight="1" x14ac:dyDescent="0.25">
      <c r="A109" s="17"/>
      <c r="G109"/>
      <c r="H109"/>
      <c r="J109"/>
      <c r="K109"/>
      <c r="L109"/>
      <c r="M109"/>
      <c r="N109"/>
      <c r="P109"/>
      <c r="Q109"/>
      <c r="R109"/>
      <c r="S109"/>
      <c r="T109"/>
      <c r="U109" s="46"/>
      <c r="V109" s="46"/>
    </row>
    <row r="110" spans="1:22" ht="15" customHeight="1" x14ac:dyDescent="0.25">
      <c r="A110" s="17"/>
      <c r="G110"/>
      <c r="H110"/>
      <c r="J110"/>
      <c r="K110"/>
      <c r="L110"/>
      <c r="M110"/>
      <c r="N110"/>
      <c r="P110"/>
      <c r="Q110"/>
      <c r="R110"/>
      <c r="S110"/>
      <c r="T110"/>
      <c r="U110" s="46"/>
      <c r="V110" s="46"/>
    </row>
    <row r="111" spans="1:22" ht="15" customHeight="1" x14ac:dyDescent="0.25">
      <c r="A111" s="17"/>
      <c r="G111"/>
      <c r="H111"/>
      <c r="J111"/>
      <c r="K111"/>
      <c r="L111"/>
      <c r="M111"/>
      <c r="N111"/>
      <c r="P111"/>
      <c r="Q111"/>
      <c r="R111"/>
      <c r="S111"/>
      <c r="T111"/>
      <c r="U111" s="46"/>
      <c r="V111" s="46"/>
    </row>
    <row r="112" spans="1:22" ht="15" customHeight="1" x14ac:dyDescent="0.25">
      <c r="A112" s="17"/>
      <c r="G112"/>
      <c r="H112"/>
      <c r="J112"/>
      <c r="K112"/>
      <c r="L112"/>
      <c r="M112"/>
      <c r="N112"/>
      <c r="P112"/>
      <c r="Q112"/>
      <c r="R112"/>
      <c r="S112"/>
      <c r="T112"/>
      <c r="U112" s="46"/>
      <c r="V112" s="46"/>
    </row>
    <row r="113" spans="1:22" ht="15" customHeight="1" x14ac:dyDescent="0.25">
      <c r="A113" s="17"/>
      <c r="G113"/>
      <c r="H113"/>
      <c r="J113"/>
      <c r="K113"/>
      <c r="L113"/>
      <c r="M113"/>
      <c r="N113"/>
      <c r="P113"/>
      <c r="Q113"/>
      <c r="R113"/>
      <c r="S113"/>
      <c r="T113"/>
      <c r="U113" s="46"/>
      <c r="V113" s="46"/>
    </row>
    <row r="114" spans="1:22" ht="15" customHeight="1" x14ac:dyDescent="0.25">
      <c r="A114" s="17"/>
      <c r="G114"/>
      <c r="H114"/>
      <c r="J114"/>
      <c r="K114"/>
      <c r="L114"/>
      <c r="M114"/>
      <c r="N114"/>
      <c r="P114"/>
      <c r="Q114"/>
      <c r="R114"/>
      <c r="S114"/>
      <c r="T114"/>
      <c r="U114" s="46"/>
      <c r="V114" s="46"/>
    </row>
    <row r="115" spans="1:22" ht="15" customHeight="1" x14ac:dyDescent="0.25">
      <c r="A115" s="17"/>
      <c r="G115"/>
      <c r="H115"/>
      <c r="J115"/>
      <c r="K115"/>
      <c r="L115"/>
      <c r="M115"/>
      <c r="N115"/>
      <c r="P115"/>
      <c r="Q115"/>
      <c r="R115"/>
      <c r="S115"/>
      <c r="T115"/>
      <c r="U115" s="46"/>
      <c r="V115" s="46"/>
    </row>
    <row r="116" spans="1:22" ht="15" customHeight="1" x14ac:dyDescent="0.25">
      <c r="A116" s="17"/>
      <c r="G116"/>
      <c r="H116"/>
      <c r="J116"/>
      <c r="K116"/>
      <c r="L116"/>
      <c r="M116"/>
      <c r="N116"/>
      <c r="P116"/>
      <c r="Q116"/>
      <c r="R116"/>
      <c r="S116"/>
      <c r="T116"/>
      <c r="U116" s="46"/>
      <c r="V116" s="46"/>
    </row>
    <row r="117" spans="1:22" ht="15" customHeight="1" x14ac:dyDescent="0.25">
      <c r="A117" s="17"/>
      <c r="G117"/>
      <c r="H117"/>
      <c r="J117"/>
      <c r="K117"/>
      <c r="L117"/>
      <c r="M117"/>
      <c r="N117"/>
      <c r="P117"/>
      <c r="Q117"/>
      <c r="R117"/>
      <c r="S117"/>
      <c r="T117"/>
      <c r="U117" s="46"/>
      <c r="V117" s="46"/>
    </row>
    <row r="118" spans="1:22" ht="15" customHeight="1" x14ac:dyDescent="0.25">
      <c r="A118" s="17"/>
      <c r="G118"/>
      <c r="H118"/>
      <c r="J118"/>
      <c r="K118"/>
      <c r="L118"/>
      <c r="M118"/>
      <c r="N118"/>
      <c r="P118"/>
      <c r="Q118"/>
      <c r="R118"/>
      <c r="S118"/>
      <c r="T118"/>
      <c r="U118" s="46"/>
      <c r="V118" s="46"/>
    </row>
    <row r="119" spans="1:22" ht="15" customHeight="1" x14ac:dyDescent="0.25">
      <c r="A119" s="17"/>
      <c r="G119"/>
      <c r="H119"/>
      <c r="J119"/>
      <c r="K119"/>
      <c r="L119"/>
      <c r="M119"/>
      <c r="N119"/>
      <c r="P119"/>
      <c r="Q119"/>
      <c r="R119"/>
      <c r="S119"/>
      <c r="T119"/>
      <c r="U119" s="46"/>
      <c r="V119" s="46"/>
    </row>
    <row r="120" spans="1:22" ht="15" customHeight="1" x14ac:dyDescent="0.25">
      <c r="A120" s="17"/>
      <c r="G120"/>
      <c r="H120"/>
      <c r="J120"/>
      <c r="K120"/>
      <c r="L120"/>
      <c r="M120"/>
      <c r="N120"/>
      <c r="P120"/>
      <c r="Q120"/>
      <c r="R120"/>
      <c r="S120"/>
      <c r="T120"/>
      <c r="U120" s="46"/>
      <c r="V120" s="46"/>
    </row>
    <row r="121" spans="1:22" ht="15" customHeight="1" x14ac:dyDescent="0.25">
      <c r="A121" s="17"/>
      <c r="G121"/>
      <c r="H121"/>
      <c r="J121"/>
      <c r="K121"/>
      <c r="L121"/>
      <c r="M121"/>
      <c r="N121"/>
      <c r="P121"/>
      <c r="Q121"/>
      <c r="R121"/>
      <c r="S121"/>
      <c r="T121"/>
      <c r="U121" s="46"/>
      <c r="V121" s="46"/>
    </row>
    <row r="122" spans="1:22" ht="15" customHeight="1" x14ac:dyDescent="0.25">
      <c r="A122" s="17"/>
      <c r="G122"/>
      <c r="H122"/>
      <c r="J122"/>
      <c r="K122"/>
      <c r="L122"/>
      <c r="M122"/>
      <c r="N122"/>
      <c r="P122"/>
      <c r="Q122"/>
      <c r="R122"/>
      <c r="S122"/>
      <c r="T122"/>
      <c r="U122" s="46"/>
      <c r="V122" s="46"/>
    </row>
    <row r="123" spans="1:22" ht="15" customHeight="1" x14ac:dyDescent="0.25">
      <c r="A123" s="17"/>
      <c r="G123"/>
      <c r="H123"/>
      <c r="J123"/>
      <c r="K123"/>
      <c r="L123"/>
      <c r="M123"/>
      <c r="N123"/>
      <c r="P123"/>
      <c r="Q123"/>
      <c r="R123"/>
      <c r="S123"/>
      <c r="T123"/>
      <c r="U123" s="46"/>
      <c r="V123" s="46"/>
    </row>
    <row r="124" spans="1:22" ht="15" customHeight="1" x14ac:dyDescent="0.25">
      <c r="A124" s="17"/>
      <c r="G124"/>
      <c r="H124"/>
      <c r="J124"/>
      <c r="K124"/>
      <c r="L124"/>
      <c r="M124"/>
      <c r="N124"/>
      <c r="P124"/>
      <c r="Q124"/>
      <c r="R124"/>
      <c r="S124"/>
      <c r="T124"/>
      <c r="U124" s="46"/>
      <c r="V124" s="46"/>
    </row>
    <row r="125" spans="1:22" ht="15" customHeight="1" x14ac:dyDescent="0.25">
      <c r="A125" s="17"/>
      <c r="G125"/>
      <c r="H125"/>
      <c r="J125"/>
      <c r="K125"/>
      <c r="L125"/>
      <c r="M125"/>
      <c r="N125"/>
      <c r="P125"/>
      <c r="Q125"/>
      <c r="R125"/>
      <c r="S125"/>
      <c r="T125"/>
      <c r="U125" s="46"/>
      <c r="V125" s="46"/>
    </row>
    <row r="126" spans="1:22" ht="15" customHeight="1" x14ac:dyDescent="0.25">
      <c r="A126" s="17"/>
      <c r="G126"/>
      <c r="H126"/>
      <c r="J126"/>
      <c r="K126"/>
      <c r="L126"/>
      <c r="M126"/>
      <c r="N126"/>
      <c r="P126"/>
      <c r="Q126"/>
      <c r="R126"/>
      <c r="S126"/>
      <c r="T126"/>
      <c r="U126" s="46"/>
      <c r="V126" s="46"/>
    </row>
    <row r="127" spans="1:22" ht="15" customHeight="1" x14ac:dyDescent="0.25">
      <c r="A127" s="17"/>
      <c r="G127"/>
      <c r="H127"/>
      <c r="J127"/>
      <c r="K127"/>
      <c r="L127"/>
      <c r="M127"/>
      <c r="N127"/>
      <c r="P127"/>
      <c r="Q127"/>
      <c r="R127"/>
      <c r="S127"/>
      <c r="T127"/>
      <c r="U127" s="46"/>
      <c r="V127" s="46"/>
    </row>
    <row r="128" spans="1:22" ht="15" customHeight="1" x14ac:dyDescent="0.25">
      <c r="A128" s="17"/>
      <c r="G128"/>
      <c r="H128"/>
      <c r="J128"/>
      <c r="K128"/>
      <c r="L128"/>
      <c r="M128"/>
      <c r="N128"/>
      <c r="P128"/>
      <c r="Q128"/>
      <c r="R128"/>
      <c r="S128"/>
      <c r="T128"/>
      <c r="U128" s="46"/>
      <c r="V128" s="46"/>
    </row>
    <row r="129" spans="1:22" ht="15" customHeight="1" x14ac:dyDescent="0.25">
      <c r="A129" s="17"/>
      <c r="G129"/>
      <c r="H129"/>
      <c r="J129"/>
      <c r="K129"/>
      <c r="L129"/>
      <c r="M129"/>
      <c r="N129"/>
      <c r="P129"/>
      <c r="Q129"/>
      <c r="R129"/>
      <c r="S129"/>
      <c r="T129"/>
      <c r="U129" s="46"/>
      <c r="V129" s="46"/>
    </row>
    <row r="130" spans="1:22" ht="15" customHeight="1" x14ac:dyDescent="0.25">
      <c r="A130" s="17"/>
      <c r="G130"/>
      <c r="H130"/>
      <c r="J130"/>
      <c r="K130"/>
      <c r="L130"/>
      <c r="M130"/>
      <c r="N130"/>
      <c r="P130"/>
      <c r="Q130"/>
      <c r="R130"/>
      <c r="S130"/>
      <c r="T130"/>
      <c r="U130" s="46"/>
      <c r="V130" s="46"/>
    </row>
    <row r="131" spans="1:22" ht="15" customHeight="1" x14ac:dyDescent="0.25">
      <c r="A131" s="17"/>
      <c r="G131"/>
      <c r="H131"/>
      <c r="J131"/>
      <c r="K131"/>
      <c r="L131"/>
      <c r="M131"/>
      <c r="N131"/>
      <c r="P131"/>
      <c r="Q131"/>
      <c r="R131"/>
      <c r="S131"/>
      <c r="T131"/>
      <c r="U131" s="46"/>
      <c r="V131" s="46"/>
    </row>
    <row r="132" spans="1:22" ht="15" customHeight="1" x14ac:dyDescent="0.25">
      <c r="A132" s="17"/>
      <c r="G132"/>
      <c r="H132"/>
      <c r="J132"/>
      <c r="K132"/>
      <c r="L132"/>
      <c r="M132"/>
      <c r="N132"/>
      <c r="P132"/>
      <c r="Q132"/>
      <c r="R132"/>
      <c r="S132"/>
      <c r="T132"/>
      <c r="U132" s="46"/>
      <c r="V132" s="46"/>
    </row>
    <row r="133" spans="1:22" ht="15" customHeight="1" x14ac:dyDescent="0.25">
      <c r="A133" s="17"/>
      <c r="G133"/>
      <c r="H133"/>
      <c r="J133"/>
      <c r="K133"/>
      <c r="L133"/>
      <c r="M133"/>
      <c r="N133"/>
      <c r="P133"/>
      <c r="Q133"/>
      <c r="R133"/>
      <c r="S133"/>
      <c r="T133"/>
      <c r="U133" s="46"/>
      <c r="V133" s="46"/>
    </row>
    <row r="134" spans="1:22" ht="15" customHeight="1" x14ac:dyDescent="0.25">
      <c r="A134" s="17"/>
      <c r="G134"/>
      <c r="H134"/>
      <c r="J134"/>
      <c r="K134"/>
      <c r="L134"/>
      <c r="M134"/>
      <c r="N134"/>
      <c r="P134"/>
      <c r="Q134"/>
      <c r="R134"/>
      <c r="S134"/>
      <c r="T134"/>
      <c r="U134" s="46"/>
      <c r="V134" s="46"/>
    </row>
    <row r="135" spans="1:22" ht="15" customHeight="1" x14ac:dyDescent="0.25">
      <c r="A135" s="17"/>
      <c r="G135"/>
      <c r="H135"/>
      <c r="J135"/>
      <c r="K135"/>
      <c r="L135"/>
      <c r="M135"/>
      <c r="N135"/>
      <c r="P135"/>
      <c r="Q135"/>
      <c r="R135"/>
      <c r="S135"/>
      <c r="T135"/>
      <c r="U135" s="46"/>
      <c r="V135" s="46"/>
    </row>
    <row r="136" spans="1:22" ht="15" customHeight="1" x14ac:dyDescent="0.25">
      <c r="A136" s="17"/>
      <c r="G136"/>
      <c r="H136"/>
      <c r="J136"/>
      <c r="K136"/>
      <c r="L136"/>
      <c r="M136"/>
      <c r="N136"/>
      <c r="P136"/>
      <c r="Q136"/>
      <c r="R136"/>
      <c r="S136"/>
      <c r="T136"/>
      <c r="U136" s="46"/>
      <c r="V136" s="46"/>
    </row>
    <row r="137" spans="1:22" ht="15" customHeight="1" x14ac:dyDescent="0.25">
      <c r="A137" s="17"/>
      <c r="G137"/>
      <c r="H137"/>
      <c r="J137"/>
      <c r="K137"/>
      <c r="L137"/>
      <c r="M137"/>
      <c r="N137"/>
      <c r="P137"/>
      <c r="Q137"/>
      <c r="R137"/>
      <c r="S137"/>
      <c r="T137"/>
      <c r="U137" s="46"/>
      <c r="V137" s="46"/>
    </row>
    <row r="138" spans="1:22" ht="15" customHeight="1" x14ac:dyDescent="0.25">
      <c r="A138" s="17"/>
      <c r="G138"/>
      <c r="H138"/>
      <c r="J138"/>
      <c r="K138"/>
      <c r="L138"/>
      <c r="M138"/>
      <c r="N138"/>
      <c r="P138"/>
      <c r="Q138"/>
      <c r="R138"/>
      <c r="S138"/>
      <c r="T138"/>
      <c r="U138" s="46"/>
      <c r="V138" s="46"/>
    </row>
    <row r="139" spans="1:22" ht="15" customHeight="1" x14ac:dyDescent="0.25">
      <c r="A139" s="17"/>
      <c r="G139"/>
      <c r="H139"/>
      <c r="J139"/>
      <c r="K139"/>
      <c r="L139"/>
      <c r="M139"/>
      <c r="N139"/>
      <c r="P139"/>
      <c r="Q139"/>
      <c r="R139"/>
      <c r="S139"/>
      <c r="T139"/>
      <c r="U139" s="46"/>
      <c r="V139" s="46"/>
    </row>
    <row r="140" spans="1:22" ht="15" customHeight="1" x14ac:dyDescent="0.25">
      <c r="A140" s="17"/>
      <c r="G140"/>
      <c r="H140"/>
      <c r="J140"/>
      <c r="K140"/>
      <c r="L140"/>
      <c r="M140"/>
      <c r="N140"/>
      <c r="P140"/>
      <c r="Q140"/>
      <c r="R140"/>
      <c r="S140"/>
      <c r="T140"/>
      <c r="U140" s="46"/>
      <c r="V140" s="46"/>
    </row>
    <row r="141" spans="1:22" ht="15" customHeight="1" x14ac:dyDescent="0.25">
      <c r="A141" s="17"/>
      <c r="G141"/>
      <c r="H141"/>
      <c r="J141"/>
      <c r="K141"/>
      <c r="L141"/>
      <c r="M141"/>
      <c r="N141"/>
      <c r="P141"/>
      <c r="Q141"/>
      <c r="R141"/>
      <c r="S141"/>
      <c r="T141"/>
      <c r="U141" s="46"/>
      <c r="V141" s="46"/>
    </row>
    <row r="142" spans="1:22" ht="15" customHeight="1" x14ac:dyDescent="0.25">
      <c r="A142" s="17"/>
      <c r="G142"/>
      <c r="H142"/>
      <c r="J142"/>
      <c r="K142"/>
      <c r="L142"/>
      <c r="M142"/>
      <c r="N142"/>
      <c r="P142"/>
      <c r="Q142"/>
      <c r="R142"/>
      <c r="S142"/>
      <c r="T142"/>
      <c r="U142" s="46"/>
      <c r="V142" s="46"/>
    </row>
    <row r="143" spans="1:22" ht="15" customHeight="1" x14ac:dyDescent="0.25">
      <c r="A143" s="17"/>
      <c r="G143"/>
      <c r="H143"/>
      <c r="J143"/>
      <c r="K143"/>
      <c r="L143"/>
      <c r="M143"/>
      <c r="N143"/>
      <c r="P143"/>
      <c r="Q143"/>
      <c r="R143"/>
      <c r="S143"/>
      <c r="T143"/>
      <c r="U143" s="46"/>
      <c r="V143" s="46"/>
    </row>
    <row r="144" spans="1:22" ht="15" customHeight="1" x14ac:dyDescent="0.25">
      <c r="A144" s="17"/>
      <c r="G144"/>
      <c r="H144"/>
      <c r="J144"/>
      <c r="K144"/>
      <c r="L144"/>
      <c r="M144"/>
      <c r="N144"/>
      <c r="P144"/>
      <c r="Q144"/>
      <c r="R144"/>
      <c r="S144"/>
      <c r="T144"/>
      <c r="U144" s="46"/>
      <c r="V144" s="46"/>
    </row>
    <row r="145" spans="1:22" ht="15" customHeight="1" x14ac:dyDescent="0.25">
      <c r="A145" s="17"/>
      <c r="G145"/>
      <c r="H145"/>
      <c r="J145"/>
      <c r="K145"/>
      <c r="L145"/>
      <c r="M145"/>
      <c r="N145"/>
      <c r="P145"/>
      <c r="Q145"/>
      <c r="R145"/>
      <c r="S145"/>
      <c r="T145"/>
      <c r="U145" s="46"/>
      <c r="V145" s="46"/>
    </row>
    <row r="146" spans="1:22" ht="15" customHeight="1" x14ac:dyDescent="0.25">
      <c r="A146" s="17"/>
      <c r="G146"/>
      <c r="H146"/>
      <c r="J146"/>
      <c r="K146"/>
      <c r="L146"/>
      <c r="M146"/>
      <c r="N146"/>
      <c r="P146"/>
      <c r="Q146"/>
      <c r="R146"/>
      <c r="S146"/>
      <c r="T146"/>
      <c r="U146" s="46"/>
      <c r="V146" s="46"/>
    </row>
    <row r="147" spans="1:22" ht="15" customHeight="1" x14ac:dyDescent="0.25">
      <c r="A147" s="17"/>
      <c r="G147"/>
      <c r="H147"/>
      <c r="J147"/>
      <c r="K147"/>
      <c r="L147"/>
      <c r="M147"/>
      <c r="N147"/>
      <c r="P147"/>
      <c r="Q147"/>
      <c r="R147"/>
      <c r="S147"/>
      <c r="T147"/>
      <c r="U147" s="46"/>
      <c r="V147" s="46"/>
    </row>
    <row r="148" spans="1:22" ht="15" customHeight="1" x14ac:dyDescent="0.25">
      <c r="A148" s="17"/>
      <c r="G148"/>
      <c r="H148"/>
      <c r="J148"/>
      <c r="K148"/>
      <c r="L148"/>
      <c r="M148"/>
      <c r="N148"/>
      <c r="P148"/>
      <c r="Q148"/>
      <c r="R148"/>
      <c r="S148"/>
      <c r="T148"/>
      <c r="U148" s="46"/>
      <c r="V148" s="46"/>
    </row>
    <row r="149" spans="1:22" ht="15" customHeight="1" x14ac:dyDescent="0.25">
      <c r="A149" s="17"/>
      <c r="G149"/>
      <c r="H149"/>
      <c r="J149"/>
      <c r="K149"/>
      <c r="L149"/>
      <c r="M149"/>
      <c r="N149"/>
      <c r="P149"/>
      <c r="Q149"/>
      <c r="R149"/>
      <c r="S149"/>
      <c r="T149"/>
      <c r="U149" s="46"/>
      <c r="V149" s="46"/>
    </row>
    <row r="150" spans="1:22" ht="15" customHeight="1" x14ac:dyDescent="0.25">
      <c r="A150" s="17"/>
      <c r="G150"/>
      <c r="H150"/>
      <c r="J150"/>
      <c r="K150"/>
      <c r="L150"/>
      <c r="M150"/>
      <c r="N150"/>
      <c r="P150"/>
      <c r="Q150"/>
      <c r="R150"/>
      <c r="S150"/>
      <c r="T150"/>
      <c r="U150" s="46"/>
      <c r="V150" s="46"/>
    </row>
    <row r="151" spans="1:22" ht="15" customHeight="1" x14ac:dyDescent="0.25">
      <c r="A151" s="17"/>
      <c r="G151"/>
      <c r="H151"/>
      <c r="J151"/>
      <c r="K151"/>
      <c r="L151"/>
      <c r="M151"/>
      <c r="N151"/>
      <c r="P151"/>
      <c r="Q151"/>
      <c r="R151"/>
      <c r="S151"/>
      <c r="T151"/>
      <c r="U151" s="46"/>
      <c r="V151" s="46"/>
    </row>
    <row r="152" spans="1:22" ht="15" customHeight="1" x14ac:dyDescent="0.25">
      <c r="A152" s="17"/>
      <c r="G152"/>
      <c r="H152"/>
      <c r="J152"/>
      <c r="K152"/>
      <c r="L152"/>
      <c r="M152"/>
      <c r="N152"/>
      <c r="P152"/>
      <c r="Q152"/>
      <c r="R152"/>
      <c r="S152"/>
      <c r="T152"/>
      <c r="U152" s="46"/>
      <c r="V152" s="46"/>
    </row>
    <row r="153" spans="1:22" ht="15" customHeight="1" x14ac:dyDescent="0.25">
      <c r="A153" s="17"/>
      <c r="G153"/>
      <c r="H153"/>
      <c r="J153"/>
      <c r="K153"/>
      <c r="L153"/>
      <c r="M153"/>
      <c r="N153"/>
      <c r="P153"/>
      <c r="Q153"/>
      <c r="R153"/>
      <c r="S153"/>
      <c r="T153"/>
      <c r="U153" s="46"/>
      <c r="V153" s="46"/>
    </row>
    <row r="154" spans="1:22" ht="15" customHeight="1" x14ac:dyDescent="0.25">
      <c r="A154" s="17"/>
      <c r="G154"/>
      <c r="H154"/>
      <c r="J154"/>
      <c r="K154"/>
      <c r="L154"/>
      <c r="M154"/>
      <c r="N154"/>
      <c r="P154"/>
      <c r="Q154"/>
      <c r="R154"/>
      <c r="S154"/>
      <c r="T154"/>
      <c r="U154" s="46"/>
      <c r="V154" s="46"/>
    </row>
    <row r="155" spans="1:22" ht="15" customHeight="1" x14ac:dyDescent="0.25">
      <c r="A155" s="17"/>
      <c r="G155"/>
      <c r="H155"/>
      <c r="J155"/>
      <c r="K155"/>
      <c r="L155"/>
      <c r="M155"/>
      <c r="N155"/>
      <c r="P155"/>
      <c r="Q155"/>
      <c r="R155"/>
      <c r="S155"/>
      <c r="T155"/>
      <c r="U155" s="46"/>
      <c r="V155" s="46"/>
    </row>
    <row r="156" spans="1:22" ht="15" customHeight="1" x14ac:dyDescent="0.25">
      <c r="A156" s="17"/>
      <c r="G156"/>
      <c r="H156"/>
      <c r="J156"/>
      <c r="K156"/>
      <c r="L156"/>
      <c r="M156"/>
      <c r="N156"/>
      <c r="P156"/>
      <c r="Q156"/>
      <c r="R156"/>
      <c r="S156"/>
      <c r="T156"/>
      <c r="U156" s="46"/>
      <c r="V156" s="46"/>
    </row>
    <row r="157" spans="1:22" ht="15" customHeight="1" x14ac:dyDescent="0.25">
      <c r="A157" s="17"/>
      <c r="G157"/>
      <c r="H157"/>
      <c r="J157"/>
      <c r="K157"/>
      <c r="L157"/>
      <c r="M157"/>
      <c r="N157"/>
      <c r="P157"/>
      <c r="Q157"/>
      <c r="R157"/>
      <c r="S157"/>
      <c r="T157"/>
      <c r="U157" s="46"/>
      <c r="V157" s="46"/>
    </row>
    <row r="158" spans="1:22" ht="15" customHeight="1" x14ac:dyDescent="0.25">
      <c r="A158" s="17"/>
      <c r="G158"/>
      <c r="H158"/>
      <c r="J158"/>
      <c r="K158"/>
      <c r="L158"/>
      <c r="M158"/>
      <c r="N158"/>
      <c r="P158"/>
      <c r="Q158"/>
      <c r="R158"/>
      <c r="S158"/>
      <c r="T158"/>
      <c r="U158" s="46"/>
      <c r="V158" s="46"/>
    </row>
    <row r="159" spans="1:22" ht="15" customHeight="1" x14ac:dyDescent="0.25">
      <c r="A159" s="17"/>
      <c r="G159"/>
      <c r="H159"/>
      <c r="J159"/>
      <c r="K159"/>
      <c r="L159"/>
      <c r="M159"/>
      <c r="N159"/>
      <c r="P159"/>
      <c r="Q159"/>
      <c r="R159"/>
      <c r="S159"/>
      <c r="T159"/>
      <c r="U159" s="46"/>
      <c r="V159" s="46"/>
    </row>
    <row r="160" spans="1:22" ht="15" customHeight="1" x14ac:dyDescent="0.25">
      <c r="A160" s="17"/>
      <c r="G160"/>
      <c r="H160"/>
      <c r="J160"/>
      <c r="K160"/>
      <c r="L160"/>
      <c r="M160"/>
      <c r="N160"/>
      <c r="P160"/>
      <c r="Q160"/>
      <c r="R160"/>
      <c r="S160"/>
      <c r="T160"/>
      <c r="U160" s="46"/>
      <c r="V160" s="46"/>
    </row>
    <row r="161" spans="1:22" ht="15" customHeight="1" x14ac:dyDescent="0.25">
      <c r="A161" s="17"/>
      <c r="G161"/>
      <c r="H161"/>
      <c r="J161"/>
      <c r="K161"/>
      <c r="L161"/>
      <c r="M161"/>
      <c r="N161"/>
      <c r="P161"/>
      <c r="Q161"/>
      <c r="R161"/>
      <c r="S161"/>
      <c r="T161"/>
      <c r="U161" s="46"/>
      <c r="V161" s="46"/>
    </row>
    <row r="162" spans="1:22" ht="15" customHeight="1" x14ac:dyDescent="0.25">
      <c r="A162" s="17"/>
      <c r="G162"/>
      <c r="H162"/>
      <c r="J162"/>
      <c r="K162"/>
      <c r="L162"/>
      <c r="M162"/>
      <c r="N162"/>
      <c r="P162"/>
      <c r="Q162"/>
      <c r="R162"/>
      <c r="S162"/>
      <c r="T162"/>
      <c r="U162" s="46"/>
      <c r="V162" s="46"/>
    </row>
    <row r="163" spans="1:22" ht="15" customHeight="1" x14ac:dyDescent="0.25">
      <c r="A163" s="17"/>
      <c r="G163"/>
      <c r="H163"/>
      <c r="J163"/>
      <c r="K163"/>
      <c r="L163"/>
      <c r="M163"/>
      <c r="N163"/>
      <c r="P163"/>
      <c r="Q163"/>
      <c r="R163"/>
      <c r="S163"/>
      <c r="T163"/>
      <c r="U163" s="46"/>
      <c r="V163" s="46"/>
    </row>
    <row r="164" spans="1:22" ht="15" customHeight="1" x14ac:dyDescent="0.25">
      <c r="A164" s="17"/>
      <c r="G164"/>
      <c r="H164"/>
      <c r="J164"/>
      <c r="K164"/>
      <c r="L164"/>
      <c r="M164"/>
      <c r="N164"/>
      <c r="P164"/>
      <c r="Q164"/>
      <c r="R164"/>
      <c r="S164"/>
      <c r="T164"/>
      <c r="U164" s="46"/>
      <c r="V164" s="46"/>
    </row>
    <row r="165" spans="1:22" ht="15" customHeight="1" x14ac:dyDescent="0.25">
      <c r="A165" s="17"/>
      <c r="G165"/>
      <c r="H165"/>
      <c r="J165"/>
      <c r="K165"/>
      <c r="L165"/>
      <c r="M165"/>
      <c r="N165"/>
      <c r="P165"/>
      <c r="Q165"/>
      <c r="R165"/>
      <c r="S165"/>
      <c r="T165"/>
      <c r="U165" s="46"/>
      <c r="V165" s="46"/>
    </row>
    <row r="166" spans="1:22" ht="15" customHeight="1" x14ac:dyDescent="0.25">
      <c r="A166" s="17"/>
      <c r="G166"/>
      <c r="H166"/>
      <c r="J166"/>
      <c r="K166"/>
      <c r="L166"/>
      <c r="M166"/>
      <c r="N166"/>
      <c r="P166"/>
      <c r="Q166"/>
      <c r="R166"/>
      <c r="S166"/>
      <c r="T166"/>
      <c r="U166" s="46"/>
      <c r="V166" s="46"/>
    </row>
    <row r="167" spans="1:22" ht="15" customHeight="1" x14ac:dyDescent="0.25">
      <c r="A167" s="17"/>
      <c r="G167"/>
      <c r="H167"/>
      <c r="J167"/>
      <c r="K167"/>
      <c r="L167"/>
      <c r="M167"/>
      <c r="N167"/>
      <c r="P167"/>
      <c r="Q167"/>
      <c r="R167"/>
      <c r="S167"/>
      <c r="T167"/>
      <c r="U167" s="46"/>
      <c r="V167" s="46"/>
    </row>
    <row r="168" spans="1:22" ht="15" customHeight="1" x14ac:dyDescent="0.25">
      <c r="A168" s="17"/>
      <c r="G168"/>
      <c r="H168"/>
      <c r="J168"/>
      <c r="K168"/>
      <c r="L168"/>
      <c r="M168"/>
      <c r="N168"/>
      <c r="P168"/>
      <c r="Q168"/>
      <c r="R168"/>
      <c r="S168"/>
      <c r="T168"/>
      <c r="U168" s="46"/>
      <c r="V168" s="46"/>
    </row>
    <row r="169" spans="1:22" ht="15" customHeight="1" x14ac:dyDescent="0.25">
      <c r="A169" s="17"/>
      <c r="G169"/>
      <c r="H169"/>
      <c r="J169"/>
      <c r="K169"/>
      <c r="L169"/>
      <c r="M169"/>
      <c r="N169"/>
      <c r="P169"/>
      <c r="Q169"/>
      <c r="R169"/>
      <c r="S169"/>
      <c r="T169"/>
      <c r="U169" s="46"/>
      <c r="V169" s="46"/>
    </row>
    <row r="170" spans="1:22" ht="15" customHeight="1" x14ac:dyDescent="0.25">
      <c r="A170" s="17"/>
      <c r="G170"/>
      <c r="H170"/>
      <c r="J170"/>
      <c r="K170"/>
      <c r="L170"/>
      <c r="M170"/>
      <c r="N170"/>
      <c r="P170"/>
      <c r="Q170"/>
      <c r="R170"/>
      <c r="S170"/>
      <c r="T170"/>
      <c r="U170" s="46"/>
      <c r="V170" s="46"/>
    </row>
    <row r="171" spans="1:22" ht="15" customHeight="1" x14ac:dyDescent="0.25">
      <c r="A171" s="17"/>
      <c r="G171"/>
      <c r="H171"/>
      <c r="J171"/>
      <c r="K171"/>
      <c r="L171"/>
      <c r="M171"/>
      <c r="N171"/>
      <c r="P171"/>
      <c r="Q171"/>
      <c r="R171"/>
      <c r="S171"/>
      <c r="T171"/>
      <c r="U171" s="46"/>
      <c r="V171" s="46"/>
    </row>
    <row r="172" spans="1:22" ht="15" customHeight="1" x14ac:dyDescent="0.25">
      <c r="A172" s="17"/>
      <c r="G172"/>
      <c r="H172"/>
      <c r="J172"/>
      <c r="K172"/>
      <c r="L172"/>
      <c r="M172"/>
      <c r="N172"/>
      <c r="P172"/>
      <c r="Q172"/>
      <c r="R172"/>
      <c r="S172"/>
      <c r="T172"/>
      <c r="U172" s="46"/>
      <c r="V172" s="46"/>
    </row>
    <row r="173" spans="1:22" ht="15" customHeight="1" x14ac:dyDescent="0.25">
      <c r="A173" s="17"/>
      <c r="G173"/>
      <c r="H173"/>
      <c r="J173"/>
      <c r="K173"/>
      <c r="L173"/>
      <c r="M173"/>
      <c r="N173"/>
      <c r="P173"/>
      <c r="Q173"/>
      <c r="R173"/>
      <c r="S173"/>
      <c r="T173"/>
      <c r="U173" s="46"/>
      <c r="V173" s="46"/>
    </row>
    <row r="174" spans="1:22" ht="15" customHeight="1" x14ac:dyDescent="0.25">
      <c r="A174" s="17"/>
      <c r="G174"/>
      <c r="H174"/>
      <c r="J174"/>
      <c r="K174"/>
      <c r="L174"/>
      <c r="M174"/>
      <c r="N174"/>
      <c r="P174"/>
      <c r="Q174"/>
      <c r="R174"/>
      <c r="S174"/>
      <c r="T174"/>
      <c r="U174" s="46"/>
      <c r="V174" s="46"/>
    </row>
    <row r="175" spans="1:22" ht="15" customHeight="1" x14ac:dyDescent="0.25">
      <c r="A175" s="17"/>
      <c r="G175"/>
      <c r="H175"/>
      <c r="J175"/>
      <c r="K175"/>
      <c r="L175"/>
      <c r="M175"/>
      <c r="N175"/>
      <c r="P175"/>
      <c r="Q175"/>
      <c r="R175"/>
      <c r="S175"/>
      <c r="T175"/>
      <c r="U175" s="46"/>
      <c r="V175" s="46"/>
    </row>
    <row r="176" spans="1:22" ht="15" customHeight="1" x14ac:dyDescent="0.25">
      <c r="A176" s="17"/>
      <c r="G176"/>
      <c r="H176"/>
      <c r="J176"/>
      <c r="K176"/>
      <c r="L176"/>
      <c r="M176"/>
      <c r="N176"/>
      <c r="P176"/>
      <c r="Q176"/>
      <c r="R176"/>
      <c r="S176"/>
      <c r="T176"/>
      <c r="U176" s="46"/>
      <c r="V176" s="46"/>
    </row>
    <row r="177" spans="1:22" ht="15" customHeight="1" x14ac:dyDescent="0.25">
      <c r="A177" s="17"/>
      <c r="G177"/>
      <c r="H177"/>
      <c r="J177"/>
      <c r="K177"/>
      <c r="L177"/>
      <c r="M177"/>
      <c r="N177"/>
      <c r="P177"/>
      <c r="Q177"/>
      <c r="R177"/>
      <c r="S177"/>
      <c r="T177"/>
      <c r="U177" s="46"/>
      <c r="V177" s="46"/>
    </row>
    <row r="178" spans="1:22" ht="15" customHeight="1" x14ac:dyDescent="0.25">
      <c r="A178" s="17"/>
      <c r="G178"/>
      <c r="H178"/>
      <c r="J178"/>
      <c r="K178"/>
      <c r="L178"/>
      <c r="M178"/>
      <c r="N178"/>
      <c r="P178"/>
      <c r="Q178"/>
      <c r="R178"/>
      <c r="S178"/>
      <c r="T178"/>
      <c r="U178" s="46"/>
      <c r="V178" s="46"/>
    </row>
    <row r="179" spans="1:22" ht="15" customHeight="1" x14ac:dyDescent="0.25">
      <c r="A179" s="17"/>
      <c r="G179"/>
      <c r="H179"/>
      <c r="J179"/>
      <c r="K179"/>
      <c r="L179"/>
      <c r="M179"/>
      <c r="N179"/>
      <c r="P179"/>
      <c r="Q179"/>
      <c r="R179"/>
      <c r="S179"/>
      <c r="T179"/>
      <c r="U179" s="46"/>
      <c r="V179" s="46"/>
    </row>
    <row r="180" spans="1:22" ht="15" customHeight="1" x14ac:dyDescent="0.25">
      <c r="A180" s="17"/>
      <c r="G180"/>
      <c r="H180"/>
      <c r="J180"/>
      <c r="K180"/>
      <c r="L180"/>
      <c r="M180"/>
      <c r="N180"/>
      <c r="P180"/>
      <c r="Q180"/>
      <c r="R180"/>
      <c r="S180"/>
      <c r="T180"/>
      <c r="U180" s="46"/>
      <c r="V180" s="46"/>
    </row>
    <row r="181" spans="1:22" ht="15" customHeight="1" x14ac:dyDescent="0.25">
      <c r="A181" s="17"/>
      <c r="G181"/>
      <c r="H181"/>
      <c r="J181"/>
      <c r="K181"/>
      <c r="L181"/>
      <c r="M181"/>
      <c r="N181"/>
      <c r="P181"/>
      <c r="Q181"/>
      <c r="R181"/>
      <c r="S181"/>
      <c r="T181"/>
      <c r="U181" s="46"/>
      <c r="V181" s="46"/>
    </row>
    <row r="182" spans="1:22" ht="15" customHeight="1" x14ac:dyDescent="0.25">
      <c r="A182" s="17"/>
      <c r="G182"/>
      <c r="H182"/>
      <c r="J182"/>
      <c r="K182"/>
      <c r="L182"/>
      <c r="M182"/>
      <c r="N182"/>
      <c r="P182"/>
      <c r="Q182"/>
      <c r="R182"/>
      <c r="S182"/>
      <c r="T182"/>
      <c r="U182" s="46"/>
      <c r="V182" s="46"/>
    </row>
    <row r="183" spans="1:22" ht="15" customHeight="1" x14ac:dyDescent="0.25">
      <c r="A183" s="17"/>
      <c r="G183"/>
      <c r="H183"/>
      <c r="J183"/>
      <c r="K183"/>
      <c r="L183"/>
      <c r="M183"/>
      <c r="N183"/>
      <c r="P183"/>
      <c r="Q183"/>
      <c r="R183"/>
      <c r="S183"/>
      <c r="T183"/>
      <c r="U183" s="46"/>
      <c r="V183" s="46"/>
    </row>
    <row r="184" spans="1:22" ht="15" customHeight="1" x14ac:dyDescent="0.25">
      <c r="A184" s="17"/>
      <c r="G184"/>
      <c r="H184"/>
      <c r="J184"/>
      <c r="K184"/>
      <c r="L184"/>
      <c r="M184"/>
      <c r="N184"/>
      <c r="P184"/>
      <c r="Q184"/>
      <c r="R184"/>
      <c r="S184"/>
      <c r="T184"/>
      <c r="U184" s="46"/>
      <c r="V184" s="46"/>
    </row>
    <row r="185" spans="1:22" ht="15" customHeight="1" x14ac:dyDescent="0.25">
      <c r="A185" s="17"/>
      <c r="G185"/>
      <c r="H185"/>
      <c r="J185"/>
      <c r="K185"/>
      <c r="L185"/>
      <c r="M185"/>
      <c r="N185"/>
      <c r="P185"/>
      <c r="Q185"/>
      <c r="R185"/>
      <c r="S185"/>
      <c r="T185"/>
      <c r="U185" s="46"/>
      <c r="V185" s="46"/>
    </row>
    <row r="186" spans="1:22" ht="15" customHeight="1" x14ac:dyDescent="0.25">
      <c r="A186" s="17"/>
      <c r="G186"/>
      <c r="H186"/>
      <c r="J186"/>
      <c r="K186"/>
      <c r="L186"/>
      <c r="M186"/>
      <c r="N186"/>
      <c r="P186"/>
      <c r="Q186"/>
      <c r="R186"/>
      <c r="S186"/>
      <c r="T186"/>
      <c r="U186" s="46"/>
      <c r="V186" s="46"/>
    </row>
    <row r="187" spans="1:22" ht="15" customHeight="1" x14ac:dyDescent="0.25">
      <c r="A187" s="17"/>
      <c r="G187"/>
      <c r="H187"/>
      <c r="J187"/>
      <c r="K187"/>
      <c r="L187"/>
      <c r="M187"/>
      <c r="N187"/>
      <c r="P187"/>
      <c r="Q187"/>
      <c r="R187"/>
      <c r="S187"/>
      <c r="T187"/>
      <c r="U187" s="46"/>
      <c r="V187" s="46"/>
    </row>
    <row r="188" spans="1:22" ht="15" customHeight="1" x14ac:dyDescent="0.25">
      <c r="A188" s="17"/>
      <c r="G188"/>
      <c r="H188"/>
      <c r="J188"/>
      <c r="K188"/>
      <c r="L188"/>
      <c r="M188"/>
      <c r="N188"/>
      <c r="P188"/>
      <c r="Q188"/>
      <c r="R188"/>
      <c r="S188"/>
      <c r="T188"/>
      <c r="U188" s="46"/>
      <c r="V188" s="46"/>
    </row>
    <row r="189" spans="1:22" ht="15" customHeight="1" x14ac:dyDescent="0.25">
      <c r="A189" s="17"/>
      <c r="G189"/>
      <c r="H189"/>
      <c r="J189"/>
      <c r="K189"/>
      <c r="L189"/>
      <c r="M189"/>
      <c r="N189"/>
      <c r="P189"/>
      <c r="Q189"/>
      <c r="R189"/>
      <c r="S189"/>
      <c r="T189"/>
      <c r="U189" s="46"/>
      <c r="V189" s="46"/>
    </row>
    <row r="190" spans="1:22" ht="15" customHeight="1" x14ac:dyDescent="0.25">
      <c r="A190" s="17"/>
      <c r="G190"/>
      <c r="H190"/>
      <c r="J190"/>
      <c r="K190"/>
      <c r="L190"/>
      <c r="M190"/>
      <c r="N190"/>
      <c r="P190"/>
      <c r="Q190"/>
      <c r="R190"/>
      <c r="S190"/>
      <c r="T190"/>
      <c r="U190" s="46"/>
      <c r="V190" s="46"/>
    </row>
    <row r="191" spans="1:22" ht="15" customHeight="1" x14ac:dyDescent="0.25">
      <c r="A191" s="17"/>
      <c r="G191"/>
      <c r="H191"/>
      <c r="J191"/>
      <c r="K191"/>
      <c r="L191"/>
      <c r="M191"/>
      <c r="N191"/>
      <c r="P191"/>
      <c r="Q191"/>
      <c r="R191"/>
      <c r="S191"/>
      <c r="T191"/>
      <c r="U191" s="46"/>
      <c r="V191" s="46"/>
    </row>
    <row r="192" spans="1:22" ht="15" customHeight="1" x14ac:dyDescent="0.25">
      <c r="A192" s="17"/>
      <c r="G192"/>
      <c r="H192"/>
      <c r="J192"/>
      <c r="K192"/>
      <c r="L192"/>
      <c r="M192"/>
      <c r="N192"/>
      <c r="P192"/>
      <c r="Q192"/>
      <c r="R192"/>
      <c r="S192"/>
      <c r="T192"/>
      <c r="U192" s="46"/>
      <c r="V192" s="46"/>
    </row>
    <row r="193" spans="1:22" ht="15" customHeight="1" x14ac:dyDescent="0.25">
      <c r="A193" s="17"/>
      <c r="G193"/>
      <c r="H193"/>
      <c r="J193"/>
      <c r="K193"/>
      <c r="L193"/>
      <c r="M193"/>
      <c r="N193"/>
      <c r="P193"/>
      <c r="Q193"/>
      <c r="R193"/>
      <c r="S193"/>
      <c r="T193"/>
      <c r="U193" s="46"/>
      <c r="V193" s="46"/>
    </row>
    <row r="194" spans="1:22" ht="15" customHeight="1" x14ac:dyDescent="0.25">
      <c r="A194" s="17"/>
      <c r="G194"/>
      <c r="H194"/>
      <c r="J194"/>
      <c r="K194"/>
      <c r="L194"/>
      <c r="M194"/>
      <c r="N194"/>
      <c r="P194"/>
      <c r="Q194"/>
      <c r="R194"/>
      <c r="S194"/>
      <c r="T194"/>
      <c r="U194" s="46"/>
      <c r="V194" s="46"/>
    </row>
    <row r="195" spans="1:22" ht="15" customHeight="1" x14ac:dyDescent="0.25">
      <c r="A195" s="17"/>
      <c r="G195"/>
      <c r="H195"/>
      <c r="J195"/>
      <c r="K195"/>
      <c r="L195"/>
      <c r="M195"/>
      <c r="N195"/>
      <c r="P195"/>
      <c r="Q195"/>
      <c r="R195"/>
      <c r="S195"/>
      <c r="T195"/>
      <c r="U195" s="46"/>
      <c r="V195" s="46"/>
    </row>
    <row r="196" spans="1:22" ht="15" customHeight="1" x14ac:dyDescent="0.25">
      <c r="A196" s="17"/>
      <c r="G196"/>
      <c r="H196"/>
      <c r="J196"/>
      <c r="K196"/>
      <c r="L196"/>
      <c r="M196"/>
      <c r="N196"/>
      <c r="P196"/>
      <c r="Q196"/>
      <c r="R196"/>
      <c r="S196"/>
      <c r="T196"/>
      <c r="U196" s="46"/>
      <c r="V196" s="46"/>
    </row>
    <row r="197" spans="1:22" ht="15" customHeight="1" x14ac:dyDescent="0.25">
      <c r="A197" s="17"/>
      <c r="G197"/>
      <c r="H197"/>
      <c r="J197"/>
      <c r="K197"/>
      <c r="L197"/>
      <c r="M197"/>
      <c r="N197"/>
      <c r="P197"/>
      <c r="Q197"/>
      <c r="R197"/>
      <c r="S197"/>
      <c r="T197"/>
      <c r="U197" s="46"/>
      <c r="V197" s="46"/>
    </row>
    <row r="198" spans="1:22" ht="15" customHeight="1" x14ac:dyDescent="0.25">
      <c r="A198" s="17"/>
      <c r="G198"/>
      <c r="H198"/>
      <c r="J198"/>
      <c r="K198"/>
      <c r="L198"/>
      <c r="M198"/>
      <c r="N198"/>
      <c r="P198"/>
      <c r="Q198"/>
      <c r="R198"/>
      <c r="S198"/>
      <c r="T198"/>
      <c r="U198" s="46"/>
      <c r="V198" s="46"/>
    </row>
    <row r="199" spans="1:22" ht="15" customHeight="1" x14ac:dyDescent="0.25">
      <c r="A199" s="17"/>
      <c r="G199"/>
      <c r="H199"/>
      <c r="J199"/>
      <c r="K199"/>
      <c r="L199"/>
      <c r="M199"/>
      <c r="N199"/>
      <c r="P199"/>
      <c r="Q199"/>
      <c r="R199"/>
      <c r="S199"/>
      <c r="T199"/>
      <c r="U199" s="46"/>
      <c r="V199" s="46"/>
    </row>
    <row r="200" spans="1:22" ht="15" customHeight="1" x14ac:dyDescent="0.25">
      <c r="A200" s="17"/>
      <c r="G200"/>
      <c r="H200"/>
      <c r="J200"/>
      <c r="K200"/>
      <c r="L200"/>
      <c r="M200"/>
      <c r="N200"/>
      <c r="P200"/>
      <c r="Q200"/>
      <c r="R200"/>
      <c r="S200"/>
      <c r="T200"/>
      <c r="U200" s="46"/>
      <c r="V200" s="46"/>
    </row>
    <row r="201" spans="1:22" ht="15" customHeight="1" x14ac:dyDescent="0.25">
      <c r="A201" s="17"/>
      <c r="G201"/>
      <c r="H201"/>
      <c r="J201"/>
      <c r="K201"/>
      <c r="L201"/>
      <c r="M201"/>
      <c r="N201"/>
      <c r="P201"/>
      <c r="Q201"/>
      <c r="R201"/>
      <c r="S201"/>
      <c r="T201"/>
      <c r="U201" s="46"/>
      <c r="V201" s="46"/>
    </row>
    <row r="202" spans="1:22" ht="15" customHeight="1" x14ac:dyDescent="0.25">
      <c r="A202" s="17"/>
      <c r="G202"/>
      <c r="H202"/>
      <c r="J202"/>
      <c r="K202"/>
      <c r="L202"/>
      <c r="M202"/>
      <c r="N202"/>
      <c r="P202"/>
      <c r="Q202"/>
      <c r="R202"/>
      <c r="S202"/>
      <c r="T202"/>
      <c r="U202" s="46"/>
      <c r="V202" s="46"/>
    </row>
    <row r="203" spans="1:22" ht="15" customHeight="1" x14ac:dyDescent="0.25">
      <c r="A203" s="17"/>
      <c r="G203"/>
      <c r="H203"/>
      <c r="J203"/>
      <c r="K203"/>
      <c r="L203"/>
      <c r="M203"/>
      <c r="N203"/>
      <c r="P203"/>
      <c r="Q203"/>
      <c r="R203"/>
      <c r="S203"/>
      <c r="T203"/>
      <c r="U203" s="46"/>
      <c r="V203" s="46"/>
    </row>
    <row r="204" spans="1:22" ht="15" customHeight="1" x14ac:dyDescent="0.25">
      <c r="A204" s="17"/>
      <c r="G204"/>
      <c r="H204"/>
      <c r="J204"/>
      <c r="K204"/>
      <c r="L204"/>
      <c r="M204"/>
      <c r="N204"/>
      <c r="P204"/>
      <c r="Q204"/>
      <c r="R204"/>
      <c r="S204"/>
      <c r="T204"/>
      <c r="U204" s="46"/>
      <c r="V204" s="46"/>
    </row>
    <row r="205" spans="1:22" ht="15" customHeight="1" x14ac:dyDescent="0.25">
      <c r="A205" s="17"/>
      <c r="G205"/>
      <c r="H205"/>
      <c r="J205"/>
      <c r="K205"/>
      <c r="L205"/>
      <c r="M205"/>
      <c r="N205"/>
      <c r="P205"/>
      <c r="Q205"/>
      <c r="R205"/>
      <c r="S205"/>
      <c r="T205"/>
      <c r="U205" s="46"/>
      <c r="V205" s="46"/>
    </row>
    <row r="206" spans="1:22" ht="15" customHeight="1" x14ac:dyDescent="0.25">
      <c r="A206" s="17"/>
      <c r="G206"/>
      <c r="H206"/>
      <c r="J206"/>
      <c r="K206"/>
      <c r="L206"/>
      <c r="M206"/>
      <c r="N206"/>
      <c r="P206"/>
      <c r="Q206"/>
      <c r="R206"/>
      <c r="S206"/>
      <c r="T206"/>
      <c r="U206" s="46"/>
      <c r="V206" s="46"/>
    </row>
    <row r="207" spans="1:22" ht="15" customHeight="1" x14ac:dyDescent="0.25">
      <c r="A207" s="17"/>
      <c r="G207"/>
      <c r="H207"/>
      <c r="J207"/>
      <c r="K207"/>
      <c r="L207"/>
      <c r="M207"/>
      <c r="N207"/>
      <c r="P207"/>
      <c r="Q207"/>
      <c r="R207"/>
      <c r="S207"/>
      <c r="T207"/>
      <c r="U207" s="46"/>
      <c r="V207" s="46"/>
    </row>
    <row r="208" spans="1:22" ht="15" customHeight="1" x14ac:dyDescent="0.25">
      <c r="A208" s="17"/>
      <c r="G208"/>
      <c r="H208"/>
      <c r="J208"/>
      <c r="K208"/>
      <c r="L208"/>
      <c r="M208"/>
      <c r="N208"/>
      <c r="P208"/>
      <c r="Q208"/>
      <c r="R208"/>
      <c r="S208"/>
      <c r="T208"/>
      <c r="U208" s="46"/>
      <c r="V208" s="46"/>
    </row>
    <row r="209" spans="1:22" ht="15" customHeight="1" x14ac:dyDescent="0.25">
      <c r="A209" s="17"/>
      <c r="G209"/>
      <c r="H209"/>
      <c r="J209"/>
      <c r="K209"/>
      <c r="L209"/>
      <c r="M209"/>
      <c r="N209"/>
      <c r="P209"/>
      <c r="Q209"/>
      <c r="R209"/>
      <c r="S209"/>
      <c r="T209"/>
      <c r="U209" s="46"/>
      <c r="V209" s="46"/>
    </row>
    <row r="210" spans="1:22" ht="15" customHeight="1" x14ac:dyDescent="0.25">
      <c r="A210" s="17"/>
      <c r="G210"/>
      <c r="H210"/>
      <c r="J210"/>
      <c r="K210"/>
      <c r="L210"/>
      <c r="M210"/>
      <c r="N210"/>
      <c r="P210"/>
      <c r="Q210"/>
      <c r="R210"/>
      <c r="S210"/>
      <c r="T210"/>
      <c r="U210" s="46"/>
      <c r="V210" s="46"/>
    </row>
    <row r="211" spans="1:22" ht="15" customHeight="1" x14ac:dyDescent="0.25">
      <c r="A211" s="17"/>
      <c r="G211"/>
      <c r="H211"/>
      <c r="J211"/>
      <c r="K211"/>
      <c r="L211"/>
      <c r="M211"/>
      <c r="N211"/>
      <c r="P211"/>
      <c r="Q211"/>
      <c r="R211"/>
      <c r="S211"/>
      <c r="T211"/>
      <c r="U211" s="46"/>
      <c r="V211" s="46"/>
    </row>
    <row r="212" spans="1:22" ht="15" customHeight="1" x14ac:dyDescent="0.25">
      <c r="A212" s="17"/>
      <c r="G212"/>
      <c r="H212"/>
      <c r="J212"/>
      <c r="K212"/>
      <c r="L212"/>
      <c r="M212"/>
      <c r="N212"/>
      <c r="P212"/>
      <c r="Q212"/>
      <c r="R212"/>
      <c r="S212"/>
      <c r="T212"/>
      <c r="U212" s="46"/>
      <c r="V212" s="46"/>
    </row>
    <row r="213" spans="1:22" ht="15" customHeight="1" x14ac:dyDescent="0.25">
      <c r="A213" s="17"/>
      <c r="G213"/>
      <c r="H213"/>
      <c r="J213"/>
      <c r="K213"/>
      <c r="L213"/>
      <c r="M213"/>
      <c r="N213"/>
      <c r="P213"/>
      <c r="Q213"/>
      <c r="R213"/>
      <c r="S213"/>
      <c r="T213"/>
      <c r="U213" s="46"/>
      <c r="V213" s="46"/>
    </row>
    <row r="214" spans="1:22" ht="15" customHeight="1" x14ac:dyDescent="0.25">
      <c r="A214" s="17"/>
      <c r="G214"/>
      <c r="H214"/>
      <c r="J214"/>
      <c r="K214"/>
      <c r="L214"/>
      <c r="M214"/>
      <c r="N214"/>
      <c r="P214"/>
      <c r="Q214"/>
      <c r="R214"/>
      <c r="S214"/>
      <c r="T214"/>
      <c r="U214" s="46"/>
      <c r="V214" s="46"/>
    </row>
    <row r="215" spans="1:22" ht="15" customHeight="1" x14ac:dyDescent="0.25">
      <c r="A215" s="17"/>
      <c r="G215"/>
      <c r="H215"/>
      <c r="J215"/>
      <c r="K215"/>
      <c r="L215"/>
      <c r="M215"/>
      <c r="N215"/>
      <c r="P215"/>
      <c r="Q215"/>
      <c r="R215"/>
      <c r="S215"/>
      <c r="T215"/>
      <c r="U215" s="46"/>
      <c r="V215" s="46"/>
    </row>
    <row r="216" spans="1:22" ht="15" customHeight="1" x14ac:dyDescent="0.25">
      <c r="A216" s="17"/>
      <c r="G216"/>
      <c r="H216"/>
      <c r="J216"/>
      <c r="K216"/>
      <c r="L216"/>
      <c r="M216"/>
      <c r="N216"/>
      <c r="P216"/>
      <c r="Q216"/>
      <c r="R216"/>
      <c r="S216"/>
      <c r="T216"/>
      <c r="U216" s="46"/>
      <c r="V216" s="46"/>
    </row>
    <row r="217" spans="1:22" ht="15" customHeight="1" x14ac:dyDescent="0.25">
      <c r="A217" s="17"/>
      <c r="G217"/>
      <c r="H217"/>
      <c r="J217"/>
      <c r="K217"/>
      <c r="L217"/>
      <c r="M217"/>
      <c r="N217"/>
      <c r="P217"/>
      <c r="Q217"/>
      <c r="R217"/>
      <c r="S217"/>
      <c r="T217"/>
      <c r="U217" s="46"/>
      <c r="V217" s="46"/>
    </row>
    <row r="218" spans="1:22" ht="15" customHeight="1" x14ac:dyDescent="0.25">
      <c r="A218" s="17"/>
      <c r="G218"/>
      <c r="H218"/>
      <c r="J218"/>
      <c r="K218"/>
      <c r="L218"/>
      <c r="M218"/>
      <c r="N218"/>
      <c r="P218"/>
      <c r="Q218"/>
      <c r="R218"/>
      <c r="S218"/>
      <c r="T218"/>
      <c r="U218" s="46"/>
      <c r="V218" s="46"/>
    </row>
    <row r="219" spans="1:22" ht="15" customHeight="1" x14ac:dyDescent="0.25">
      <c r="A219" s="17"/>
      <c r="G219"/>
      <c r="H219"/>
      <c r="J219"/>
      <c r="K219"/>
      <c r="L219"/>
      <c r="M219"/>
      <c r="N219"/>
      <c r="P219"/>
      <c r="Q219"/>
      <c r="R219"/>
      <c r="S219"/>
      <c r="T219"/>
      <c r="U219" s="46"/>
      <c r="V219" s="46"/>
    </row>
    <row r="220" spans="1:22" ht="15" customHeight="1" x14ac:dyDescent="0.25">
      <c r="A220" s="17"/>
      <c r="G220"/>
      <c r="H220"/>
      <c r="J220"/>
      <c r="K220"/>
      <c r="L220"/>
      <c r="M220"/>
      <c r="N220"/>
      <c r="P220"/>
      <c r="Q220"/>
      <c r="R220"/>
      <c r="S220"/>
      <c r="T220"/>
      <c r="U220" s="46"/>
      <c r="V220" s="46"/>
    </row>
    <row r="221" spans="1:22" ht="15" customHeight="1" x14ac:dyDescent="0.25">
      <c r="A221" s="17"/>
      <c r="G221"/>
      <c r="H221"/>
      <c r="J221"/>
      <c r="K221"/>
      <c r="L221"/>
      <c r="M221"/>
      <c r="N221"/>
      <c r="P221"/>
      <c r="Q221"/>
      <c r="R221"/>
      <c r="S221"/>
      <c r="T221"/>
      <c r="U221" s="46"/>
      <c r="V221" s="46"/>
    </row>
    <row r="222" spans="1:22" ht="15" customHeight="1" x14ac:dyDescent="0.25">
      <c r="A222" s="17"/>
      <c r="G222"/>
      <c r="H222"/>
      <c r="J222"/>
      <c r="K222"/>
      <c r="L222"/>
      <c r="M222"/>
      <c r="N222"/>
      <c r="P222"/>
      <c r="Q222"/>
      <c r="R222"/>
      <c r="S222"/>
      <c r="T222"/>
      <c r="U222" s="46"/>
      <c r="V222" s="46"/>
    </row>
    <row r="223" spans="1:22" ht="15" customHeight="1" x14ac:dyDescent="0.25">
      <c r="A223" s="17"/>
      <c r="G223"/>
      <c r="H223"/>
      <c r="J223"/>
      <c r="K223"/>
      <c r="L223"/>
      <c r="M223"/>
      <c r="N223"/>
      <c r="P223"/>
      <c r="Q223"/>
      <c r="R223"/>
      <c r="S223"/>
      <c r="T223"/>
      <c r="U223" s="46"/>
      <c r="V223" s="46"/>
    </row>
    <row r="224" spans="1:22" ht="15" customHeight="1" x14ac:dyDescent="0.25">
      <c r="A224" s="17"/>
      <c r="G224"/>
      <c r="H224"/>
      <c r="J224"/>
      <c r="K224"/>
      <c r="L224"/>
      <c r="M224"/>
      <c r="N224"/>
      <c r="P224"/>
      <c r="Q224"/>
      <c r="R224"/>
      <c r="S224"/>
      <c r="T224"/>
      <c r="U224" s="46"/>
      <c r="V224" s="46"/>
    </row>
    <row r="225" spans="1:22" ht="15" customHeight="1" x14ac:dyDescent="0.25">
      <c r="A225" s="17"/>
      <c r="G225"/>
      <c r="H225"/>
      <c r="J225"/>
      <c r="K225"/>
      <c r="L225"/>
      <c r="M225"/>
      <c r="N225"/>
      <c r="P225"/>
      <c r="Q225"/>
      <c r="R225"/>
      <c r="S225"/>
      <c r="T225"/>
      <c r="U225" s="46"/>
      <c r="V225" s="46"/>
    </row>
    <row r="226" spans="1:22" ht="15" customHeight="1" x14ac:dyDescent="0.25">
      <c r="A226" s="17"/>
      <c r="G226"/>
      <c r="H226"/>
      <c r="J226"/>
      <c r="K226"/>
      <c r="L226"/>
      <c r="M226"/>
      <c r="N226"/>
      <c r="P226"/>
      <c r="Q226"/>
      <c r="R226"/>
      <c r="S226"/>
      <c r="T226"/>
      <c r="U226" s="46"/>
      <c r="V226" s="46"/>
    </row>
    <row r="227" spans="1:22" ht="15" customHeight="1" x14ac:dyDescent="0.25">
      <c r="A227" s="17"/>
      <c r="G227"/>
      <c r="H227"/>
      <c r="J227"/>
      <c r="K227"/>
      <c r="L227"/>
      <c r="M227"/>
      <c r="N227"/>
      <c r="P227"/>
      <c r="Q227"/>
      <c r="R227"/>
      <c r="S227"/>
      <c r="T227"/>
      <c r="U227" s="46"/>
      <c r="V227" s="46"/>
    </row>
    <row r="228" spans="1:22" ht="15" customHeight="1" x14ac:dyDescent="0.25">
      <c r="A228" s="17"/>
      <c r="G228"/>
      <c r="H228"/>
      <c r="J228"/>
      <c r="K228"/>
      <c r="L228"/>
      <c r="M228"/>
      <c r="N228"/>
      <c r="P228"/>
      <c r="Q228"/>
      <c r="R228"/>
      <c r="S228"/>
      <c r="T228"/>
      <c r="U228" s="46"/>
      <c r="V228" s="46"/>
    </row>
    <row r="229" spans="1:22" ht="15" customHeight="1" x14ac:dyDescent="0.25">
      <c r="A229" s="17"/>
      <c r="G229"/>
      <c r="H229"/>
      <c r="J229"/>
      <c r="K229"/>
      <c r="L229"/>
      <c r="M229"/>
      <c r="N229"/>
      <c r="P229"/>
      <c r="Q229"/>
      <c r="R229"/>
      <c r="S229"/>
      <c r="T229"/>
      <c r="U229" s="46"/>
      <c r="V229" s="46"/>
    </row>
    <row r="230" spans="1:22" ht="15" customHeight="1" x14ac:dyDescent="0.25">
      <c r="A230" s="17"/>
      <c r="G230"/>
      <c r="H230"/>
      <c r="J230"/>
      <c r="K230"/>
      <c r="L230"/>
      <c r="M230"/>
      <c r="N230"/>
      <c r="P230"/>
      <c r="Q230"/>
      <c r="R230"/>
      <c r="S230"/>
      <c r="T230"/>
      <c r="U230" s="46"/>
      <c r="V230" s="46"/>
    </row>
    <row r="231" spans="1:22" ht="15" customHeight="1" x14ac:dyDescent="0.25">
      <c r="A231" s="17"/>
      <c r="G231"/>
      <c r="H231"/>
      <c r="J231"/>
      <c r="K231"/>
      <c r="L231"/>
      <c r="M231"/>
      <c r="N231"/>
      <c r="P231"/>
      <c r="Q231"/>
      <c r="R231"/>
      <c r="S231"/>
      <c r="T231"/>
      <c r="U231" s="46"/>
      <c r="V231" s="46"/>
    </row>
    <row r="232" spans="1:22" ht="15" customHeight="1" x14ac:dyDescent="0.25">
      <c r="A232" s="17"/>
      <c r="G232"/>
      <c r="H232"/>
      <c r="J232"/>
      <c r="K232"/>
      <c r="L232"/>
      <c r="M232"/>
      <c r="N232"/>
      <c r="P232"/>
      <c r="Q232"/>
      <c r="R232"/>
      <c r="S232"/>
      <c r="T232"/>
      <c r="U232" s="46"/>
      <c r="V232" s="46"/>
    </row>
    <row r="233" spans="1:22" ht="15" customHeight="1" x14ac:dyDescent="0.25">
      <c r="A233" s="17"/>
      <c r="G233"/>
      <c r="H233"/>
      <c r="J233"/>
      <c r="K233"/>
      <c r="L233"/>
      <c r="M233"/>
      <c r="N233"/>
      <c r="P233"/>
      <c r="Q233"/>
      <c r="R233"/>
      <c r="S233"/>
      <c r="T233"/>
      <c r="U233" s="46"/>
      <c r="V233" s="46"/>
    </row>
    <row r="234" spans="1:22" ht="15" customHeight="1" x14ac:dyDescent="0.25">
      <c r="A234" s="17"/>
      <c r="G234"/>
      <c r="H234"/>
      <c r="J234"/>
      <c r="K234"/>
      <c r="L234"/>
      <c r="M234"/>
      <c r="N234"/>
      <c r="P234"/>
      <c r="Q234"/>
      <c r="R234"/>
      <c r="S234"/>
      <c r="T234"/>
      <c r="U234" s="46"/>
      <c r="V234" s="46"/>
    </row>
    <row r="235" spans="1:22" ht="15" customHeight="1" x14ac:dyDescent="0.25">
      <c r="A235" s="17"/>
      <c r="G235"/>
      <c r="H235"/>
      <c r="J235"/>
      <c r="K235"/>
      <c r="L235"/>
      <c r="M235"/>
      <c r="N235"/>
      <c r="P235"/>
      <c r="Q235"/>
      <c r="R235"/>
      <c r="S235"/>
      <c r="T235"/>
      <c r="U235" s="46"/>
      <c r="V235" s="46"/>
    </row>
    <row r="236" spans="1:22" ht="15" customHeight="1" x14ac:dyDescent="0.25">
      <c r="A236" s="17"/>
      <c r="G236"/>
      <c r="H236"/>
      <c r="J236"/>
      <c r="K236"/>
      <c r="L236"/>
      <c r="M236"/>
      <c r="N236"/>
      <c r="P236"/>
      <c r="Q236"/>
      <c r="R236"/>
      <c r="S236"/>
      <c r="T236"/>
      <c r="U236" s="46"/>
      <c r="V236" s="46"/>
    </row>
    <row r="237" spans="1:22" ht="15" customHeight="1" x14ac:dyDescent="0.25">
      <c r="A237" s="17"/>
      <c r="G237"/>
      <c r="H237"/>
      <c r="J237"/>
      <c r="K237"/>
      <c r="L237"/>
      <c r="M237"/>
      <c r="N237"/>
      <c r="P237"/>
      <c r="Q237"/>
      <c r="R237"/>
      <c r="S237"/>
      <c r="T237"/>
      <c r="U237" s="46"/>
      <c r="V237" s="46"/>
    </row>
    <row r="238" spans="1:22" ht="15" customHeight="1" x14ac:dyDescent="0.25">
      <c r="A238" s="17"/>
      <c r="G238"/>
      <c r="H238"/>
      <c r="J238"/>
      <c r="K238"/>
      <c r="L238"/>
      <c r="M238"/>
      <c r="N238"/>
      <c r="P238"/>
      <c r="Q238"/>
      <c r="R238"/>
      <c r="S238"/>
      <c r="T238"/>
      <c r="U238" s="46"/>
      <c r="V238" s="46"/>
    </row>
    <row r="239" spans="1:22" ht="15" customHeight="1" x14ac:dyDescent="0.25">
      <c r="A239" s="17"/>
      <c r="G239"/>
      <c r="H239"/>
      <c r="J239"/>
      <c r="K239"/>
      <c r="L239"/>
      <c r="M239"/>
      <c r="N239"/>
      <c r="P239"/>
      <c r="Q239"/>
      <c r="R239"/>
      <c r="S239"/>
      <c r="T239"/>
      <c r="U239" s="46"/>
      <c r="V239" s="46"/>
    </row>
    <row r="240" spans="1:22" ht="15" customHeight="1" x14ac:dyDescent="0.25">
      <c r="A240" s="17"/>
      <c r="G240"/>
      <c r="H240"/>
      <c r="J240"/>
      <c r="K240"/>
      <c r="L240"/>
      <c r="M240"/>
      <c r="N240"/>
      <c r="P240"/>
      <c r="Q240"/>
      <c r="R240"/>
      <c r="S240"/>
      <c r="T240"/>
      <c r="U240" s="46"/>
      <c r="V240" s="46"/>
    </row>
    <row r="241" spans="1:22" ht="15" customHeight="1" x14ac:dyDescent="0.25">
      <c r="A241" s="17"/>
      <c r="G241"/>
      <c r="H241"/>
      <c r="J241"/>
      <c r="K241"/>
      <c r="L241"/>
      <c r="M241"/>
      <c r="N241"/>
      <c r="P241"/>
      <c r="Q241"/>
      <c r="R241"/>
      <c r="S241"/>
      <c r="T241"/>
      <c r="U241" s="46"/>
      <c r="V241" s="46"/>
    </row>
    <row r="242" spans="1:22" ht="15" customHeight="1" x14ac:dyDescent="0.25">
      <c r="A242" s="17"/>
      <c r="G242"/>
      <c r="H242"/>
      <c r="J242"/>
      <c r="K242"/>
      <c r="L242"/>
      <c r="M242"/>
      <c r="N242"/>
      <c r="P242"/>
      <c r="Q242"/>
      <c r="R242"/>
      <c r="S242"/>
      <c r="T242"/>
      <c r="U242" s="46"/>
      <c r="V242" s="46"/>
    </row>
    <row r="243" spans="1:22" ht="15" customHeight="1" x14ac:dyDescent="0.25">
      <c r="A243" s="17"/>
      <c r="G243"/>
      <c r="H243"/>
      <c r="J243"/>
      <c r="K243"/>
      <c r="L243"/>
      <c r="M243"/>
      <c r="N243"/>
      <c r="P243"/>
      <c r="Q243"/>
      <c r="R243"/>
      <c r="S243"/>
      <c r="T243"/>
      <c r="U243" s="46"/>
      <c r="V243" s="46"/>
    </row>
    <row r="244" spans="1:22" ht="15" customHeight="1" x14ac:dyDescent="0.25">
      <c r="A244" s="17"/>
      <c r="G244"/>
      <c r="H244"/>
      <c r="J244"/>
      <c r="K244"/>
      <c r="L244"/>
      <c r="M244"/>
      <c r="N244"/>
      <c r="P244"/>
      <c r="Q244"/>
      <c r="R244"/>
      <c r="S244"/>
      <c r="T244"/>
      <c r="U244" s="46"/>
      <c r="V244" s="46"/>
    </row>
    <row r="245" spans="1:22" ht="15" customHeight="1" x14ac:dyDescent="0.25">
      <c r="A245" s="17"/>
      <c r="G245"/>
      <c r="H245"/>
      <c r="J245"/>
      <c r="K245"/>
      <c r="L245"/>
      <c r="M245"/>
      <c r="N245"/>
      <c r="P245"/>
      <c r="Q245"/>
      <c r="R245"/>
      <c r="S245"/>
      <c r="T245"/>
      <c r="U245" s="46"/>
      <c r="V245" s="46"/>
    </row>
    <row r="246" spans="1:22" ht="15" customHeight="1" x14ac:dyDescent="0.25">
      <c r="A246" s="17"/>
      <c r="G246"/>
      <c r="H246"/>
      <c r="J246"/>
      <c r="K246"/>
      <c r="L246"/>
      <c r="M246"/>
      <c r="N246"/>
      <c r="P246"/>
      <c r="Q246"/>
      <c r="R246"/>
      <c r="S246"/>
      <c r="T246"/>
      <c r="U246" s="46"/>
      <c r="V246" s="46"/>
    </row>
    <row r="247" spans="1:22" ht="15" customHeight="1" x14ac:dyDescent="0.25">
      <c r="A247" s="17"/>
      <c r="G247"/>
      <c r="H247"/>
      <c r="J247"/>
      <c r="K247"/>
      <c r="L247"/>
      <c r="M247"/>
      <c r="N247"/>
      <c r="P247"/>
      <c r="Q247"/>
      <c r="R247"/>
      <c r="S247"/>
      <c r="T247"/>
      <c r="U247" s="46"/>
      <c r="V247" s="46"/>
    </row>
    <row r="248" spans="1:22" ht="15" customHeight="1" x14ac:dyDescent="0.25">
      <c r="A248" s="17"/>
      <c r="G248"/>
      <c r="H248"/>
      <c r="J248"/>
      <c r="K248"/>
      <c r="L248"/>
      <c r="M248"/>
      <c r="N248"/>
      <c r="P248"/>
      <c r="Q248"/>
      <c r="R248"/>
      <c r="S248"/>
      <c r="T248"/>
      <c r="U248" s="46"/>
      <c r="V248" s="46"/>
    </row>
    <row r="249" spans="1:22" ht="15" customHeight="1" x14ac:dyDescent="0.25">
      <c r="A249" s="17"/>
      <c r="G249"/>
      <c r="H249"/>
      <c r="J249"/>
      <c r="K249"/>
      <c r="L249"/>
      <c r="M249"/>
      <c r="N249"/>
      <c r="P249"/>
      <c r="Q249"/>
      <c r="R249"/>
      <c r="S249"/>
      <c r="T249"/>
      <c r="U249" s="46"/>
      <c r="V249" s="46"/>
    </row>
    <row r="250" spans="1:22" ht="15" customHeight="1" x14ac:dyDescent="0.25">
      <c r="A250" s="17"/>
      <c r="G250"/>
      <c r="H250"/>
      <c r="J250"/>
      <c r="K250"/>
      <c r="L250"/>
      <c r="M250"/>
      <c r="N250"/>
      <c r="P250"/>
      <c r="Q250"/>
      <c r="R250"/>
      <c r="S250"/>
      <c r="T250"/>
      <c r="U250" s="46"/>
      <c r="V250" s="46"/>
    </row>
    <row r="251" spans="1:22" ht="15" customHeight="1" x14ac:dyDescent="0.25">
      <c r="A251" s="17"/>
      <c r="G251"/>
      <c r="H251"/>
      <c r="J251"/>
      <c r="K251"/>
      <c r="L251"/>
      <c r="M251"/>
      <c r="N251"/>
      <c r="P251"/>
      <c r="Q251"/>
      <c r="R251"/>
      <c r="S251"/>
      <c r="T251"/>
      <c r="U251" s="46"/>
      <c r="V251" s="46"/>
    </row>
    <row r="252" spans="1:22" ht="15" customHeight="1" x14ac:dyDescent="0.25">
      <c r="A252" s="17"/>
      <c r="G252"/>
      <c r="H252"/>
      <c r="J252"/>
      <c r="K252"/>
      <c r="L252"/>
      <c r="M252"/>
      <c r="N252"/>
      <c r="P252"/>
      <c r="Q252"/>
      <c r="R252"/>
      <c r="S252"/>
      <c r="T252"/>
      <c r="U252" s="46"/>
      <c r="V252" s="46"/>
    </row>
    <row r="253" spans="1:22" ht="15" customHeight="1" x14ac:dyDescent="0.25">
      <c r="A253" s="17"/>
      <c r="G253"/>
      <c r="H253"/>
      <c r="J253"/>
      <c r="K253"/>
      <c r="L253"/>
      <c r="M253"/>
      <c r="N253"/>
      <c r="P253"/>
      <c r="Q253"/>
      <c r="R253"/>
      <c r="S253"/>
      <c r="T253"/>
      <c r="U253" s="46"/>
      <c r="V253" s="46"/>
    </row>
    <row r="254" spans="1:22" ht="15" customHeight="1" x14ac:dyDescent="0.25">
      <c r="A254" s="17"/>
      <c r="G254"/>
      <c r="H254"/>
      <c r="J254"/>
      <c r="K254"/>
      <c r="L254"/>
      <c r="M254"/>
      <c r="N254"/>
      <c r="P254"/>
      <c r="Q254"/>
      <c r="R254"/>
      <c r="S254"/>
      <c r="T254"/>
      <c r="U254" s="46"/>
      <c r="V254" s="46"/>
    </row>
    <row r="255" spans="1:22" ht="15" customHeight="1" x14ac:dyDescent="0.25">
      <c r="A255" s="17"/>
      <c r="G255"/>
      <c r="H255"/>
      <c r="J255"/>
      <c r="K255"/>
      <c r="L255"/>
      <c r="M255"/>
      <c r="N255"/>
      <c r="P255"/>
      <c r="Q255"/>
      <c r="R255"/>
      <c r="S255"/>
      <c r="T255"/>
      <c r="U255" s="46"/>
      <c r="V255" s="46"/>
    </row>
    <row r="256" spans="1:22" ht="15" customHeight="1" x14ac:dyDescent="0.25">
      <c r="A256" s="17"/>
      <c r="G256"/>
      <c r="H256"/>
      <c r="J256"/>
      <c r="K256"/>
      <c r="L256"/>
      <c r="M256"/>
      <c r="N256"/>
      <c r="P256"/>
      <c r="Q256"/>
      <c r="R256"/>
      <c r="S256"/>
      <c r="T256"/>
      <c r="U256" s="46"/>
      <c r="V256" s="46"/>
    </row>
    <row r="257" spans="1:22" ht="15" customHeight="1" x14ac:dyDescent="0.25">
      <c r="A257" s="17"/>
      <c r="G257"/>
      <c r="H257"/>
      <c r="J257"/>
      <c r="K257"/>
      <c r="L257"/>
      <c r="M257"/>
      <c r="N257"/>
      <c r="P257"/>
      <c r="Q257"/>
      <c r="R257"/>
      <c r="S257"/>
      <c r="T257"/>
      <c r="U257" s="46"/>
      <c r="V257" s="46"/>
    </row>
    <row r="258" spans="1:22" ht="15" customHeight="1" x14ac:dyDescent="0.25">
      <c r="A258" s="17"/>
      <c r="G258"/>
      <c r="H258"/>
      <c r="J258"/>
      <c r="K258"/>
      <c r="L258"/>
      <c r="M258"/>
      <c r="N258"/>
      <c r="P258"/>
      <c r="Q258"/>
      <c r="R258"/>
      <c r="S258"/>
      <c r="T258"/>
      <c r="U258" s="46"/>
      <c r="V258" s="46"/>
    </row>
    <row r="259" spans="1:22" ht="15" customHeight="1" x14ac:dyDescent="0.25">
      <c r="A259" s="17"/>
      <c r="G259"/>
      <c r="H259"/>
      <c r="J259"/>
      <c r="K259"/>
      <c r="L259"/>
      <c r="M259"/>
      <c r="N259"/>
      <c r="P259"/>
      <c r="Q259"/>
      <c r="R259"/>
      <c r="S259"/>
      <c r="T259"/>
      <c r="U259" s="46"/>
      <c r="V259" s="46"/>
    </row>
    <row r="260" spans="1:22" ht="15" customHeight="1" x14ac:dyDescent="0.25">
      <c r="A260" s="17"/>
      <c r="G260"/>
      <c r="H260"/>
      <c r="J260"/>
      <c r="K260"/>
      <c r="L260"/>
      <c r="M260"/>
      <c r="N260"/>
      <c r="P260"/>
      <c r="Q260"/>
      <c r="R260"/>
      <c r="S260"/>
      <c r="T260"/>
      <c r="U260" s="46"/>
      <c r="V260" s="46"/>
    </row>
    <row r="261" spans="1:22" ht="15" customHeight="1" x14ac:dyDescent="0.25">
      <c r="A261" s="17"/>
      <c r="G261"/>
      <c r="H261"/>
      <c r="J261"/>
      <c r="K261"/>
      <c r="L261"/>
      <c r="M261"/>
      <c r="N261"/>
      <c r="P261"/>
      <c r="Q261"/>
      <c r="R261"/>
      <c r="S261"/>
      <c r="T261"/>
      <c r="U261" s="46"/>
      <c r="V261" s="46"/>
    </row>
    <row r="262" spans="1:22" ht="15" customHeight="1" x14ac:dyDescent="0.25">
      <c r="A262" s="17"/>
      <c r="G262"/>
      <c r="H262"/>
      <c r="J262"/>
      <c r="K262"/>
      <c r="L262"/>
      <c r="M262"/>
      <c r="N262"/>
      <c r="P262"/>
      <c r="Q262"/>
      <c r="R262"/>
      <c r="S262"/>
      <c r="T262"/>
      <c r="U262" s="46"/>
      <c r="V262" s="46"/>
    </row>
    <row r="263" spans="1:22" ht="15" customHeight="1" x14ac:dyDescent="0.25">
      <c r="A263" s="17"/>
      <c r="G263"/>
      <c r="H263"/>
      <c r="J263"/>
      <c r="K263"/>
      <c r="L263"/>
      <c r="M263"/>
      <c r="N263"/>
      <c r="P263"/>
      <c r="Q263"/>
      <c r="R263"/>
      <c r="S263"/>
      <c r="T263"/>
      <c r="U263" s="46"/>
      <c r="V263" s="46"/>
    </row>
    <row r="264" spans="1:22" ht="15" customHeight="1" x14ac:dyDescent="0.25">
      <c r="A264" s="17"/>
      <c r="G264"/>
      <c r="H264"/>
      <c r="J264"/>
      <c r="K264"/>
      <c r="L264"/>
      <c r="M264"/>
      <c r="N264"/>
      <c r="P264"/>
      <c r="Q264"/>
      <c r="R264"/>
      <c r="S264"/>
      <c r="T264"/>
      <c r="U264" s="46"/>
      <c r="V264" s="46"/>
    </row>
    <row r="265" spans="1:22" ht="15" customHeight="1" x14ac:dyDescent="0.25">
      <c r="A265" s="17"/>
      <c r="G265"/>
      <c r="H265"/>
      <c r="J265"/>
      <c r="K265"/>
      <c r="L265"/>
      <c r="M265"/>
      <c r="N265"/>
      <c r="P265"/>
      <c r="Q265"/>
      <c r="R265"/>
      <c r="S265"/>
      <c r="T265"/>
      <c r="U265" s="46"/>
      <c r="V265" s="46"/>
    </row>
    <row r="266" spans="1:22" ht="15" customHeight="1" x14ac:dyDescent="0.25">
      <c r="A266" s="17"/>
      <c r="G266"/>
      <c r="H266"/>
      <c r="J266"/>
      <c r="K266"/>
      <c r="L266"/>
      <c r="M266"/>
      <c r="N266"/>
      <c r="P266"/>
      <c r="Q266"/>
      <c r="R266"/>
      <c r="S266"/>
      <c r="T266"/>
      <c r="U266" s="46"/>
      <c r="V266" s="46"/>
    </row>
    <row r="267" spans="1:22" ht="15" customHeight="1" x14ac:dyDescent="0.25">
      <c r="A267" s="17"/>
      <c r="G267"/>
      <c r="H267"/>
      <c r="J267"/>
      <c r="K267"/>
      <c r="L267"/>
      <c r="M267"/>
      <c r="N267"/>
      <c r="P267"/>
      <c r="Q267"/>
      <c r="R267"/>
      <c r="S267"/>
      <c r="T267"/>
      <c r="U267" s="46"/>
      <c r="V267" s="46"/>
    </row>
    <row r="268" spans="1:22" ht="15" customHeight="1" x14ac:dyDescent="0.25">
      <c r="A268" s="17"/>
      <c r="G268"/>
      <c r="H268"/>
      <c r="J268"/>
      <c r="K268"/>
      <c r="L268"/>
      <c r="M268"/>
      <c r="N268"/>
      <c r="P268"/>
      <c r="Q268"/>
      <c r="R268"/>
      <c r="S268"/>
      <c r="T268"/>
      <c r="U268" s="46"/>
      <c r="V268" s="46"/>
    </row>
    <row r="269" spans="1:22" ht="15" customHeight="1" x14ac:dyDescent="0.25">
      <c r="A269" s="17"/>
      <c r="G269"/>
      <c r="H269"/>
      <c r="J269"/>
      <c r="K269"/>
      <c r="L269"/>
      <c r="M269"/>
      <c r="N269"/>
      <c r="P269"/>
      <c r="Q269"/>
      <c r="R269"/>
      <c r="S269"/>
      <c r="T269"/>
      <c r="U269" s="46"/>
      <c r="V269" s="46"/>
    </row>
    <row r="270" spans="1:22" ht="15" customHeight="1" x14ac:dyDescent="0.25">
      <c r="A270" s="17"/>
      <c r="G270"/>
      <c r="H270"/>
      <c r="J270"/>
      <c r="K270"/>
      <c r="L270"/>
      <c r="M270"/>
      <c r="N270"/>
      <c r="P270"/>
      <c r="Q270"/>
      <c r="R270"/>
      <c r="S270"/>
      <c r="T270"/>
      <c r="U270" s="46"/>
      <c r="V270" s="46"/>
    </row>
    <row r="271" spans="1:22" ht="15" customHeight="1" x14ac:dyDescent="0.25">
      <c r="A271" s="17"/>
      <c r="G271"/>
      <c r="H271"/>
      <c r="J271"/>
      <c r="K271"/>
      <c r="L271"/>
      <c r="M271"/>
      <c r="N271"/>
      <c r="P271"/>
      <c r="Q271"/>
      <c r="R271"/>
      <c r="S271"/>
      <c r="T271"/>
      <c r="U271" s="46"/>
      <c r="V271" s="46"/>
    </row>
    <row r="272" spans="1:22" ht="15" customHeight="1" x14ac:dyDescent="0.25">
      <c r="A272" s="17"/>
      <c r="G272"/>
      <c r="H272"/>
      <c r="J272"/>
      <c r="K272"/>
      <c r="L272"/>
      <c r="M272"/>
      <c r="N272"/>
      <c r="P272"/>
      <c r="Q272"/>
      <c r="R272"/>
      <c r="S272"/>
      <c r="T272"/>
      <c r="U272" s="46"/>
      <c r="V272" s="46"/>
    </row>
    <row r="273" spans="1:22" ht="15" customHeight="1" x14ac:dyDescent="0.25">
      <c r="A273" s="17"/>
      <c r="G273"/>
      <c r="H273"/>
      <c r="J273"/>
      <c r="K273"/>
      <c r="L273"/>
      <c r="M273"/>
      <c r="N273"/>
      <c r="P273"/>
      <c r="Q273"/>
      <c r="R273"/>
      <c r="S273"/>
      <c r="T273"/>
      <c r="U273" s="46"/>
      <c r="V273" s="46"/>
    </row>
    <row r="274" spans="1:22" ht="15" customHeight="1" x14ac:dyDescent="0.25">
      <c r="A274" s="17"/>
      <c r="G274"/>
      <c r="H274"/>
      <c r="J274"/>
      <c r="K274"/>
      <c r="L274"/>
      <c r="M274"/>
      <c r="N274"/>
      <c r="P274"/>
      <c r="Q274"/>
      <c r="R274"/>
      <c r="S274"/>
      <c r="T274"/>
      <c r="U274" s="46"/>
      <c r="V274" s="46"/>
    </row>
    <row r="275" spans="1:22" ht="15" customHeight="1" x14ac:dyDescent="0.25">
      <c r="A275" s="17"/>
      <c r="G275"/>
      <c r="H275"/>
      <c r="J275"/>
      <c r="K275"/>
      <c r="L275"/>
      <c r="M275"/>
      <c r="N275"/>
      <c r="P275"/>
      <c r="Q275"/>
      <c r="R275"/>
      <c r="S275"/>
      <c r="T275"/>
      <c r="U275" s="46"/>
      <c r="V275" s="46"/>
    </row>
    <row r="276" spans="1:22" ht="15" customHeight="1" x14ac:dyDescent="0.25">
      <c r="A276" s="17"/>
      <c r="G276"/>
      <c r="H276"/>
      <c r="J276"/>
      <c r="K276"/>
      <c r="L276"/>
      <c r="M276"/>
      <c r="N276"/>
      <c r="P276"/>
      <c r="Q276"/>
      <c r="R276"/>
      <c r="S276"/>
      <c r="T276"/>
      <c r="U276" s="46"/>
      <c r="V276" s="46"/>
    </row>
    <row r="277" spans="1:22" ht="15" customHeight="1" x14ac:dyDescent="0.25">
      <c r="A277" s="17"/>
      <c r="G277"/>
      <c r="H277"/>
      <c r="J277"/>
      <c r="K277"/>
      <c r="L277"/>
      <c r="M277"/>
      <c r="N277"/>
      <c r="P277"/>
      <c r="Q277"/>
      <c r="R277"/>
      <c r="S277"/>
      <c r="T277"/>
      <c r="U277" s="46"/>
      <c r="V277" s="46"/>
    </row>
    <row r="278" spans="1:22" ht="15" customHeight="1" x14ac:dyDescent="0.25">
      <c r="A278" s="17"/>
      <c r="G278"/>
      <c r="H278"/>
      <c r="J278"/>
      <c r="K278"/>
      <c r="L278"/>
      <c r="M278"/>
      <c r="N278"/>
      <c r="P278"/>
      <c r="Q278"/>
      <c r="R278"/>
      <c r="S278"/>
      <c r="T278"/>
      <c r="U278" s="46"/>
      <c r="V278" s="46"/>
    </row>
    <row r="279" spans="1:22" ht="15" customHeight="1" x14ac:dyDescent="0.25">
      <c r="A279" s="17"/>
      <c r="G279"/>
      <c r="H279"/>
      <c r="J279"/>
      <c r="K279"/>
      <c r="L279"/>
      <c r="M279"/>
      <c r="N279"/>
      <c r="P279"/>
      <c r="Q279"/>
      <c r="R279"/>
      <c r="S279"/>
      <c r="T279"/>
      <c r="U279" s="46"/>
      <c r="V279" s="46"/>
    </row>
    <row r="280" spans="1:22" ht="15" customHeight="1" x14ac:dyDescent="0.25">
      <c r="A280" s="17"/>
      <c r="G280"/>
      <c r="H280"/>
      <c r="J280"/>
      <c r="K280"/>
      <c r="L280"/>
      <c r="M280"/>
      <c r="N280"/>
      <c r="P280"/>
      <c r="Q280"/>
      <c r="R280"/>
      <c r="S280"/>
      <c r="T280"/>
      <c r="U280" s="46"/>
      <c r="V280" s="46"/>
    </row>
    <row r="281" spans="1:22" ht="15" customHeight="1" x14ac:dyDescent="0.25">
      <c r="A281" s="17"/>
      <c r="G281"/>
      <c r="H281"/>
      <c r="J281"/>
      <c r="K281"/>
      <c r="L281"/>
      <c r="M281"/>
      <c r="N281"/>
      <c r="P281"/>
      <c r="Q281"/>
      <c r="R281"/>
      <c r="S281"/>
      <c r="T281"/>
      <c r="U281" s="46"/>
      <c r="V281" s="46"/>
    </row>
    <row r="282" spans="1:22" ht="15" customHeight="1" x14ac:dyDescent="0.25">
      <c r="A282" s="17"/>
      <c r="G282"/>
      <c r="H282"/>
      <c r="J282"/>
      <c r="K282"/>
      <c r="L282"/>
      <c r="M282"/>
      <c r="N282"/>
      <c r="P282"/>
      <c r="Q282"/>
      <c r="R282"/>
      <c r="S282"/>
      <c r="T282"/>
      <c r="U282" s="46"/>
      <c r="V282" s="46"/>
    </row>
    <row r="283" spans="1:22" ht="15" customHeight="1" x14ac:dyDescent="0.25">
      <c r="A283" s="17"/>
      <c r="G283"/>
      <c r="H283"/>
      <c r="J283"/>
      <c r="K283"/>
      <c r="L283"/>
      <c r="M283"/>
      <c r="N283"/>
      <c r="P283"/>
      <c r="Q283"/>
      <c r="R283"/>
      <c r="S283"/>
      <c r="T283"/>
      <c r="U283" s="46"/>
      <c r="V283" s="46"/>
    </row>
    <row r="284" spans="1:22" ht="15" customHeight="1" x14ac:dyDescent="0.25">
      <c r="A284" s="17"/>
      <c r="G284"/>
      <c r="H284"/>
      <c r="J284"/>
      <c r="K284"/>
      <c r="L284"/>
      <c r="M284"/>
      <c r="N284"/>
      <c r="P284"/>
      <c r="Q284"/>
      <c r="R284"/>
      <c r="S284"/>
      <c r="T284"/>
      <c r="U284" s="46"/>
      <c r="V284" s="46"/>
    </row>
    <row r="285" spans="1:22" ht="15" customHeight="1" x14ac:dyDescent="0.25">
      <c r="A285" s="17"/>
      <c r="G285"/>
      <c r="H285"/>
      <c r="J285"/>
      <c r="K285"/>
      <c r="L285"/>
      <c r="M285"/>
      <c r="N285"/>
      <c r="P285"/>
      <c r="Q285"/>
      <c r="R285"/>
      <c r="S285"/>
      <c r="T285"/>
      <c r="U285" s="46"/>
      <c r="V285" s="46"/>
    </row>
    <row r="286" spans="1:22" ht="15" customHeight="1" x14ac:dyDescent="0.25">
      <c r="A286" s="17"/>
      <c r="G286"/>
      <c r="H286"/>
      <c r="J286"/>
      <c r="K286"/>
      <c r="L286"/>
      <c r="M286"/>
      <c r="N286"/>
      <c r="P286"/>
      <c r="Q286"/>
      <c r="R286"/>
      <c r="S286"/>
      <c r="T286"/>
      <c r="U286" s="46"/>
      <c r="V286" s="46"/>
    </row>
    <row r="287" spans="1:22" ht="15" customHeight="1" x14ac:dyDescent="0.25">
      <c r="A287" s="17"/>
      <c r="G287"/>
      <c r="H287"/>
      <c r="J287"/>
      <c r="K287"/>
      <c r="L287"/>
      <c r="M287"/>
      <c r="N287"/>
      <c r="P287"/>
      <c r="Q287"/>
      <c r="R287"/>
      <c r="S287"/>
      <c r="T287"/>
      <c r="U287" s="46"/>
      <c r="V287" s="46"/>
    </row>
    <row r="288" spans="1:22" ht="15" customHeight="1" x14ac:dyDescent="0.25">
      <c r="A288" s="17"/>
      <c r="G288"/>
      <c r="H288"/>
      <c r="J288"/>
      <c r="K288"/>
      <c r="L288"/>
      <c r="M288"/>
      <c r="N288"/>
      <c r="P288"/>
      <c r="Q288"/>
      <c r="R288"/>
      <c r="S288"/>
      <c r="T288"/>
      <c r="U288" s="46"/>
      <c r="V288" s="46"/>
    </row>
    <row r="289" spans="1:22" ht="15" customHeight="1" x14ac:dyDescent="0.25">
      <c r="A289" s="17"/>
      <c r="G289"/>
      <c r="H289"/>
      <c r="J289"/>
      <c r="K289"/>
      <c r="L289"/>
      <c r="M289"/>
      <c r="N289"/>
      <c r="P289"/>
      <c r="Q289"/>
      <c r="R289"/>
      <c r="S289"/>
      <c r="T289"/>
      <c r="U289" s="46"/>
      <c r="V289" s="46"/>
    </row>
    <row r="290" spans="1:22" ht="15" customHeight="1" x14ac:dyDescent="0.25">
      <c r="A290" s="17"/>
      <c r="G290"/>
      <c r="H290"/>
      <c r="J290"/>
      <c r="K290"/>
      <c r="L290"/>
      <c r="M290"/>
      <c r="N290"/>
      <c r="P290"/>
      <c r="Q290"/>
      <c r="R290"/>
      <c r="S290"/>
      <c r="T290"/>
      <c r="U290" s="46"/>
      <c r="V290" s="46"/>
    </row>
    <row r="291" spans="1:22" ht="15" customHeight="1" x14ac:dyDescent="0.25">
      <c r="A291" s="17"/>
      <c r="G291"/>
      <c r="H291"/>
      <c r="J291"/>
      <c r="K291"/>
      <c r="L291"/>
      <c r="M291"/>
      <c r="N291"/>
      <c r="P291"/>
      <c r="Q291"/>
      <c r="R291"/>
      <c r="S291"/>
      <c r="T291"/>
      <c r="U291" s="46"/>
      <c r="V291" s="46"/>
    </row>
    <row r="292" spans="1:22" ht="15" customHeight="1" x14ac:dyDescent="0.25">
      <c r="A292" s="17"/>
      <c r="G292"/>
      <c r="H292"/>
      <c r="J292"/>
      <c r="K292"/>
      <c r="L292"/>
      <c r="M292"/>
      <c r="N292"/>
      <c r="P292"/>
      <c r="Q292"/>
      <c r="R292"/>
      <c r="S292"/>
      <c r="T292"/>
      <c r="U292" s="46"/>
      <c r="V292" s="46"/>
    </row>
    <row r="293" spans="1:22" ht="15" customHeight="1" x14ac:dyDescent="0.25">
      <c r="A293" s="17"/>
      <c r="G293"/>
      <c r="H293"/>
      <c r="J293"/>
      <c r="K293"/>
      <c r="L293"/>
      <c r="M293"/>
      <c r="N293"/>
      <c r="P293"/>
      <c r="Q293"/>
      <c r="R293"/>
      <c r="S293"/>
      <c r="T293"/>
      <c r="U293" s="46"/>
      <c r="V293" s="46"/>
    </row>
    <row r="294" spans="1:22" ht="15" customHeight="1" x14ac:dyDescent="0.25">
      <c r="A294" s="17"/>
      <c r="G294"/>
      <c r="H294"/>
      <c r="J294"/>
      <c r="K294"/>
      <c r="L294"/>
      <c r="M294"/>
      <c r="N294"/>
      <c r="P294"/>
      <c r="Q294"/>
      <c r="R294"/>
      <c r="S294"/>
      <c r="T294"/>
      <c r="U294" s="46"/>
      <c r="V294" s="46"/>
    </row>
    <row r="295" spans="1:22" ht="15" customHeight="1" x14ac:dyDescent="0.25">
      <c r="A295" s="17"/>
      <c r="G295"/>
      <c r="H295"/>
      <c r="J295"/>
      <c r="K295"/>
      <c r="L295"/>
      <c r="M295"/>
      <c r="N295"/>
      <c r="P295"/>
      <c r="Q295"/>
      <c r="R295"/>
      <c r="S295"/>
      <c r="T295"/>
      <c r="U295" s="46"/>
      <c r="V295" s="46"/>
    </row>
    <row r="296" spans="1:22" ht="15" customHeight="1" x14ac:dyDescent="0.25">
      <c r="A296" s="17"/>
      <c r="G296"/>
      <c r="H296"/>
      <c r="J296"/>
      <c r="K296"/>
      <c r="L296"/>
      <c r="M296"/>
      <c r="N296"/>
      <c r="P296"/>
      <c r="Q296"/>
      <c r="R296"/>
      <c r="S296"/>
      <c r="T296"/>
      <c r="U296" s="46"/>
      <c r="V296" s="46"/>
    </row>
    <row r="297" spans="1:22" ht="15" customHeight="1" x14ac:dyDescent="0.25">
      <c r="A297" s="17"/>
      <c r="G297"/>
      <c r="H297"/>
      <c r="J297"/>
      <c r="K297"/>
      <c r="L297"/>
      <c r="M297"/>
      <c r="N297"/>
      <c r="P297"/>
      <c r="Q297"/>
      <c r="R297"/>
      <c r="S297"/>
      <c r="T297"/>
      <c r="U297" s="46"/>
      <c r="V297" s="46"/>
    </row>
    <row r="298" spans="1:22" ht="15" customHeight="1" x14ac:dyDescent="0.25">
      <c r="A298" s="17"/>
      <c r="G298"/>
      <c r="H298"/>
      <c r="J298"/>
      <c r="K298"/>
      <c r="L298"/>
      <c r="M298"/>
      <c r="N298"/>
      <c r="P298"/>
      <c r="Q298"/>
      <c r="R298"/>
      <c r="S298"/>
      <c r="T298"/>
      <c r="U298" s="46"/>
      <c r="V298" s="46"/>
    </row>
    <row r="299" spans="1:22" ht="15" customHeight="1" x14ac:dyDescent="0.25">
      <c r="A299" s="17"/>
      <c r="G299"/>
      <c r="H299"/>
      <c r="J299"/>
      <c r="K299"/>
      <c r="L299"/>
      <c r="M299"/>
      <c r="N299"/>
      <c r="P299"/>
      <c r="Q299"/>
      <c r="R299"/>
      <c r="S299"/>
      <c r="T299"/>
      <c r="U299" s="46"/>
      <c r="V299" s="46"/>
    </row>
    <row r="300" spans="1:22" ht="15" customHeight="1" x14ac:dyDescent="0.25">
      <c r="A300" s="17"/>
      <c r="G300"/>
      <c r="H300"/>
      <c r="J300"/>
      <c r="K300"/>
      <c r="L300"/>
      <c r="M300"/>
      <c r="N300"/>
      <c r="P300"/>
      <c r="Q300"/>
      <c r="R300"/>
      <c r="S300"/>
      <c r="T300"/>
      <c r="U300" s="46"/>
      <c r="V300" s="46"/>
    </row>
    <row r="301" spans="1:22" ht="15" customHeight="1" x14ac:dyDescent="0.25">
      <c r="A301" s="17"/>
      <c r="G301"/>
      <c r="H301"/>
      <c r="J301"/>
      <c r="K301"/>
      <c r="L301"/>
      <c r="M301"/>
      <c r="N301"/>
      <c r="P301"/>
      <c r="Q301"/>
      <c r="R301"/>
      <c r="S301"/>
      <c r="T301"/>
      <c r="U301" s="46"/>
      <c r="V301" s="46"/>
    </row>
    <row r="302" spans="1:22" ht="15" customHeight="1" x14ac:dyDescent="0.25">
      <c r="A302" s="17"/>
      <c r="G302"/>
      <c r="H302"/>
      <c r="J302"/>
      <c r="K302"/>
      <c r="L302"/>
      <c r="M302"/>
      <c r="N302"/>
      <c r="P302"/>
      <c r="Q302"/>
      <c r="R302"/>
      <c r="S302"/>
      <c r="T302"/>
      <c r="U302" s="46"/>
      <c r="V302" s="46"/>
    </row>
    <row r="303" spans="1:22" ht="15" customHeight="1" x14ac:dyDescent="0.25">
      <c r="A303" s="17"/>
      <c r="G303"/>
      <c r="H303"/>
      <c r="J303"/>
      <c r="K303"/>
      <c r="L303"/>
      <c r="M303"/>
      <c r="N303"/>
      <c r="P303"/>
      <c r="Q303"/>
      <c r="R303"/>
      <c r="S303"/>
      <c r="T303"/>
      <c r="U303" s="46"/>
      <c r="V303" s="46"/>
    </row>
    <row r="304" spans="1:22" ht="15" customHeight="1" x14ac:dyDescent="0.25">
      <c r="A304" s="17"/>
      <c r="G304"/>
      <c r="H304"/>
      <c r="J304"/>
      <c r="K304"/>
      <c r="L304"/>
      <c r="M304"/>
      <c r="N304"/>
      <c r="P304"/>
      <c r="Q304"/>
      <c r="R304"/>
      <c r="S304"/>
      <c r="T304"/>
      <c r="U304" s="46"/>
      <c r="V304" s="46"/>
    </row>
    <row r="305" spans="1:22" ht="15" customHeight="1" x14ac:dyDescent="0.25">
      <c r="A305" s="17"/>
      <c r="G305"/>
      <c r="H305"/>
      <c r="J305"/>
      <c r="K305"/>
      <c r="L305"/>
      <c r="M305"/>
      <c r="N305"/>
      <c r="P305"/>
      <c r="Q305"/>
      <c r="R305"/>
      <c r="S305"/>
      <c r="T305"/>
      <c r="U305" s="46"/>
      <c r="V305" s="46"/>
    </row>
    <row r="306" spans="1:22" ht="15" customHeight="1" x14ac:dyDescent="0.25">
      <c r="A306" s="17"/>
      <c r="G306"/>
      <c r="H306"/>
      <c r="J306"/>
      <c r="K306"/>
      <c r="L306"/>
      <c r="M306"/>
      <c r="N306"/>
      <c r="P306"/>
      <c r="Q306"/>
      <c r="R306"/>
      <c r="S306"/>
      <c r="T306"/>
      <c r="U306" s="46"/>
      <c r="V306" s="46"/>
    </row>
    <row r="307" spans="1:22" ht="15" customHeight="1" x14ac:dyDescent="0.25">
      <c r="A307" s="17"/>
      <c r="G307"/>
      <c r="H307"/>
      <c r="J307"/>
      <c r="K307"/>
      <c r="L307"/>
      <c r="M307"/>
      <c r="N307"/>
      <c r="P307"/>
      <c r="Q307"/>
      <c r="R307"/>
      <c r="S307"/>
      <c r="T307"/>
      <c r="U307" s="46"/>
      <c r="V307" s="46"/>
    </row>
    <row r="308" spans="1:22" ht="15" customHeight="1" x14ac:dyDescent="0.25">
      <c r="A308" s="17"/>
      <c r="G308"/>
      <c r="H308"/>
      <c r="J308"/>
      <c r="K308"/>
      <c r="L308"/>
      <c r="M308"/>
      <c r="N308"/>
      <c r="P308"/>
      <c r="Q308"/>
      <c r="R308"/>
      <c r="S308"/>
      <c r="T308"/>
      <c r="U308" s="46"/>
      <c r="V308" s="46"/>
    </row>
    <row r="309" spans="1:22" ht="15" customHeight="1" x14ac:dyDescent="0.25">
      <c r="A309" s="17"/>
      <c r="G309"/>
      <c r="H309"/>
      <c r="J309"/>
      <c r="K309"/>
      <c r="L309"/>
      <c r="M309"/>
      <c r="N309"/>
      <c r="P309"/>
      <c r="Q309"/>
      <c r="R309"/>
      <c r="S309"/>
      <c r="T309"/>
      <c r="U309" s="46"/>
      <c r="V309" s="46"/>
    </row>
    <row r="310" spans="1:22" ht="15" customHeight="1" x14ac:dyDescent="0.25">
      <c r="A310" s="17"/>
      <c r="G310"/>
      <c r="H310"/>
      <c r="J310"/>
      <c r="K310"/>
      <c r="L310"/>
      <c r="M310"/>
      <c r="N310"/>
      <c r="P310"/>
      <c r="Q310"/>
      <c r="R310"/>
      <c r="S310"/>
      <c r="T310"/>
      <c r="U310" s="46"/>
      <c r="V310" s="46"/>
    </row>
    <row r="311" spans="1:22" ht="15" customHeight="1" x14ac:dyDescent="0.25">
      <c r="A311" s="17"/>
      <c r="G311"/>
      <c r="H311"/>
      <c r="J311"/>
      <c r="K311"/>
      <c r="L311"/>
      <c r="M311"/>
      <c r="N311"/>
      <c r="P311"/>
      <c r="Q311"/>
      <c r="R311"/>
      <c r="S311"/>
      <c r="T311"/>
      <c r="U311" s="46"/>
      <c r="V311" s="46"/>
    </row>
    <row r="312" spans="1:22" ht="15" customHeight="1" x14ac:dyDescent="0.25">
      <c r="A312" s="17"/>
      <c r="G312"/>
      <c r="H312"/>
      <c r="J312"/>
      <c r="K312"/>
      <c r="L312"/>
      <c r="M312"/>
      <c r="N312"/>
      <c r="P312"/>
      <c r="Q312"/>
      <c r="R312"/>
      <c r="S312"/>
      <c r="T312"/>
      <c r="U312" s="46"/>
      <c r="V312" s="46"/>
    </row>
    <row r="313" spans="1:22" ht="15" customHeight="1" x14ac:dyDescent="0.25">
      <c r="A313" s="17"/>
      <c r="G313"/>
      <c r="H313"/>
      <c r="J313"/>
      <c r="K313"/>
      <c r="L313"/>
      <c r="M313"/>
      <c r="N313"/>
      <c r="P313"/>
      <c r="Q313"/>
      <c r="R313"/>
      <c r="S313"/>
      <c r="T313"/>
      <c r="U313" s="46"/>
      <c r="V313" s="46"/>
    </row>
    <row r="314" spans="1:22" ht="15" customHeight="1" x14ac:dyDescent="0.25">
      <c r="A314" s="17"/>
      <c r="G314"/>
      <c r="H314"/>
      <c r="J314"/>
      <c r="K314"/>
      <c r="L314"/>
      <c r="M314"/>
      <c r="N314"/>
      <c r="P314"/>
      <c r="Q314"/>
      <c r="R314"/>
      <c r="S314"/>
      <c r="T314"/>
      <c r="U314" s="46"/>
      <c r="V314" s="46"/>
    </row>
    <row r="315" spans="1:22" ht="15" customHeight="1" x14ac:dyDescent="0.25">
      <c r="A315" s="17"/>
      <c r="G315"/>
      <c r="H315"/>
      <c r="J315"/>
      <c r="K315"/>
      <c r="L315"/>
      <c r="M315"/>
      <c r="N315"/>
      <c r="P315"/>
      <c r="Q315"/>
      <c r="R315"/>
      <c r="S315"/>
      <c r="T315"/>
      <c r="U315" s="46"/>
      <c r="V315" s="46"/>
    </row>
    <row r="316" spans="1:22" ht="15" customHeight="1" x14ac:dyDescent="0.25">
      <c r="A316" s="17"/>
      <c r="G316"/>
      <c r="H316"/>
      <c r="J316"/>
      <c r="K316"/>
      <c r="L316"/>
      <c r="M316"/>
      <c r="N316"/>
      <c r="P316"/>
      <c r="Q316"/>
      <c r="R316"/>
      <c r="S316"/>
      <c r="T316"/>
      <c r="U316" s="46"/>
      <c r="V316" s="46"/>
    </row>
    <row r="317" spans="1:22" ht="15" customHeight="1" x14ac:dyDescent="0.25">
      <c r="A317" s="17"/>
      <c r="G317"/>
      <c r="H317"/>
      <c r="J317"/>
      <c r="K317"/>
      <c r="L317"/>
      <c r="M317"/>
      <c r="N317"/>
      <c r="P317"/>
      <c r="Q317"/>
      <c r="R317"/>
      <c r="S317"/>
      <c r="T317"/>
      <c r="U317" s="46"/>
      <c r="V317" s="46"/>
    </row>
    <row r="318" spans="1:22" ht="15" customHeight="1" x14ac:dyDescent="0.25">
      <c r="A318" s="17"/>
      <c r="G318"/>
      <c r="H318"/>
      <c r="J318"/>
      <c r="K318"/>
      <c r="L318"/>
      <c r="M318"/>
      <c r="N318"/>
      <c r="P318"/>
      <c r="Q318"/>
      <c r="R318"/>
      <c r="S318"/>
      <c r="T318"/>
      <c r="U318" s="46"/>
      <c r="V318" s="46"/>
    </row>
    <row r="319" spans="1:22" ht="15" customHeight="1" x14ac:dyDescent="0.25">
      <c r="A319" s="17"/>
      <c r="G319"/>
      <c r="H319"/>
      <c r="J319"/>
      <c r="K319"/>
      <c r="L319"/>
      <c r="M319"/>
      <c r="N319"/>
      <c r="P319"/>
      <c r="Q319"/>
      <c r="R319"/>
      <c r="S319"/>
      <c r="T319"/>
      <c r="U319" s="46"/>
      <c r="V319" s="46"/>
    </row>
    <row r="320" spans="1:22" ht="15" customHeight="1" x14ac:dyDescent="0.25">
      <c r="A320" s="17"/>
      <c r="G320"/>
      <c r="H320"/>
      <c r="J320"/>
      <c r="K320"/>
      <c r="L320"/>
      <c r="M320"/>
      <c r="N320"/>
      <c r="P320"/>
      <c r="Q320"/>
      <c r="R320"/>
      <c r="S320"/>
      <c r="T320"/>
      <c r="U320" s="46"/>
      <c r="V320" s="46"/>
    </row>
    <row r="321" spans="1:22" ht="15" customHeight="1" x14ac:dyDescent="0.25">
      <c r="A321" s="17"/>
      <c r="G321"/>
      <c r="H321"/>
      <c r="J321"/>
      <c r="K321"/>
      <c r="L321"/>
      <c r="M321"/>
      <c r="N321"/>
      <c r="P321"/>
      <c r="Q321"/>
      <c r="R321"/>
      <c r="S321"/>
      <c r="T321"/>
      <c r="U321" s="46"/>
      <c r="V321" s="46"/>
    </row>
    <row r="322" spans="1:22" ht="15" customHeight="1" x14ac:dyDescent="0.25">
      <c r="A322" s="17"/>
      <c r="G322"/>
      <c r="H322"/>
      <c r="J322"/>
      <c r="K322"/>
      <c r="L322"/>
      <c r="M322"/>
      <c r="N322"/>
      <c r="P322"/>
      <c r="Q322"/>
      <c r="R322"/>
      <c r="S322"/>
      <c r="T322"/>
      <c r="U322" s="46"/>
      <c r="V322" s="46"/>
    </row>
    <row r="323" spans="1:22" ht="15" customHeight="1" x14ac:dyDescent="0.25">
      <c r="A323" s="17"/>
      <c r="G323"/>
      <c r="H323"/>
      <c r="J323"/>
      <c r="K323"/>
      <c r="L323"/>
      <c r="M323"/>
      <c r="N323"/>
      <c r="P323"/>
      <c r="Q323"/>
      <c r="R323"/>
      <c r="S323"/>
      <c r="T323"/>
      <c r="U323" s="46"/>
      <c r="V323" s="46"/>
    </row>
    <row r="324" spans="1:22" ht="15" customHeight="1" x14ac:dyDescent="0.25">
      <c r="A324" s="17"/>
      <c r="G324"/>
      <c r="H324"/>
      <c r="J324"/>
      <c r="K324"/>
      <c r="L324"/>
      <c r="M324"/>
      <c r="N324"/>
      <c r="P324"/>
      <c r="Q324"/>
      <c r="R324"/>
      <c r="S324"/>
      <c r="T324"/>
      <c r="U324" s="46"/>
      <c r="V324" s="46"/>
    </row>
    <row r="325" spans="1:22" ht="15" customHeight="1" x14ac:dyDescent="0.25">
      <c r="A325" s="17"/>
      <c r="G325"/>
      <c r="H325"/>
      <c r="J325"/>
      <c r="K325"/>
      <c r="L325"/>
      <c r="M325"/>
      <c r="N325"/>
      <c r="P325"/>
      <c r="Q325"/>
      <c r="R325"/>
      <c r="S325"/>
      <c r="T325"/>
      <c r="U325" s="46"/>
      <c r="V325" s="46"/>
    </row>
    <row r="326" spans="1:22" ht="15" customHeight="1" x14ac:dyDescent="0.25">
      <c r="A326" s="17"/>
      <c r="G326"/>
      <c r="H326"/>
      <c r="J326"/>
      <c r="K326"/>
      <c r="L326"/>
      <c r="M326"/>
      <c r="N326"/>
      <c r="P326"/>
      <c r="Q326"/>
      <c r="R326"/>
      <c r="S326"/>
      <c r="T326"/>
      <c r="U326" s="46"/>
      <c r="V326" s="46"/>
    </row>
    <row r="327" spans="1:22" ht="15" customHeight="1" x14ac:dyDescent="0.25">
      <c r="A327" s="17"/>
      <c r="G327"/>
      <c r="H327"/>
      <c r="J327"/>
      <c r="K327"/>
      <c r="L327"/>
      <c r="M327"/>
      <c r="N327"/>
      <c r="P327"/>
      <c r="Q327"/>
      <c r="R327"/>
      <c r="S327"/>
      <c r="T327"/>
      <c r="U327" s="46"/>
      <c r="V327" s="46"/>
    </row>
    <row r="328" spans="1:22" ht="15" customHeight="1" x14ac:dyDescent="0.25">
      <c r="A328" s="17"/>
      <c r="G328"/>
      <c r="H328"/>
      <c r="J328"/>
      <c r="K328"/>
      <c r="L328"/>
      <c r="M328"/>
      <c r="N328"/>
      <c r="P328"/>
      <c r="Q328"/>
      <c r="R328"/>
      <c r="S328"/>
      <c r="T328"/>
      <c r="U328" s="46"/>
      <c r="V328" s="46"/>
    </row>
    <row r="329" spans="1:22" ht="15" customHeight="1" x14ac:dyDescent="0.25">
      <c r="A329" s="17"/>
      <c r="G329"/>
      <c r="H329"/>
      <c r="J329"/>
      <c r="K329"/>
      <c r="L329"/>
      <c r="M329"/>
      <c r="N329"/>
      <c r="P329"/>
      <c r="Q329"/>
      <c r="R329"/>
      <c r="S329"/>
      <c r="T329"/>
      <c r="U329" s="46"/>
      <c r="V329" s="46"/>
    </row>
    <row r="330" spans="1:22" ht="15" customHeight="1" x14ac:dyDescent="0.25">
      <c r="A330" s="17"/>
      <c r="G330"/>
      <c r="H330"/>
      <c r="J330"/>
      <c r="K330"/>
      <c r="L330"/>
      <c r="M330"/>
      <c r="N330"/>
      <c r="P330"/>
      <c r="Q330"/>
      <c r="R330"/>
      <c r="S330"/>
      <c r="T330"/>
      <c r="U330" s="46"/>
      <c r="V330" s="46"/>
    </row>
    <row r="331" spans="1:22" ht="15" customHeight="1" x14ac:dyDescent="0.25">
      <c r="A331" s="17"/>
      <c r="G331"/>
      <c r="H331"/>
      <c r="J331"/>
      <c r="K331"/>
      <c r="L331"/>
      <c r="M331"/>
      <c r="N331"/>
      <c r="P331"/>
      <c r="Q331"/>
      <c r="R331"/>
      <c r="S331"/>
      <c r="T331"/>
      <c r="U331" s="46"/>
      <c r="V331" s="46"/>
    </row>
    <row r="332" spans="1:22" ht="15" customHeight="1" x14ac:dyDescent="0.25">
      <c r="A332" s="17"/>
      <c r="G332"/>
      <c r="H332"/>
      <c r="J332"/>
      <c r="K332"/>
      <c r="L332"/>
      <c r="M332"/>
      <c r="N332"/>
      <c r="P332"/>
      <c r="Q332"/>
      <c r="R332"/>
      <c r="S332"/>
      <c r="T332"/>
      <c r="U332" s="46"/>
      <c r="V332" s="46"/>
    </row>
    <row r="333" spans="1:22" ht="15" customHeight="1" x14ac:dyDescent="0.25">
      <c r="A333" s="17"/>
      <c r="G333"/>
      <c r="H333"/>
      <c r="J333"/>
      <c r="K333"/>
      <c r="L333"/>
      <c r="M333"/>
      <c r="N333"/>
      <c r="P333"/>
      <c r="Q333"/>
      <c r="R333"/>
      <c r="S333"/>
      <c r="T333"/>
      <c r="U333" s="46"/>
      <c r="V333" s="46"/>
    </row>
    <row r="334" spans="1:22" ht="15" customHeight="1" x14ac:dyDescent="0.25">
      <c r="A334" s="17"/>
      <c r="G334"/>
      <c r="H334"/>
      <c r="J334"/>
      <c r="K334"/>
      <c r="L334"/>
      <c r="M334"/>
      <c r="N334"/>
      <c r="P334"/>
      <c r="Q334"/>
      <c r="R334"/>
      <c r="S334"/>
      <c r="T334"/>
      <c r="U334" s="46"/>
      <c r="V334" s="46"/>
    </row>
    <row r="335" spans="1:22" ht="15" customHeight="1" x14ac:dyDescent="0.25">
      <c r="A335" s="17"/>
      <c r="G335"/>
      <c r="H335"/>
      <c r="J335"/>
      <c r="K335"/>
      <c r="L335"/>
      <c r="M335"/>
      <c r="N335"/>
      <c r="P335"/>
      <c r="Q335"/>
      <c r="R335"/>
      <c r="S335"/>
      <c r="T335"/>
      <c r="U335" s="46"/>
      <c r="V335" s="46"/>
    </row>
    <row r="336" spans="1:22" ht="15" customHeight="1" x14ac:dyDescent="0.25">
      <c r="A336" s="17"/>
      <c r="G336"/>
      <c r="H336"/>
      <c r="J336"/>
      <c r="K336"/>
      <c r="L336"/>
      <c r="M336"/>
      <c r="N336"/>
      <c r="P336"/>
      <c r="Q336"/>
      <c r="R336"/>
      <c r="S336"/>
      <c r="T336"/>
      <c r="U336" s="46"/>
      <c r="V336" s="46"/>
    </row>
    <row r="337" spans="1:22" ht="15" customHeight="1" x14ac:dyDescent="0.25">
      <c r="A337" s="17"/>
      <c r="G337"/>
      <c r="H337"/>
      <c r="J337"/>
      <c r="K337"/>
      <c r="L337"/>
      <c r="M337"/>
      <c r="N337"/>
      <c r="P337"/>
      <c r="Q337"/>
      <c r="R337"/>
      <c r="S337"/>
      <c r="T337"/>
      <c r="U337" s="46"/>
      <c r="V337" s="46"/>
    </row>
    <row r="338" spans="1:22" ht="15" customHeight="1" x14ac:dyDescent="0.25">
      <c r="A338" s="17"/>
      <c r="G338"/>
      <c r="H338"/>
      <c r="J338"/>
      <c r="K338"/>
      <c r="L338"/>
      <c r="M338"/>
      <c r="N338"/>
      <c r="P338"/>
      <c r="Q338"/>
      <c r="R338"/>
      <c r="S338"/>
      <c r="T338"/>
      <c r="U338" s="46"/>
      <c r="V338" s="46"/>
    </row>
    <row r="339" spans="1:22" ht="15" customHeight="1" x14ac:dyDescent="0.25">
      <c r="A339" s="17"/>
      <c r="G339"/>
      <c r="H339"/>
      <c r="J339"/>
      <c r="K339"/>
      <c r="L339"/>
      <c r="M339"/>
      <c r="N339"/>
      <c r="P339"/>
      <c r="Q339"/>
      <c r="R339"/>
      <c r="S339"/>
      <c r="T339"/>
      <c r="U339" s="46"/>
      <c r="V339" s="46"/>
    </row>
    <row r="340" spans="1:22" ht="15" customHeight="1" x14ac:dyDescent="0.25">
      <c r="A340" s="17"/>
      <c r="G340"/>
      <c r="H340"/>
      <c r="J340"/>
      <c r="K340"/>
      <c r="L340"/>
      <c r="M340"/>
      <c r="N340"/>
      <c r="P340"/>
      <c r="Q340"/>
      <c r="R340"/>
      <c r="S340"/>
      <c r="T340"/>
      <c r="U340" s="46"/>
      <c r="V340" s="46"/>
    </row>
    <row r="341" spans="1:22" ht="15" customHeight="1" x14ac:dyDescent="0.25">
      <c r="A341" s="17"/>
      <c r="G341"/>
      <c r="H341"/>
      <c r="J341"/>
      <c r="K341"/>
      <c r="L341"/>
      <c r="M341"/>
      <c r="N341"/>
      <c r="P341"/>
      <c r="Q341"/>
      <c r="R341"/>
      <c r="S341"/>
      <c r="T341"/>
      <c r="U341" s="46"/>
      <c r="V341" s="46"/>
    </row>
    <row r="342" spans="1:22" ht="15" customHeight="1" x14ac:dyDescent="0.25">
      <c r="A342" s="17"/>
      <c r="G342"/>
      <c r="H342"/>
      <c r="J342"/>
      <c r="K342"/>
      <c r="L342"/>
      <c r="M342"/>
      <c r="N342"/>
      <c r="P342"/>
      <c r="Q342"/>
      <c r="R342"/>
      <c r="S342"/>
      <c r="T342"/>
      <c r="U342" s="46"/>
      <c r="V342" s="46"/>
    </row>
    <row r="343" spans="1:22" ht="15" customHeight="1" x14ac:dyDescent="0.25">
      <c r="A343" s="17"/>
      <c r="G343"/>
      <c r="H343"/>
      <c r="J343"/>
      <c r="K343"/>
      <c r="L343"/>
      <c r="M343"/>
      <c r="N343"/>
      <c r="P343"/>
      <c r="Q343"/>
      <c r="R343"/>
      <c r="S343"/>
      <c r="T343"/>
      <c r="U343" s="46"/>
      <c r="V343" s="46"/>
    </row>
    <row r="344" spans="1:22" ht="15" customHeight="1" x14ac:dyDescent="0.25">
      <c r="A344" s="17"/>
      <c r="G344"/>
      <c r="H344"/>
      <c r="J344"/>
      <c r="K344"/>
      <c r="L344"/>
      <c r="M344"/>
      <c r="N344"/>
      <c r="P344"/>
      <c r="Q344"/>
      <c r="R344"/>
      <c r="S344"/>
      <c r="T344"/>
      <c r="U344" s="46"/>
      <c r="V344" s="46"/>
    </row>
    <row r="345" spans="1:22" ht="15" customHeight="1" x14ac:dyDescent="0.25">
      <c r="A345" s="17"/>
      <c r="G345"/>
      <c r="H345"/>
      <c r="J345"/>
      <c r="K345"/>
      <c r="L345"/>
      <c r="M345"/>
      <c r="N345"/>
      <c r="P345"/>
      <c r="Q345"/>
      <c r="R345"/>
      <c r="S345"/>
      <c r="T345"/>
      <c r="U345" s="46"/>
      <c r="V345" s="46"/>
    </row>
    <row r="346" spans="1:22" ht="15" customHeight="1" x14ac:dyDescent="0.25">
      <c r="A346" s="17"/>
      <c r="G346"/>
      <c r="H346"/>
      <c r="J346"/>
      <c r="K346"/>
      <c r="L346"/>
      <c r="M346"/>
      <c r="N346"/>
      <c r="P346"/>
      <c r="Q346"/>
      <c r="R346"/>
      <c r="S346"/>
      <c r="T346"/>
      <c r="U346" s="46"/>
      <c r="V346" s="46"/>
    </row>
    <row r="347" spans="1:22" ht="15" customHeight="1" x14ac:dyDescent="0.25">
      <c r="A347" s="17"/>
      <c r="G347"/>
      <c r="H347"/>
      <c r="J347"/>
      <c r="K347"/>
      <c r="L347"/>
      <c r="M347"/>
      <c r="N347"/>
      <c r="P347"/>
      <c r="Q347"/>
      <c r="R347"/>
      <c r="S347"/>
      <c r="T347"/>
      <c r="U347" s="46"/>
      <c r="V347" s="46"/>
    </row>
    <row r="348" spans="1:22" ht="15" customHeight="1" x14ac:dyDescent="0.25">
      <c r="A348" s="17"/>
      <c r="G348"/>
      <c r="H348"/>
      <c r="J348"/>
      <c r="K348"/>
      <c r="L348"/>
      <c r="M348"/>
      <c r="N348"/>
      <c r="P348"/>
      <c r="Q348"/>
      <c r="R348"/>
      <c r="S348"/>
      <c r="T348"/>
      <c r="U348" s="46"/>
      <c r="V348" s="46"/>
    </row>
    <row r="349" spans="1:22" ht="15" customHeight="1" x14ac:dyDescent="0.25">
      <c r="A349" s="17"/>
      <c r="G349"/>
      <c r="H349"/>
      <c r="J349"/>
      <c r="K349"/>
      <c r="L349"/>
      <c r="M349"/>
      <c r="N349"/>
      <c r="P349"/>
      <c r="Q349"/>
      <c r="R349"/>
      <c r="S349"/>
      <c r="T349"/>
      <c r="U349" s="46"/>
      <c r="V349" s="46"/>
    </row>
    <row r="350" spans="1:22" ht="15" customHeight="1" x14ac:dyDescent="0.25">
      <c r="A350" s="17"/>
      <c r="G350"/>
      <c r="H350"/>
      <c r="J350"/>
      <c r="K350"/>
      <c r="L350"/>
      <c r="M350"/>
      <c r="N350"/>
      <c r="P350"/>
      <c r="Q350"/>
      <c r="R350"/>
      <c r="S350"/>
      <c r="T350"/>
      <c r="U350" s="46"/>
      <c r="V350" s="46"/>
    </row>
    <row r="351" spans="1:22" ht="15" customHeight="1" x14ac:dyDescent="0.25">
      <c r="A351" s="17"/>
      <c r="G351"/>
      <c r="H351"/>
      <c r="J351"/>
      <c r="K351"/>
      <c r="L351"/>
      <c r="M351"/>
      <c r="N351"/>
      <c r="P351"/>
      <c r="Q351"/>
      <c r="R351"/>
      <c r="S351"/>
      <c r="T351"/>
      <c r="U351" s="46"/>
      <c r="V351" s="46"/>
    </row>
    <row r="352" spans="1:22" ht="15" customHeight="1" x14ac:dyDescent="0.25">
      <c r="A352" s="17"/>
      <c r="G352"/>
      <c r="H352"/>
      <c r="J352"/>
      <c r="K352"/>
      <c r="L352"/>
      <c r="M352"/>
      <c r="N352"/>
      <c r="P352"/>
      <c r="Q352"/>
      <c r="R352"/>
      <c r="S352"/>
      <c r="T352"/>
      <c r="U352" s="46"/>
      <c r="V352" s="46"/>
    </row>
    <row r="353" spans="1:22" ht="15" customHeight="1" x14ac:dyDescent="0.25">
      <c r="A353" s="17"/>
      <c r="G353"/>
      <c r="H353"/>
      <c r="J353"/>
      <c r="K353"/>
      <c r="L353"/>
      <c r="M353"/>
      <c r="N353"/>
      <c r="P353"/>
      <c r="Q353"/>
      <c r="R353"/>
      <c r="S353"/>
      <c r="T353"/>
      <c r="U353" s="46"/>
      <c r="V353" s="46"/>
    </row>
    <row r="354" spans="1:22" ht="15" customHeight="1" x14ac:dyDescent="0.25">
      <c r="A354" s="17"/>
      <c r="G354"/>
      <c r="H354"/>
      <c r="J354"/>
      <c r="K354"/>
      <c r="L354"/>
      <c r="M354"/>
      <c r="N354"/>
      <c r="P354"/>
      <c r="Q354"/>
      <c r="R354"/>
      <c r="S354"/>
      <c r="T354"/>
      <c r="U354" s="46"/>
      <c r="V354" s="46"/>
    </row>
    <row r="355" spans="1:22" ht="15" customHeight="1" x14ac:dyDescent="0.25">
      <c r="A355" s="17"/>
      <c r="G355"/>
      <c r="H355"/>
      <c r="J355"/>
      <c r="K355"/>
      <c r="L355"/>
      <c r="M355"/>
      <c r="N355"/>
      <c r="P355"/>
      <c r="Q355"/>
      <c r="R355"/>
      <c r="S355"/>
      <c r="T355"/>
      <c r="U355" s="46"/>
      <c r="V355" s="46"/>
    </row>
    <row r="356" spans="1:22" ht="15" customHeight="1" x14ac:dyDescent="0.25">
      <c r="A356" s="17"/>
      <c r="G356"/>
      <c r="H356"/>
      <c r="J356"/>
      <c r="K356"/>
      <c r="L356"/>
      <c r="M356"/>
      <c r="N356"/>
      <c r="P356"/>
      <c r="Q356"/>
      <c r="R356"/>
      <c r="S356"/>
      <c r="T356"/>
      <c r="U356" s="46"/>
      <c r="V356" s="46"/>
    </row>
    <row r="357" spans="1:22" ht="15" customHeight="1" x14ac:dyDescent="0.25">
      <c r="A357" s="17"/>
      <c r="G357"/>
      <c r="H357"/>
      <c r="J357"/>
      <c r="K357"/>
      <c r="L357"/>
      <c r="M357"/>
      <c r="N357"/>
      <c r="P357"/>
      <c r="Q357"/>
      <c r="R357"/>
      <c r="S357"/>
      <c r="T357"/>
      <c r="U357" s="46"/>
      <c r="V357" s="46"/>
    </row>
    <row r="358" spans="1:22" ht="15" customHeight="1" x14ac:dyDescent="0.25">
      <c r="A358" s="17"/>
      <c r="G358"/>
      <c r="H358"/>
      <c r="J358"/>
      <c r="K358"/>
      <c r="L358"/>
      <c r="M358"/>
      <c r="N358"/>
      <c r="P358"/>
      <c r="Q358"/>
      <c r="R358"/>
      <c r="S358"/>
      <c r="T358"/>
      <c r="U358" s="46"/>
      <c r="V358" s="46"/>
    </row>
    <row r="359" spans="1:22" ht="15" customHeight="1" x14ac:dyDescent="0.25">
      <c r="A359" s="17"/>
      <c r="G359"/>
      <c r="H359"/>
      <c r="J359"/>
      <c r="K359"/>
      <c r="L359"/>
      <c r="M359"/>
      <c r="N359"/>
      <c r="P359"/>
      <c r="Q359"/>
      <c r="R359"/>
      <c r="S359"/>
      <c r="T359"/>
      <c r="U359" s="46"/>
      <c r="V359" s="46"/>
    </row>
    <row r="360" spans="1:22" ht="15" customHeight="1" x14ac:dyDescent="0.25">
      <c r="A360" s="17"/>
      <c r="G360"/>
      <c r="H360"/>
      <c r="J360"/>
      <c r="K360"/>
      <c r="L360"/>
      <c r="M360"/>
      <c r="N360"/>
      <c r="P360"/>
      <c r="Q360"/>
      <c r="R360"/>
      <c r="S360"/>
      <c r="T360"/>
      <c r="U360" s="46"/>
      <c r="V360" s="46"/>
    </row>
    <row r="361" spans="1:22" ht="15" customHeight="1" x14ac:dyDescent="0.25">
      <c r="A361" s="17"/>
      <c r="G361"/>
      <c r="H361"/>
      <c r="J361"/>
      <c r="K361"/>
      <c r="L361"/>
      <c r="M361"/>
      <c r="N361"/>
      <c r="P361"/>
      <c r="Q361"/>
      <c r="R361"/>
      <c r="S361"/>
      <c r="T361"/>
      <c r="U361" s="46"/>
      <c r="V361" s="46"/>
    </row>
    <row r="362" spans="1:22" ht="15" customHeight="1" x14ac:dyDescent="0.25">
      <c r="A362" s="17"/>
      <c r="G362"/>
      <c r="H362"/>
      <c r="J362"/>
      <c r="K362"/>
      <c r="L362"/>
      <c r="M362"/>
      <c r="N362"/>
      <c r="P362"/>
      <c r="Q362"/>
      <c r="R362"/>
      <c r="S362"/>
      <c r="T362"/>
      <c r="U362" s="46"/>
      <c r="V362" s="46"/>
    </row>
    <row r="363" spans="1:22" ht="15" customHeight="1" x14ac:dyDescent="0.25">
      <c r="A363" s="17"/>
      <c r="G363"/>
      <c r="H363"/>
      <c r="J363"/>
      <c r="K363"/>
      <c r="L363"/>
      <c r="M363"/>
      <c r="N363"/>
      <c r="P363"/>
      <c r="Q363"/>
      <c r="R363"/>
      <c r="S363"/>
      <c r="T363"/>
      <c r="U363" s="46"/>
      <c r="V363" s="46"/>
    </row>
    <row r="364" spans="1:22" ht="15" customHeight="1" x14ac:dyDescent="0.25">
      <c r="A364" s="17"/>
      <c r="G364"/>
      <c r="H364"/>
      <c r="J364"/>
      <c r="K364"/>
      <c r="L364"/>
      <c r="M364"/>
      <c r="N364"/>
      <c r="P364"/>
      <c r="Q364"/>
      <c r="R364"/>
      <c r="S364"/>
      <c r="T364"/>
      <c r="U364" s="46"/>
      <c r="V364" s="46"/>
    </row>
    <row r="365" spans="1:22" ht="15" customHeight="1" x14ac:dyDescent="0.25">
      <c r="A365" s="17"/>
      <c r="G365"/>
      <c r="H365"/>
      <c r="J365"/>
      <c r="K365"/>
      <c r="L365"/>
      <c r="M365"/>
      <c r="N365"/>
      <c r="P365"/>
      <c r="Q365"/>
      <c r="R365"/>
      <c r="S365"/>
      <c r="T365"/>
      <c r="U365" s="46"/>
      <c r="V365" s="46"/>
    </row>
    <row r="366" spans="1:22" ht="15" customHeight="1" x14ac:dyDescent="0.25">
      <c r="A366" s="17"/>
      <c r="G366"/>
      <c r="H366"/>
      <c r="J366"/>
      <c r="K366"/>
      <c r="L366"/>
      <c r="M366"/>
      <c r="N366"/>
      <c r="P366"/>
      <c r="Q366"/>
      <c r="R366"/>
      <c r="S366"/>
      <c r="T366"/>
      <c r="U366" s="46"/>
      <c r="V366" s="46"/>
    </row>
    <row r="367" spans="1:22" ht="15" customHeight="1" x14ac:dyDescent="0.25">
      <c r="A367" s="17"/>
      <c r="G367"/>
      <c r="H367"/>
      <c r="J367"/>
      <c r="K367"/>
      <c r="L367"/>
      <c r="M367"/>
      <c r="N367"/>
      <c r="P367"/>
      <c r="Q367"/>
      <c r="R367"/>
      <c r="S367"/>
      <c r="T367"/>
      <c r="U367" s="46"/>
      <c r="V367" s="46"/>
    </row>
    <row r="368" spans="1:22" ht="15" customHeight="1" x14ac:dyDescent="0.25">
      <c r="A368" s="17"/>
      <c r="G368"/>
      <c r="H368"/>
      <c r="J368"/>
      <c r="K368"/>
      <c r="L368"/>
      <c r="M368"/>
      <c r="N368"/>
      <c r="P368"/>
      <c r="Q368"/>
      <c r="R368"/>
      <c r="S368"/>
      <c r="T368"/>
      <c r="U368" s="46"/>
      <c r="V368" s="46"/>
    </row>
    <row r="369" spans="1:22" ht="15" customHeight="1" x14ac:dyDescent="0.25">
      <c r="A369" s="17"/>
      <c r="G369"/>
      <c r="H369"/>
      <c r="J369"/>
      <c r="K369"/>
      <c r="L369"/>
      <c r="M369"/>
      <c r="N369"/>
      <c r="P369"/>
      <c r="Q369"/>
      <c r="R369"/>
      <c r="S369"/>
      <c r="T369"/>
      <c r="U369" s="46"/>
      <c r="V369" s="46"/>
    </row>
    <row r="370" spans="1:22" ht="15" customHeight="1" x14ac:dyDescent="0.25">
      <c r="A370" s="17"/>
      <c r="G370"/>
      <c r="H370"/>
      <c r="J370"/>
      <c r="K370"/>
      <c r="L370"/>
      <c r="M370"/>
      <c r="N370"/>
      <c r="P370"/>
      <c r="Q370"/>
      <c r="R370"/>
      <c r="S370"/>
      <c r="T370"/>
      <c r="U370" s="46"/>
      <c r="V370" s="46"/>
    </row>
    <row r="371" spans="1:22" ht="15" customHeight="1" x14ac:dyDescent="0.25">
      <c r="A371" s="17"/>
      <c r="G371"/>
      <c r="H371"/>
      <c r="J371"/>
      <c r="K371"/>
      <c r="L371"/>
      <c r="M371"/>
      <c r="N371"/>
      <c r="P371"/>
      <c r="Q371"/>
      <c r="R371"/>
      <c r="S371"/>
      <c r="T371"/>
      <c r="U371" s="46"/>
      <c r="V371" s="46"/>
    </row>
    <row r="372" spans="1:22" ht="15" customHeight="1" x14ac:dyDescent="0.25">
      <c r="A372" s="17"/>
      <c r="G372"/>
      <c r="H372"/>
      <c r="J372"/>
      <c r="K372"/>
      <c r="L372"/>
      <c r="M372"/>
      <c r="N372"/>
      <c r="P372"/>
      <c r="Q372"/>
      <c r="R372"/>
      <c r="S372"/>
      <c r="T372"/>
      <c r="U372" s="46"/>
      <c r="V372" s="46"/>
    </row>
    <row r="373" spans="1:22" ht="15" customHeight="1" x14ac:dyDescent="0.25">
      <c r="A373" s="17"/>
      <c r="G373"/>
      <c r="H373"/>
      <c r="J373"/>
      <c r="K373"/>
      <c r="L373"/>
      <c r="M373"/>
      <c r="N373"/>
      <c r="P373"/>
      <c r="Q373"/>
      <c r="R373"/>
      <c r="S373"/>
      <c r="T373"/>
      <c r="U373" s="46"/>
      <c r="V373" s="46"/>
    </row>
    <row r="374" spans="1:22" ht="15" customHeight="1" x14ac:dyDescent="0.25">
      <c r="A374" s="17"/>
      <c r="G374"/>
      <c r="H374"/>
      <c r="J374"/>
      <c r="K374"/>
      <c r="L374"/>
      <c r="M374"/>
      <c r="N374"/>
      <c r="P374"/>
      <c r="Q374"/>
      <c r="R374"/>
      <c r="S374"/>
      <c r="T374"/>
      <c r="U374" s="46"/>
      <c r="V374" s="46"/>
    </row>
    <row r="375" spans="1:22" ht="15" customHeight="1" x14ac:dyDescent="0.25">
      <c r="A375" s="17"/>
      <c r="G375"/>
      <c r="H375"/>
      <c r="J375"/>
      <c r="K375"/>
      <c r="L375"/>
      <c r="M375"/>
      <c r="N375"/>
      <c r="P375"/>
      <c r="Q375"/>
      <c r="R375"/>
      <c r="S375"/>
      <c r="T375"/>
      <c r="U375" s="46"/>
      <c r="V375" s="46"/>
    </row>
    <row r="376" spans="1:22" ht="15" customHeight="1" x14ac:dyDescent="0.25">
      <c r="A376" s="17"/>
      <c r="G376"/>
      <c r="H376"/>
      <c r="J376"/>
      <c r="K376"/>
      <c r="L376"/>
      <c r="M376"/>
      <c r="N376"/>
      <c r="P376"/>
      <c r="Q376"/>
      <c r="R376"/>
      <c r="S376"/>
      <c r="T376"/>
      <c r="U376" s="46"/>
      <c r="V376" s="46"/>
    </row>
    <row r="377" spans="1:22" ht="15" customHeight="1" x14ac:dyDescent="0.25">
      <c r="A377" s="17"/>
      <c r="G377"/>
      <c r="H377"/>
      <c r="J377"/>
      <c r="K377"/>
      <c r="L377"/>
      <c r="M377"/>
      <c r="N377"/>
      <c r="P377"/>
      <c r="Q377"/>
      <c r="R377"/>
      <c r="S377"/>
      <c r="T377"/>
      <c r="U377" s="46"/>
      <c r="V377" s="46"/>
    </row>
    <row r="378" spans="1:22" ht="15" customHeight="1" x14ac:dyDescent="0.25">
      <c r="A378" s="17"/>
      <c r="G378"/>
      <c r="H378"/>
      <c r="J378"/>
      <c r="K378"/>
      <c r="L378"/>
      <c r="M378"/>
      <c r="N378"/>
      <c r="P378"/>
      <c r="Q378"/>
      <c r="R378"/>
      <c r="S378"/>
      <c r="T378"/>
      <c r="U378" s="46"/>
      <c r="V378" s="46"/>
    </row>
    <row r="379" spans="1:22" ht="15" customHeight="1" x14ac:dyDescent="0.25">
      <c r="A379" s="17"/>
      <c r="G379"/>
      <c r="H379"/>
      <c r="J379"/>
      <c r="K379"/>
      <c r="L379"/>
      <c r="M379"/>
      <c r="N379"/>
      <c r="P379"/>
      <c r="Q379"/>
      <c r="R379"/>
      <c r="S379"/>
      <c r="T379"/>
      <c r="U379" s="46"/>
      <c r="V379" s="46"/>
    </row>
    <row r="380" spans="1:22" ht="15" customHeight="1" x14ac:dyDescent="0.25">
      <c r="A380" s="17"/>
      <c r="G380"/>
      <c r="H380"/>
      <c r="J380"/>
      <c r="K380"/>
      <c r="L380"/>
      <c r="M380"/>
      <c r="N380"/>
      <c r="P380"/>
      <c r="Q380"/>
      <c r="R380"/>
      <c r="S380"/>
      <c r="T380"/>
      <c r="U380" s="46"/>
      <c r="V380" s="46"/>
    </row>
    <row r="381" spans="1:22" ht="15" customHeight="1" x14ac:dyDescent="0.25">
      <c r="A381" s="17"/>
      <c r="G381"/>
      <c r="H381"/>
      <c r="J381"/>
      <c r="K381"/>
      <c r="L381"/>
      <c r="M381"/>
      <c r="N381"/>
      <c r="P381"/>
      <c r="Q381"/>
      <c r="R381"/>
      <c r="S381"/>
      <c r="T381"/>
      <c r="U381" s="46"/>
      <c r="V381" s="46"/>
    </row>
    <row r="382" spans="1:22" ht="15" customHeight="1" x14ac:dyDescent="0.25">
      <c r="A382" s="17"/>
      <c r="G382"/>
      <c r="H382"/>
      <c r="J382"/>
      <c r="K382"/>
      <c r="L382"/>
      <c r="M382"/>
      <c r="N382"/>
      <c r="P382"/>
      <c r="Q382"/>
      <c r="R382"/>
      <c r="S382"/>
      <c r="T382"/>
      <c r="U382" s="46"/>
      <c r="V382" s="46"/>
    </row>
    <row r="383" spans="1:22" ht="15" customHeight="1" x14ac:dyDescent="0.25">
      <c r="A383" s="17"/>
      <c r="G383"/>
      <c r="H383"/>
      <c r="J383"/>
      <c r="K383"/>
      <c r="L383"/>
      <c r="M383"/>
      <c r="N383"/>
      <c r="P383"/>
      <c r="Q383"/>
      <c r="R383"/>
      <c r="S383"/>
      <c r="T383"/>
      <c r="U383" s="46"/>
      <c r="V383" s="46"/>
    </row>
    <row r="384" spans="1:22" ht="15" customHeight="1" x14ac:dyDescent="0.25">
      <c r="A384" s="17"/>
      <c r="G384"/>
      <c r="H384"/>
      <c r="J384"/>
      <c r="K384"/>
      <c r="L384"/>
      <c r="M384"/>
      <c r="N384"/>
      <c r="P384"/>
      <c r="Q384"/>
      <c r="R384"/>
      <c r="S384"/>
      <c r="T384"/>
      <c r="U384" s="46"/>
      <c r="V384" s="46"/>
    </row>
    <row r="385" spans="1:22" ht="15" customHeight="1" x14ac:dyDescent="0.25">
      <c r="A385" s="17"/>
      <c r="G385"/>
      <c r="H385"/>
      <c r="J385"/>
      <c r="K385"/>
      <c r="L385"/>
      <c r="M385"/>
      <c r="N385"/>
      <c r="P385"/>
      <c r="Q385"/>
      <c r="R385"/>
      <c r="S385"/>
      <c r="T385"/>
      <c r="U385" s="46"/>
      <c r="V385" s="46"/>
    </row>
    <row r="386" spans="1:22" ht="15" customHeight="1" x14ac:dyDescent="0.25">
      <c r="A386" s="17"/>
      <c r="G386"/>
      <c r="H386"/>
      <c r="J386"/>
      <c r="K386"/>
      <c r="L386"/>
      <c r="M386"/>
      <c r="N386"/>
      <c r="P386"/>
      <c r="Q386"/>
      <c r="R386"/>
      <c r="S386"/>
      <c r="T386"/>
      <c r="U386" s="46"/>
      <c r="V386" s="46"/>
    </row>
    <row r="387" spans="1:22" ht="15" customHeight="1" x14ac:dyDescent="0.25">
      <c r="A387" s="17"/>
      <c r="G387"/>
      <c r="H387"/>
      <c r="J387"/>
      <c r="K387"/>
      <c r="L387"/>
      <c r="M387"/>
      <c r="N387"/>
      <c r="P387"/>
      <c r="Q387"/>
      <c r="R387"/>
      <c r="S387"/>
      <c r="T387"/>
      <c r="U387" s="46"/>
      <c r="V387" s="46"/>
    </row>
    <row r="388" spans="1:22" ht="15" customHeight="1" x14ac:dyDescent="0.25">
      <c r="A388" s="17"/>
      <c r="G388"/>
      <c r="H388"/>
      <c r="J388"/>
      <c r="K388"/>
      <c r="L388"/>
      <c r="M388"/>
      <c r="N388"/>
      <c r="P388"/>
      <c r="Q388"/>
      <c r="R388"/>
      <c r="S388"/>
      <c r="T388"/>
      <c r="U388" s="46"/>
      <c r="V388" s="46"/>
    </row>
    <row r="389" spans="1:22" ht="15" customHeight="1" x14ac:dyDescent="0.25">
      <c r="A389" s="17"/>
      <c r="G389"/>
      <c r="H389"/>
      <c r="J389"/>
      <c r="K389"/>
      <c r="L389"/>
      <c r="M389"/>
      <c r="N389"/>
      <c r="P389"/>
      <c r="Q389"/>
      <c r="R389"/>
      <c r="S389"/>
      <c r="T389"/>
      <c r="U389" s="46"/>
      <c r="V389" s="46"/>
    </row>
    <row r="390" spans="1:22" ht="15" customHeight="1" x14ac:dyDescent="0.25">
      <c r="A390" s="17"/>
      <c r="G390"/>
      <c r="H390"/>
      <c r="J390"/>
      <c r="K390"/>
      <c r="L390"/>
      <c r="M390"/>
      <c r="N390"/>
      <c r="P390"/>
      <c r="Q390"/>
      <c r="R390"/>
      <c r="S390"/>
      <c r="T390"/>
      <c r="U390" s="46"/>
      <c r="V390" s="46"/>
    </row>
    <row r="391" spans="1:22" ht="15" customHeight="1" x14ac:dyDescent="0.25">
      <c r="A391" s="17"/>
      <c r="G391"/>
      <c r="H391"/>
      <c r="J391"/>
      <c r="K391"/>
      <c r="L391"/>
      <c r="M391"/>
      <c r="N391"/>
      <c r="P391"/>
      <c r="Q391"/>
      <c r="R391"/>
      <c r="S391"/>
      <c r="T391"/>
      <c r="U391" s="46"/>
      <c r="V391" s="46"/>
    </row>
    <row r="392" spans="1:22" ht="15" customHeight="1" x14ac:dyDescent="0.25">
      <c r="A392" s="17"/>
      <c r="G392"/>
      <c r="H392"/>
      <c r="J392"/>
      <c r="K392"/>
      <c r="L392"/>
      <c r="M392"/>
      <c r="N392"/>
      <c r="P392"/>
      <c r="Q392"/>
      <c r="R392"/>
      <c r="S392"/>
      <c r="T392"/>
      <c r="U392" s="46"/>
      <c r="V392" s="46"/>
    </row>
    <row r="393" spans="1:22" ht="15" customHeight="1" x14ac:dyDescent="0.25">
      <c r="A393" s="17"/>
      <c r="G393"/>
      <c r="H393"/>
      <c r="J393"/>
      <c r="K393"/>
      <c r="L393"/>
      <c r="M393"/>
      <c r="N393"/>
      <c r="P393"/>
      <c r="Q393"/>
      <c r="R393"/>
      <c r="S393"/>
      <c r="T393"/>
      <c r="U393" s="46"/>
      <c r="V393" s="46"/>
    </row>
    <row r="394" spans="1:22" ht="15" customHeight="1" x14ac:dyDescent="0.25">
      <c r="A394" s="17"/>
      <c r="G394"/>
      <c r="H394"/>
      <c r="J394"/>
      <c r="K394"/>
      <c r="L394"/>
      <c r="M394"/>
      <c r="N394"/>
      <c r="P394"/>
      <c r="Q394"/>
      <c r="R394"/>
      <c r="S394"/>
      <c r="T394"/>
      <c r="U394" s="46"/>
      <c r="V394" s="46"/>
    </row>
    <row r="395" spans="1:22" ht="15" customHeight="1" x14ac:dyDescent="0.25">
      <c r="A395" s="17"/>
      <c r="G395"/>
      <c r="H395"/>
      <c r="J395"/>
      <c r="K395"/>
      <c r="L395"/>
      <c r="M395"/>
      <c r="N395"/>
      <c r="P395"/>
      <c r="Q395"/>
      <c r="R395"/>
      <c r="S395"/>
      <c r="T395"/>
      <c r="U395" s="46"/>
      <c r="V395" s="46"/>
    </row>
    <row r="396" spans="1:22" ht="15" customHeight="1" x14ac:dyDescent="0.25">
      <c r="A396" s="17"/>
      <c r="G396"/>
      <c r="H396"/>
      <c r="J396"/>
      <c r="K396"/>
      <c r="L396"/>
      <c r="M396"/>
      <c r="N396"/>
      <c r="P396"/>
      <c r="Q396"/>
      <c r="R396"/>
      <c r="S396"/>
      <c r="T396"/>
      <c r="U396" s="46"/>
      <c r="V396" s="46"/>
    </row>
    <row r="397" spans="1:22" ht="15" customHeight="1" x14ac:dyDescent="0.25">
      <c r="A397" s="17"/>
      <c r="G397"/>
      <c r="H397"/>
      <c r="J397"/>
      <c r="K397"/>
      <c r="L397"/>
      <c r="M397"/>
      <c r="N397"/>
      <c r="P397"/>
      <c r="Q397"/>
      <c r="R397"/>
      <c r="S397"/>
      <c r="T397"/>
      <c r="U397" s="46"/>
      <c r="V397" s="46"/>
    </row>
    <row r="398" spans="1:22" ht="15" customHeight="1" x14ac:dyDescent="0.25">
      <c r="A398" s="17"/>
      <c r="G398"/>
      <c r="H398"/>
      <c r="J398"/>
      <c r="K398"/>
      <c r="L398"/>
      <c r="M398"/>
      <c r="N398"/>
      <c r="P398"/>
      <c r="Q398"/>
      <c r="R398"/>
      <c r="S398"/>
      <c r="T398"/>
      <c r="U398" s="46"/>
      <c r="V398" s="46"/>
    </row>
    <row r="399" spans="1:22" ht="15" customHeight="1" x14ac:dyDescent="0.25">
      <c r="A399" s="17"/>
      <c r="G399"/>
      <c r="H399"/>
      <c r="J399"/>
      <c r="K399"/>
      <c r="L399"/>
      <c r="M399"/>
      <c r="N399"/>
      <c r="P399"/>
      <c r="Q399"/>
      <c r="R399"/>
      <c r="S399"/>
      <c r="T399"/>
      <c r="U399" s="46"/>
      <c r="V399" s="46"/>
    </row>
    <row r="400" spans="1:22" ht="15" customHeight="1" x14ac:dyDescent="0.25">
      <c r="A400" s="17"/>
      <c r="G400"/>
      <c r="H400"/>
      <c r="J400"/>
      <c r="K400"/>
      <c r="L400"/>
      <c r="M400"/>
      <c r="N400"/>
      <c r="P400"/>
      <c r="Q400"/>
      <c r="R400"/>
      <c r="S400"/>
      <c r="T400"/>
      <c r="U400" s="46"/>
      <c r="V400" s="46"/>
    </row>
    <row r="401" spans="1:22" ht="15" customHeight="1" x14ac:dyDescent="0.25">
      <c r="A401" s="17"/>
      <c r="G401"/>
      <c r="H401"/>
      <c r="J401"/>
      <c r="K401"/>
      <c r="L401"/>
      <c r="M401"/>
      <c r="N401"/>
      <c r="P401"/>
      <c r="Q401"/>
      <c r="R401"/>
      <c r="S401"/>
      <c r="T401"/>
      <c r="U401" s="46"/>
      <c r="V401" s="46"/>
    </row>
    <row r="402" spans="1:22" ht="15" customHeight="1" x14ac:dyDescent="0.25">
      <c r="A402" s="17"/>
      <c r="G402"/>
      <c r="H402"/>
      <c r="J402"/>
      <c r="K402"/>
      <c r="L402"/>
      <c r="M402"/>
      <c r="N402"/>
      <c r="P402"/>
      <c r="Q402"/>
      <c r="R402"/>
      <c r="S402"/>
      <c r="T402"/>
      <c r="U402" s="46"/>
      <c r="V402" s="46"/>
    </row>
    <row r="403" spans="1:22" ht="15" customHeight="1" x14ac:dyDescent="0.25">
      <c r="A403" s="17"/>
      <c r="G403"/>
      <c r="H403"/>
      <c r="J403"/>
      <c r="K403"/>
      <c r="L403"/>
      <c r="M403"/>
      <c r="N403"/>
      <c r="P403"/>
      <c r="Q403"/>
      <c r="R403"/>
      <c r="S403"/>
      <c r="T403"/>
      <c r="U403" s="46"/>
      <c r="V403" s="46"/>
    </row>
    <row r="404" spans="1:22" ht="15" customHeight="1" x14ac:dyDescent="0.25">
      <c r="A404" s="17"/>
      <c r="G404"/>
      <c r="H404"/>
      <c r="J404"/>
      <c r="K404"/>
      <c r="L404"/>
      <c r="M404"/>
      <c r="N404"/>
      <c r="P404"/>
      <c r="Q404"/>
      <c r="R404"/>
      <c r="S404"/>
      <c r="T404"/>
      <c r="U404" s="46"/>
      <c r="V404" s="46"/>
    </row>
    <row r="405" spans="1:22" ht="15" customHeight="1" x14ac:dyDescent="0.25">
      <c r="A405" s="17"/>
      <c r="G405"/>
      <c r="H405"/>
      <c r="J405"/>
      <c r="K405"/>
      <c r="L405"/>
      <c r="M405"/>
      <c r="N405"/>
      <c r="P405"/>
      <c r="Q405"/>
      <c r="R405"/>
      <c r="S405"/>
      <c r="T405"/>
      <c r="U405" s="46"/>
      <c r="V405" s="46"/>
    </row>
    <row r="406" spans="1:22" ht="15" customHeight="1" x14ac:dyDescent="0.25">
      <c r="A406" s="17"/>
      <c r="G406"/>
      <c r="H406"/>
      <c r="J406"/>
      <c r="K406"/>
      <c r="L406"/>
      <c r="M406"/>
      <c r="N406"/>
      <c r="P406"/>
      <c r="Q406"/>
      <c r="R406"/>
      <c r="S406"/>
      <c r="T406"/>
      <c r="U406" s="46"/>
      <c r="V406" s="46"/>
    </row>
    <row r="407" spans="1:22" ht="15" customHeight="1" x14ac:dyDescent="0.25">
      <c r="A407" s="17"/>
      <c r="G407"/>
      <c r="H407"/>
      <c r="J407"/>
      <c r="K407"/>
      <c r="L407"/>
      <c r="M407"/>
      <c r="N407"/>
      <c r="P407"/>
      <c r="Q407"/>
      <c r="R407"/>
      <c r="S407"/>
      <c r="T407"/>
      <c r="U407" s="46"/>
      <c r="V407" s="46"/>
    </row>
    <row r="408" spans="1:22" ht="15" customHeight="1" x14ac:dyDescent="0.25">
      <c r="A408" s="17"/>
      <c r="G408"/>
      <c r="H408"/>
      <c r="J408"/>
      <c r="K408"/>
      <c r="L408"/>
      <c r="M408"/>
      <c r="N408"/>
      <c r="P408"/>
      <c r="Q408"/>
      <c r="R408"/>
      <c r="S408"/>
      <c r="T408"/>
      <c r="U408" s="46"/>
      <c r="V408" s="46"/>
    </row>
    <row r="409" spans="1:22" ht="15" customHeight="1" x14ac:dyDescent="0.25">
      <c r="A409" s="17"/>
      <c r="G409"/>
      <c r="H409"/>
      <c r="J409"/>
      <c r="K409"/>
      <c r="L409"/>
      <c r="M409"/>
      <c r="N409"/>
      <c r="P409"/>
      <c r="Q409"/>
      <c r="R409"/>
      <c r="S409"/>
      <c r="T409"/>
      <c r="U409" s="46"/>
      <c r="V409" s="46"/>
    </row>
    <row r="410" spans="1:22" ht="15" customHeight="1" x14ac:dyDescent="0.25">
      <c r="A410" s="17"/>
      <c r="G410"/>
      <c r="H410"/>
      <c r="J410"/>
      <c r="K410"/>
      <c r="L410"/>
      <c r="M410"/>
      <c r="N410"/>
      <c r="P410"/>
      <c r="Q410"/>
      <c r="R410"/>
      <c r="S410"/>
      <c r="T410"/>
      <c r="U410" s="46"/>
      <c r="V410" s="46"/>
    </row>
    <row r="411" spans="1:22" ht="15" customHeight="1" x14ac:dyDescent="0.25">
      <c r="A411" s="17"/>
      <c r="G411"/>
      <c r="H411"/>
      <c r="J411"/>
      <c r="K411"/>
      <c r="L411"/>
      <c r="M411"/>
      <c r="N411"/>
      <c r="P411"/>
      <c r="Q411"/>
      <c r="R411"/>
      <c r="S411"/>
      <c r="T411"/>
      <c r="U411" s="46"/>
      <c r="V411" s="46"/>
    </row>
    <row r="412" spans="1:22" ht="15" customHeight="1" x14ac:dyDescent="0.25">
      <c r="A412" s="17"/>
      <c r="G412"/>
      <c r="H412"/>
      <c r="J412"/>
      <c r="K412"/>
      <c r="L412"/>
      <c r="M412"/>
      <c r="N412"/>
      <c r="P412"/>
      <c r="Q412"/>
      <c r="R412"/>
      <c r="S412"/>
      <c r="T412"/>
      <c r="U412" s="46"/>
      <c r="V412" s="46"/>
    </row>
    <row r="413" spans="1:22" ht="15" customHeight="1" x14ac:dyDescent="0.25">
      <c r="A413" s="17"/>
      <c r="G413"/>
      <c r="H413"/>
      <c r="J413"/>
      <c r="K413"/>
      <c r="L413"/>
      <c r="M413"/>
      <c r="N413"/>
      <c r="P413"/>
      <c r="Q413"/>
      <c r="R413"/>
      <c r="S413"/>
      <c r="T413"/>
      <c r="U413" s="46"/>
      <c r="V413" s="46"/>
    </row>
    <row r="414" spans="1:22" ht="15" customHeight="1" x14ac:dyDescent="0.25">
      <c r="A414" s="17"/>
      <c r="G414"/>
      <c r="H414"/>
      <c r="J414"/>
      <c r="K414"/>
      <c r="L414"/>
      <c r="M414"/>
      <c r="N414"/>
      <c r="P414"/>
      <c r="Q414"/>
      <c r="R414"/>
      <c r="S414"/>
      <c r="T414"/>
      <c r="U414" s="46"/>
      <c r="V414" s="46"/>
    </row>
    <row r="415" spans="1:22" ht="15" customHeight="1" x14ac:dyDescent="0.25">
      <c r="A415" s="17"/>
      <c r="G415"/>
      <c r="H415"/>
      <c r="J415"/>
      <c r="K415"/>
      <c r="L415"/>
      <c r="M415"/>
      <c r="N415"/>
      <c r="P415"/>
      <c r="Q415"/>
      <c r="R415"/>
      <c r="S415"/>
      <c r="T415"/>
      <c r="U415" s="46"/>
      <c r="V415" s="46"/>
    </row>
    <row r="416" spans="1:22" ht="15" customHeight="1" x14ac:dyDescent="0.25">
      <c r="A416" s="17"/>
      <c r="G416"/>
      <c r="H416"/>
      <c r="J416"/>
      <c r="K416"/>
      <c r="L416"/>
      <c r="M416"/>
      <c r="N416"/>
      <c r="P416"/>
      <c r="Q416"/>
      <c r="R416"/>
      <c r="S416"/>
      <c r="T416"/>
      <c r="U416" s="46"/>
      <c r="V416" s="46"/>
    </row>
    <row r="417" spans="1:22" ht="15" customHeight="1" x14ac:dyDescent="0.25">
      <c r="A417" s="17"/>
      <c r="G417"/>
      <c r="H417"/>
      <c r="J417"/>
      <c r="K417"/>
      <c r="L417"/>
      <c r="M417"/>
      <c r="N417"/>
      <c r="P417"/>
      <c r="Q417"/>
      <c r="R417"/>
      <c r="S417"/>
      <c r="T417"/>
      <c r="U417" s="46"/>
      <c r="V417" s="46"/>
    </row>
    <row r="418" spans="1:22" ht="15" customHeight="1" x14ac:dyDescent="0.25">
      <c r="A418" s="17"/>
      <c r="G418"/>
      <c r="H418"/>
      <c r="J418"/>
      <c r="K418"/>
      <c r="L418"/>
      <c r="M418"/>
      <c r="N418"/>
      <c r="P418"/>
      <c r="Q418"/>
      <c r="R418"/>
      <c r="S418"/>
      <c r="T418"/>
      <c r="U418" s="46"/>
      <c r="V418" s="46"/>
    </row>
    <row r="419" spans="1:22" ht="15" customHeight="1" x14ac:dyDescent="0.25">
      <c r="A419" s="17"/>
      <c r="G419"/>
      <c r="H419"/>
      <c r="J419"/>
      <c r="K419"/>
      <c r="L419"/>
      <c r="M419"/>
      <c r="N419"/>
      <c r="P419"/>
      <c r="Q419"/>
      <c r="R419"/>
      <c r="S419"/>
      <c r="T419"/>
      <c r="U419" s="46"/>
      <c r="V419" s="46"/>
    </row>
    <row r="420" spans="1:22" ht="15" customHeight="1" x14ac:dyDescent="0.25">
      <c r="A420" s="17"/>
      <c r="G420"/>
      <c r="H420"/>
      <c r="J420"/>
      <c r="K420"/>
      <c r="L420"/>
      <c r="M420"/>
      <c r="N420"/>
      <c r="P420"/>
      <c r="Q420"/>
      <c r="R420"/>
      <c r="S420"/>
      <c r="T420"/>
      <c r="U420" s="46"/>
      <c r="V420" s="46"/>
    </row>
    <row r="421" spans="1:22" ht="15" customHeight="1" x14ac:dyDescent="0.25">
      <c r="A421" s="17"/>
      <c r="G421"/>
      <c r="H421"/>
      <c r="J421"/>
      <c r="K421"/>
      <c r="L421"/>
      <c r="M421"/>
      <c r="N421"/>
      <c r="P421"/>
      <c r="Q421"/>
      <c r="R421"/>
      <c r="S421"/>
      <c r="T421"/>
      <c r="U421" s="46"/>
      <c r="V421" s="46"/>
    </row>
    <row r="422" spans="1:22" ht="15" customHeight="1" x14ac:dyDescent="0.25">
      <c r="A422" s="17"/>
      <c r="G422"/>
      <c r="H422"/>
      <c r="J422"/>
      <c r="K422"/>
      <c r="L422"/>
      <c r="M422"/>
      <c r="N422"/>
      <c r="P422"/>
      <c r="Q422"/>
      <c r="R422"/>
      <c r="S422"/>
      <c r="T422"/>
      <c r="U422" s="46"/>
      <c r="V422" s="46"/>
    </row>
    <row r="423" spans="1:22" ht="15" customHeight="1" x14ac:dyDescent="0.25">
      <c r="A423" s="17"/>
      <c r="G423"/>
      <c r="H423"/>
      <c r="J423"/>
      <c r="K423"/>
      <c r="L423"/>
      <c r="M423"/>
      <c r="N423"/>
      <c r="P423"/>
      <c r="Q423"/>
      <c r="R423"/>
      <c r="S423"/>
      <c r="T423"/>
      <c r="U423" s="46"/>
      <c r="V423" s="46"/>
    </row>
    <row r="424" spans="1:22" ht="15" customHeight="1" x14ac:dyDescent="0.25">
      <c r="A424" s="17"/>
      <c r="G424"/>
      <c r="H424"/>
      <c r="J424"/>
      <c r="K424"/>
      <c r="L424"/>
      <c r="M424"/>
      <c r="N424"/>
      <c r="P424"/>
      <c r="Q424"/>
      <c r="R424"/>
      <c r="S424"/>
      <c r="T424"/>
      <c r="U424" s="46"/>
      <c r="V424" s="46"/>
    </row>
    <row r="425" spans="1:22" ht="15" customHeight="1" x14ac:dyDescent="0.25">
      <c r="A425" s="17"/>
      <c r="G425"/>
      <c r="H425"/>
      <c r="J425"/>
      <c r="K425"/>
      <c r="L425"/>
      <c r="M425"/>
      <c r="N425"/>
      <c r="P425"/>
      <c r="Q425"/>
      <c r="R425"/>
      <c r="S425"/>
      <c r="T425"/>
      <c r="U425" s="46"/>
      <c r="V425" s="46"/>
    </row>
    <row r="426" spans="1:22" ht="15" customHeight="1" x14ac:dyDescent="0.25">
      <c r="A426" s="17"/>
      <c r="G426"/>
      <c r="H426"/>
      <c r="J426"/>
      <c r="K426"/>
      <c r="L426"/>
      <c r="M426"/>
      <c r="N426"/>
      <c r="P426"/>
      <c r="Q426"/>
      <c r="R426"/>
      <c r="S426"/>
      <c r="T426"/>
      <c r="U426" s="46"/>
      <c r="V426" s="46"/>
    </row>
    <row r="427" spans="1:22" ht="15" customHeight="1" x14ac:dyDescent="0.25">
      <c r="A427" s="17"/>
      <c r="H427"/>
      <c r="U427" s="46"/>
      <c r="V427" s="46"/>
    </row>
    <row r="428" spans="1:22" ht="15" customHeight="1" x14ac:dyDescent="0.25">
      <c r="A428" s="17"/>
      <c r="U428" s="46"/>
      <c r="V428" s="46"/>
    </row>
    <row r="429" spans="1:22" ht="15" customHeight="1" x14ac:dyDescent="0.25">
      <c r="U429" s="46"/>
      <c r="V429" s="46"/>
    </row>
    <row r="430" spans="1:22" ht="15" customHeight="1" x14ac:dyDescent="0.25">
      <c r="U430" s="46"/>
      <c r="V430" s="46"/>
    </row>
    <row r="431" spans="1:22" ht="15" customHeight="1" x14ac:dyDescent="0.25">
      <c r="U431" s="46"/>
      <c r="V431" s="46"/>
    </row>
    <row r="432" spans="1:22" ht="15" customHeight="1" x14ac:dyDescent="0.25">
      <c r="U432" s="46"/>
      <c r="V432" s="46"/>
    </row>
    <row r="433" spans="21:22" ht="15" customHeight="1" x14ac:dyDescent="0.25">
      <c r="U433" s="46"/>
      <c r="V433" s="46"/>
    </row>
    <row r="434" spans="21:22" ht="15" customHeight="1" x14ac:dyDescent="0.25">
      <c r="U434" s="46"/>
      <c r="V434" s="46"/>
    </row>
    <row r="435" spans="21:22" ht="15" customHeight="1" x14ac:dyDescent="0.25">
      <c r="U435" s="46"/>
      <c r="V435" s="46"/>
    </row>
    <row r="436" spans="21:22" ht="15" customHeight="1" x14ac:dyDescent="0.25">
      <c r="U436" s="46"/>
      <c r="V436" s="46"/>
    </row>
    <row r="437" spans="21:22" ht="15" customHeight="1" x14ac:dyDescent="0.25">
      <c r="U437" s="46"/>
      <c r="V437" s="46"/>
    </row>
    <row r="438" spans="21:22" ht="15" customHeight="1" x14ac:dyDescent="0.25">
      <c r="U438" s="46"/>
      <c r="V438" s="46"/>
    </row>
    <row r="439" spans="21:22" ht="15" customHeight="1" x14ac:dyDescent="0.25">
      <c r="U439" s="46"/>
      <c r="V439" s="46"/>
    </row>
    <row r="440" spans="21:22" ht="15" customHeight="1" x14ac:dyDescent="0.25"/>
    <row r="441" spans="21:22" ht="15" customHeight="1" x14ac:dyDescent="0.25"/>
  </sheetData>
  <phoneticPr fontId="8" type="noConversion"/>
  <conditionalFormatting sqref="E2:T1048576">
    <cfRule type="cellIs" dxfId="73" priority="1" operator="lessThan">
      <formula>6</formula>
    </cfRule>
  </conditionalFormatting>
  <conditionalFormatting sqref="P1:T1">
    <cfRule type="cellIs" dxfId="72" priority="20" operator="lessThan">
      <formula>6</formula>
    </cfRule>
  </conditionalFormatting>
  <conditionalFormatting sqref="U1:U37 U45:U1048576">
    <cfRule type="cellIs" dxfId="71" priority="19" operator="greaterThan">
      <formula>19</formula>
    </cfRule>
  </conditionalFormatting>
  <conditionalFormatting sqref="V1:V38 V45:V1048576">
    <cfRule type="cellIs" dxfId="70" priority="18" operator="greaterThan">
      <formula>5</formula>
    </cfRule>
  </conditionalFormatting>
  <dataValidations count="3">
    <dataValidation allowBlank="1" showInputMessage="1" showErrorMessage="1" promptTitle="Petunjuk Pengisian" prompt="Tidak Izin 6 Hari dalam 1 Semester dapat menurunkan satu nilai akhlaq" sqref="V45:V1048576 V1:V38" xr:uid="{00000000-0002-0000-0300-000000000000}"/>
    <dataValidation allowBlank="1" showInputMessage="1" showErrorMessage="1" promptTitle="petunjuk Pengisian " prompt="Izin 20 Hari dalam 1 Semester dapat menurunkan satu nilai akhlaq" sqref="U45:U1048576 U1:U37" xr:uid="{00000000-0002-0000-0300-000001000000}"/>
    <dataValidation allowBlank="1" showInputMessage="1" showErrorMessage="1" prompt="jumlah nilai pelajaran seluruh siswi dibagi Jumlah siswi _x000a_- tanpa mengikutkan yang boyong/ cuty _x000a_- siswi yang her/ tanpa keterangan dikira kirakan 4 nilainya" sqref="H39:H52" xr:uid="{00000000-0002-0000-0300-000002000000}"/>
  </dataValidation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29"/>
  <sheetViews>
    <sheetView topLeftCell="B1" zoomScale="69" zoomScaleNormal="50" workbookViewId="0">
      <selection activeCell="C2" sqref="C2"/>
    </sheetView>
  </sheetViews>
  <sheetFormatPr defaultRowHeight="18.75" x14ac:dyDescent="0.3"/>
  <cols>
    <col min="1" max="1" width="16.28515625" customWidth="1"/>
    <col min="2" max="2" width="30.85546875" style="90" customWidth="1"/>
    <col min="3" max="3" width="16.7109375" customWidth="1"/>
    <col min="4" max="4" width="15.5703125" customWidth="1"/>
    <col min="5" max="5" width="19.140625" customWidth="1"/>
    <col min="7" max="7" width="18.42578125" customWidth="1"/>
    <col min="8" max="8" width="16.42578125" customWidth="1"/>
    <col min="9" max="9" width="22.7109375" customWidth="1"/>
    <col min="10" max="10" width="15.42578125" customWidth="1"/>
    <col min="11" max="12" width="16.85546875" customWidth="1"/>
    <col min="13" max="13" width="18.85546875" customWidth="1"/>
    <col min="14" max="14" width="16.140625" customWidth="1"/>
    <col min="15" max="15" width="17" customWidth="1"/>
    <col min="16" max="16" width="20.7109375" customWidth="1"/>
    <col min="17" max="17" width="23.7109375" customWidth="1"/>
    <col min="20" max="20" width="29.28515625" customWidth="1"/>
  </cols>
  <sheetData>
    <row r="1" spans="1:22" s="20" customFormat="1" ht="25.15" customHeight="1" thickBot="1" x14ac:dyDescent="0.3">
      <c r="A1" s="34" t="s">
        <v>1</v>
      </c>
      <c r="B1" s="11" t="s">
        <v>0</v>
      </c>
      <c r="C1" s="11" t="s">
        <v>2</v>
      </c>
      <c r="D1" s="11" t="s">
        <v>13</v>
      </c>
      <c r="E1" s="39" t="s">
        <v>3</v>
      </c>
      <c r="F1" s="36"/>
      <c r="G1" s="21" t="s">
        <v>51</v>
      </c>
      <c r="H1" s="21" t="s">
        <v>4</v>
      </c>
      <c r="I1" s="22" t="s">
        <v>52</v>
      </c>
      <c r="J1" s="21" t="s">
        <v>5</v>
      </c>
      <c r="K1" s="21" t="s">
        <v>53</v>
      </c>
      <c r="L1" s="21" t="s">
        <v>73</v>
      </c>
      <c r="M1" s="21" t="s">
        <v>54</v>
      </c>
      <c r="N1" s="21" t="s">
        <v>55</v>
      </c>
      <c r="O1" s="22" t="s">
        <v>57</v>
      </c>
      <c r="P1" s="12" t="s">
        <v>6</v>
      </c>
      <c r="Q1" s="12" t="s">
        <v>7</v>
      </c>
      <c r="R1" s="12" t="s">
        <v>8</v>
      </c>
      <c r="S1" s="12" t="s">
        <v>9</v>
      </c>
      <c r="T1" s="13" t="s">
        <v>10</v>
      </c>
      <c r="U1" s="43" t="s">
        <v>11</v>
      </c>
      <c r="V1" s="43" t="s">
        <v>12</v>
      </c>
    </row>
    <row r="2" spans="1:22" s="168" customFormat="1" ht="25.15" customHeight="1" thickBot="1" x14ac:dyDescent="0.3">
      <c r="A2" s="199" t="s">
        <v>14</v>
      </c>
      <c r="B2" s="162" t="s">
        <v>202</v>
      </c>
      <c r="C2" s="163">
        <v>2754</v>
      </c>
      <c r="D2" s="164" t="s">
        <v>14</v>
      </c>
      <c r="E2" s="165" t="str">
        <f>TEXT(F2,"[$-2000000]0")</f>
        <v>٨</v>
      </c>
      <c r="F2" s="165">
        <v>8</v>
      </c>
      <c r="G2" s="165">
        <v>8</v>
      </c>
      <c r="H2" s="165">
        <v>9</v>
      </c>
      <c r="I2" s="165">
        <v>5</v>
      </c>
      <c r="J2" s="165">
        <v>6</v>
      </c>
      <c r="K2" s="165">
        <v>8</v>
      </c>
      <c r="L2" s="165" t="s">
        <v>56</v>
      </c>
      <c r="M2" s="165">
        <v>8</v>
      </c>
      <c r="N2" s="165">
        <v>8</v>
      </c>
      <c r="O2" s="165">
        <v>6</v>
      </c>
      <c r="P2" s="165">
        <v>8</v>
      </c>
      <c r="Q2" s="165">
        <v>8</v>
      </c>
      <c r="R2" s="165">
        <v>8</v>
      </c>
      <c r="S2" s="165">
        <v>8</v>
      </c>
      <c r="T2" s="165">
        <f>SUM(E2:S2)</f>
        <v>98</v>
      </c>
      <c r="U2" s="167">
        <v>7</v>
      </c>
      <c r="V2" s="167" t="s">
        <v>56</v>
      </c>
    </row>
    <row r="3" spans="1:22" s="1" customFormat="1" ht="25.15" customHeight="1" thickBot="1" x14ac:dyDescent="0.3">
      <c r="A3" s="71" t="s">
        <v>15</v>
      </c>
      <c r="B3" s="124" t="s">
        <v>203</v>
      </c>
      <c r="C3" s="85">
        <v>2755</v>
      </c>
      <c r="D3" s="19" t="s">
        <v>15</v>
      </c>
      <c r="E3" s="3" t="str">
        <f t="shared" ref="E3:E32" si="0">TEXT(F3,"[$-2000000]0")</f>
        <v>٩</v>
      </c>
      <c r="F3" s="3">
        <v>9</v>
      </c>
      <c r="G3" s="3">
        <v>6</v>
      </c>
      <c r="H3" s="3">
        <v>8</v>
      </c>
      <c r="I3" s="3">
        <v>5</v>
      </c>
      <c r="J3" s="3">
        <v>6</v>
      </c>
      <c r="K3" s="3">
        <v>7</v>
      </c>
      <c r="L3" s="3" t="s">
        <v>56</v>
      </c>
      <c r="M3" s="3">
        <v>9</v>
      </c>
      <c r="N3" s="3">
        <v>7</v>
      </c>
      <c r="O3" s="3">
        <v>8</v>
      </c>
      <c r="P3" s="3">
        <v>8</v>
      </c>
      <c r="Q3" s="3">
        <v>7</v>
      </c>
      <c r="R3" s="3">
        <v>8</v>
      </c>
      <c r="S3" s="3">
        <v>8</v>
      </c>
      <c r="T3" s="4">
        <f t="shared" ref="T3:T32" si="1">SUM(E3:S3)</f>
        <v>96</v>
      </c>
      <c r="U3" s="44" t="s">
        <v>56</v>
      </c>
      <c r="V3" s="44" t="s">
        <v>56</v>
      </c>
    </row>
    <row r="4" spans="1:22" s="168" customFormat="1" ht="25.15" customHeight="1" thickBot="1" x14ac:dyDescent="0.3">
      <c r="A4" s="199" t="s">
        <v>16</v>
      </c>
      <c r="B4" s="169" t="s">
        <v>204</v>
      </c>
      <c r="C4" s="163">
        <v>2823</v>
      </c>
      <c r="D4" s="164" t="s">
        <v>16</v>
      </c>
      <c r="E4" s="165" t="str">
        <f t="shared" si="0"/>
        <v>٩</v>
      </c>
      <c r="F4" s="165">
        <v>9</v>
      </c>
      <c r="G4" s="165">
        <v>8</v>
      </c>
      <c r="H4" s="165">
        <v>7</v>
      </c>
      <c r="I4" s="165">
        <v>6</v>
      </c>
      <c r="J4" s="165">
        <v>7</v>
      </c>
      <c r="K4" s="165">
        <v>6</v>
      </c>
      <c r="L4" s="165" t="s">
        <v>56</v>
      </c>
      <c r="M4" s="165">
        <v>9</v>
      </c>
      <c r="N4" s="165">
        <v>7</v>
      </c>
      <c r="O4" s="165">
        <v>7</v>
      </c>
      <c r="P4" s="165">
        <v>8</v>
      </c>
      <c r="Q4" s="165">
        <v>8</v>
      </c>
      <c r="R4" s="165">
        <v>8</v>
      </c>
      <c r="S4" s="165">
        <v>6</v>
      </c>
      <c r="T4" s="165">
        <f t="shared" si="1"/>
        <v>96</v>
      </c>
      <c r="U4" s="167">
        <v>12</v>
      </c>
      <c r="V4" s="167">
        <v>17</v>
      </c>
    </row>
    <row r="5" spans="1:22" s="168" customFormat="1" ht="25.15" customHeight="1" thickBot="1" x14ac:dyDescent="0.3">
      <c r="A5" s="199" t="s">
        <v>17</v>
      </c>
      <c r="B5" s="169" t="s">
        <v>205</v>
      </c>
      <c r="C5" s="163">
        <v>2824</v>
      </c>
      <c r="D5" s="164" t="s">
        <v>17</v>
      </c>
      <c r="E5" s="165" t="str">
        <f t="shared" si="0"/>
        <v>٩</v>
      </c>
      <c r="F5" s="165">
        <v>9</v>
      </c>
      <c r="G5" s="165">
        <v>8</v>
      </c>
      <c r="H5" s="165">
        <v>9</v>
      </c>
      <c r="I5" s="165">
        <v>6</v>
      </c>
      <c r="J5" s="165">
        <v>6</v>
      </c>
      <c r="K5" s="165">
        <v>9</v>
      </c>
      <c r="L5" s="165" t="s">
        <v>56</v>
      </c>
      <c r="M5" s="165">
        <v>8</v>
      </c>
      <c r="N5" s="165">
        <v>9</v>
      </c>
      <c r="O5" s="165">
        <v>8</v>
      </c>
      <c r="P5" s="165">
        <v>8</v>
      </c>
      <c r="Q5" s="165">
        <v>8</v>
      </c>
      <c r="R5" s="165">
        <v>8</v>
      </c>
      <c r="S5" s="165">
        <v>8</v>
      </c>
      <c r="T5" s="165">
        <f t="shared" si="1"/>
        <v>104</v>
      </c>
      <c r="U5" s="167">
        <v>2</v>
      </c>
      <c r="V5" s="167" t="s">
        <v>56</v>
      </c>
    </row>
    <row r="6" spans="1:22" s="1" customFormat="1" ht="25.15" customHeight="1" thickBot="1" x14ac:dyDescent="0.3">
      <c r="A6" s="71" t="s">
        <v>18</v>
      </c>
      <c r="B6" s="124" t="s">
        <v>206</v>
      </c>
      <c r="C6" s="85">
        <v>2825</v>
      </c>
      <c r="D6" s="19" t="s">
        <v>18</v>
      </c>
      <c r="E6" s="3" t="str">
        <f t="shared" si="0"/>
        <v>٥</v>
      </c>
      <c r="F6" s="3">
        <v>5</v>
      </c>
      <c r="G6" s="3">
        <v>5</v>
      </c>
      <c r="H6" s="3">
        <v>6</v>
      </c>
      <c r="I6" s="3">
        <v>5</v>
      </c>
      <c r="J6" s="3">
        <v>5</v>
      </c>
      <c r="K6" s="3">
        <v>5</v>
      </c>
      <c r="L6" s="3" t="s">
        <v>56</v>
      </c>
      <c r="M6" s="3">
        <v>5</v>
      </c>
      <c r="N6" s="3">
        <v>6</v>
      </c>
      <c r="O6" s="3">
        <v>5</v>
      </c>
      <c r="P6" s="3">
        <v>8</v>
      </c>
      <c r="Q6" s="3">
        <v>6</v>
      </c>
      <c r="R6" s="3">
        <v>7</v>
      </c>
      <c r="S6" s="3">
        <v>8</v>
      </c>
      <c r="T6" s="4">
        <f t="shared" si="1"/>
        <v>76</v>
      </c>
      <c r="U6" s="44" t="s">
        <v>56</v>
      </c>
      <c r="V6" s="44" t="s">
        <v>56</v>
      </c>
    </row>
    <row r="7" spans="1:22" s="1" customFormat="1" ht="25.15" customHeight="1" thickBot="1" x14ac:dyDescent="0.3">
      <c r="A7" s="71" t="s">
        <v>19</v>
      </c>
      <c r="B7" s="124" t="s">
        <v>207</v>
      </c>
      <c r="C7" s="85">
        <v>2826</v>
      </c>
      <c r="D7" s="19" t="s">
        <v>19</v>
      </c>
      <c r="E7" s="3" t="str">
        <f t="shared" si="0"/>
        <v>٧</v>
      </c>
      <c r="F7" s="3">
        <v>7</v>
      </c>
      <c r="G7" s="3">
        <v>7</v>
      </c>
      <c r="H7" s="3">
        <v>8</v>
      </c>
      <c r="I7" s="3">
        <v>5</v>
      </c>
      <c r="J7" s="3">
        <v>5</v>
      </c>
      <c r="K7" s="3">
        <v>5</v>
      </c>
      <c r="L7" s="3" t="s">
        <v>56</v>
      </c>
      <c r="M7" s="3">
        <v>5</v>
      </c>
      <c r="N7" s="3">
        <v>6</v>
      </c>
      <c r="O7" s="3">
        <v>7</v>
      </c>
      <c r="P7" s="3">
        <v>8</v>
      </c>
      <c r="Q7" s="3">
        <v>8</v>
      </c>
      <c r="R7" s="3">
        <v>8</v>
      </c>
      <c r="S7" s="3">
        <v>8</v>
      </c>
      <c r="T7" s="4">
        <f t="shared" si="1"/>
        <v>87</v>
      </c>
      <c r="U7" s="44">
        <v>1</v>
      </c>
      <c r="V7" s="44" t="s">
        <v>56</v>
      </c>
    </row>
    <row r="8" spans="1:22" s="1" customFormat="1" ht="25.15" customHeight="1" thickBot="1" x14ac:dyDescent="0.3">
      <c r="A8" s="71" t="s">
        <v>20</v>
      </c>
      <c r="B8" s="124" t="s">
        <v>208</v>
      </c>
      <c r="C8" s="132">
        <v>2655</v>
      </c>
      <c r="D8" s="19" t="s">
        <v>20</v>
      </c>
      <c r="E8" s="3" t="str">
        <f t="shared" si="0"/>
        <v>٩</v>
      </c>
      <c r="F8" s="3">
        <v>9</v>
      </c>
      <c r="G8" s="3">
        <v>9</v>
      </c>
      <c r="H8" s="3">
        <v>9</v>
      </c>
      <c r="I8" s="3">
        <v>8</v>
      </c>
      <c r="J8" s="3">
        <v>7</v>
      </c>
      <c r="K8" s="3">
        <v>9</v>
      </c>
      <c r="L8" s="3" t="s">
        <v>56</v>
      </c>
      <c r="M8" s="3">
        <v>9</v>
      </c>
      <c r="N8" s="3">
        <v>9</v>
      </c>
      <c r="O8" s="3">
        <v>7</v>
      </c>
      <c r="P8" s="3">
        <v>8</v>
      </c>
      <c r="Q8" s="3">
        <v>8</v>
      </c>
      <c r="R8" s="3">
        <v>8</v>
      </c>
      <c r="S8" s="3">
        <v>8</v>
      </c>
      <c r="T8" s="4">
        <f t="shared" si="1"/>
        <v>108</v>
      </c>
      <c r="U8" s="44" t="s">
        <v>56</v>
      </c>
      <c r="V8" s="44" t="s">
        <v>56</v>
      </c>
    </row>
    <row r="9" spans="1:22" s="1" customFormat="1" ht="25.15" customHeight="1" thickBot="1" x14ac:dyDescent="0.3">
      <c r="A9" s="71" t="s">
        <v>21</v>
      </c>
      <c r="B9" s="124" t="s">
        <v>209</v>
      </c>
      <c r="C9" s="85">
        <v>2803</v>
      </c>
      <c r="D9" s="19" t="s">
        <v>21</v>
      </c>
      <c r="E9" s="3" t="str">
        <f t="shared" si="0"/>
        <v>٩</v>
      </c>
      <c r="F9" s="3">
        <v>9</v>
      </c>
      <c r="G9" s="3">
        <v>7</v>
      </c>
      <c r="H9" s="3">
        <v>8</v>
      </c>
      <c r="I9" s="3">
        <v>7</v>
      </c>
      <c r="J9" s="3">
        <v>9</v>
      </c>
      <c r="K9" s="3">
        <v>9</v>
      </c>
      <c r="L9" s="3" t="s">
        <v>56</v>
      </c>
      <c r="M9" s="3">
        <v>7</v>
      </c>
      <c r="N9" s="3">
        <v>8</v>
      </c>
      <c r="O9" s="3">
        <v>7</v>
      </c>
      <c r="P9" s="3">
        <v>8</v>
      </c>
      <c r="Q9" s="3">
        <v>8</v>
      </c>
      <c r="R9" s="3">
        <v>8</v>
      </c>
      <c r="S9" s="3">
        <v>8</v>
      </c>
      <c r="T9" s="4">
        <f t="shared" si="1"/>
        <v>103</v>
      </c>
      <c r="U9" s="44" t="s">
        <v>56</v>
      </c>
      <c r="V9" s="44" t="s">
        <v>56</v>
      </c>
    </row>
    <row r="10" spans="1:22" s="1" customFormat="1" ht="25.15" customHeight="1" thickBot="1" x14ac:dyDescent="0.3">
      <c r="A10" s="71" t="s">
        <v>22</v>
      </c>
      <c r="B10" s="124" t="s">
        <v>210</v>
      </c>
      <c r="C10" s="85">
        <v>2863</v>
      </c>
      <c r="D10" s="19" t="s">
        <v>22</v>
      </c>
      <c r="E10" s="3" t="str">
        <f t="shared" si="0"/>
        <v>٥</v>
      </c>
      <c r="F10" s="3">
        <v>5</v>
      </c>
      <c r="G10" s="3">
        <v>5</v>
      </c>
      <c r="H10" s="3">
        <v>7</v>
      </c>
      <c r="I10" s="3">
        <v>5</v>
      </c>
      <c r="J10" s="3">
        <v>5</v>
      </c>
      <c r="K10" s="3">
        <v>5</v>
      </c>
      <c r="L10" s="3" t="s">
        <v>56</v>
      </c>
      <c r="M10" s="3">
        <v>5</v>
      </c>
      <c r="N10" s="3">
        <v>5</v>
      </c>
      <c r="O10" s="3">
        <v>6</v>
      </c>
      <c r="P10" s="3">
        <v>8</v>
      </c>
      <c r="Q10" s="3">
        <v>6</v>
      </c>
      <c r="R10" s="3">
        <v>7</v>
      </c>
      <c r="S10" s="3">
        <v>8</v>
      </c>
      <c r="T10" s="4">
        <f t="shared" si="1"/>
        <v>77</v>
      </c>
      <c r="U10" s="44" t="s">
        <v>56</v>
      </c>
      <c r="V10" s="44" t="s">
        <v>56</v>
      </c>
    </row>
    <row r="11" spans="1:22" s="168" customFormat="1" ht="25.15" customHeight="1" thickBot="1" x14ac:dyDescent="0.3">
      <c r="A11" s="199">
        <v>10</v>
      </c>
      <c r="B11" s="169" t="s">
        <v>211</v>
      </c>
      <c r="C11" s="163">
        <v>2807</v>
      </c>
      <c r="D11" s="164" t="s">
        <v>23</v>
      </c>
      <c r="E11" s="165" t="str">
        <f t="shared" si="0"/>
        <v>٩</v>
      </c>
      <c r="F11" s="165">
        <v>9</v>
      </c>
      <c r="G11" s="165">
        <v>9</v>
      </c>
      <c r="H11" s="165">
        <v>9</v>
      </c>
      <c r="I11" s="165">
        <v>5</v>
      </c>
      <c r="J11" s="165">
        <v>8</v>
      </c>
      <c r="K11" s="165">
        <v>7</v>
      </c>
      <c r="L11" s="165" t="s">
        <v>56</v>
      </c>
      <c r="M11" s="165">
        <v>9</v>
      </c>
      <c r="N11" s="165">
        <v>8</v>
      </c>
      <c r="O11" s="165">
        <v>8</v>
      </c>
      <c r="P11" s="165">
        <v>8</v>
      </c>
      <c r="Q11" s="165">
        <v>8</v>
      </c>
      <c r="R11" s="165">
        <v>8</v>
      </c>
      <c r="S11" s="165">
        <v>8</v>
      </c>
      <c r="T11" s="165">
        <f t="shared" si="1"/>
        <v>104</v>
      </c>
      <c r="U11" s="167">
        <v>1</v>
      </c>
      <c r="V11" s="167" t="s">
        <v>56</v>
      </c>
    </row>
    <row r="12" spans="1:22" s="1" customFormat="1" ht="25.15" customHeight="1" thickBot="1" x14ac:dyDescent="0.3">
      <c r="A12" s="71">
        <v>12</v>
      </c>
      <c r="B12" s="124" t="s">
        <v>212</v>
      </c>
      <c r="C12" s="85">
        <v>2869</v>
      </c>
      <c r="D12" s="19" t="s">
        <v>24</v>
      </c>
      <c r="E12" s="3" t="str">
        <f t="shared" si="0"/>
        <v>٧</v>
      </c>
      <c r="F12" s="3">
        <v>7</v>
      </c>
      <c r="G12" s="3">
        <v>9</v>
      </c>
      <c r="H12" s="3">
        <v>8</v>
      </c>
      <c r="I12" s="3">
        <v>6</v>
      </c>
      <c r="J12" s="3">
        <v>6</v>
      </c>
      <c r="K12" s="3">
        <v>8</v>
      </c>
      <c r="L12" s="3" t="s">
        <v>56</v>
      </c>
      <c r="M12" s="3">
        <v>9</v>
      </c>
      <c r="N12" s="3">
        <v>7</v>
      </c>
      <c r="O12" s="3">
        <v>7</v>
      </c>
      <c r="P12" s="3">
        <v>8</v>
      </c>
      <c r="Q12" s="3">
        <v>7</v>
      </c>
      <c r="R12" s="3">
        <v>8</v>
      </c>
      <c r="S12" s="3">
        <v>8</v>
      </c>
      <c r="T12" s="4">
        <f t="shared" si="1"/>
        <v>98</v>
      </c>
      <c r="U12" s="44" t="s">
        <v>56</v>
      </c>
      <c r="V12" s="44" t="s">
        <v>56</v>
      </c>
    </row>
    <row r="13" spans="1:22" s="1" customFormat="1" ht="25.15" customHeight="1" thickBot="1" x14ac:dyDescent="0.3">
      <c r="A13" s="71">
        <v>13</v>
      </c>
      <c r="B13" s="124" t="s">
        <v>213</v>
      </c>
      <c r="C13" s="85">
        <v>2738</v>
      </c>
      <c r="D13" s="19" t="s">
        <v>25</v>
      </c>
      <c r="E13" s="3" t="str">
        <f t="shared" si="0"/>
        <v>٨</v>
      </c>
      <c r="F13" s="3">
        <v>8</v>
      </c>
      <c r="G13" s="3">
        <v>9</v>
      </c>
      <c r="H13" s="3">
        <v>9</v>
      </c>
      <c r="I13" s="3">
        <v>8</v>
      </c>
      <c r="J13" s="3">
        <v>8</v>
      </c>
      <c r="K13" s="3">
        <v>9</v>
      </c>
      <c r="L13" s="3" t="s">
        <v>56</v>
      </c>
      <c r="M13" s="3">
        <v>9</v>
      </c>
      <c r="N13" s="3">
        <v>9</v>
      </c>
      <c r="O13" s="3">
        <v>9</v>
      </c>
      <c r="P13" s="3">
        <v>8</v>
      </c>
      <c r="Q13" s="3">
        <v>8</v>
      </c>
      <c r="R13" s="3">
        <v>8</v>
      </c>
      <c r="S13" s="3">
        <v>8</v>
      </c>
      <c r="T13" s="4">
        <f t="shared" si="1"/>
        <v>110</v>
      </c>
      <c r="U13" s="44" t="s">
        <v>56</v>
      </c>
      <c r="V13" s="44" t="s">
        <v>56</v>
      </c>
    </row>
    <row r="14" spans="1:22" s="1" customFormat="1" ht="25.15" customHeight="1" thickBot="1" x14ac:dyDescent="0.3">
      <c r="A14" s="71">
        <v>14</v>
      </c>
      <c r="B14" s="124" t="s">
        <v>214</v>
      </c>
      <c r="C14" s="85">
        <v>2832</v>
      </c>
      <c r="D14" s="19" t="s">
        <v>26</v>
      </c>
      <c r="E14" s="3" t="str">
        <f t="shared" si="0"/>
        <v>٩</v>
      </c>
      <c r="F14" s="3">
        <v>9</v>
      </c>
      <c r="G14" s="3">
        <v>9</v>
      </c>
      <c r="H14" s="3">
        <v>9</v>
      </c>
      <c r="I14" s="3">
        <v>9</v>
      </c>
      <c r="J14" s="3">
        <v>9</v>
      </c>
      <c r="K14" s="3">
        <v>9</v>
      </c>
      <c r="L14" s="3" t="s">
        <v>56</v>
      </c>
      <c r="M14" s="3">
        <v>9</v>
      </c>
      <c r="N14" s="3">
        <v>9</v>
      </c>
      <c r="O14" s="3">
        <v>9</v>
      </c>
      <c r="P14" s="3">
        <v>8</v>
      </c>
      <c r="Q14" s="3">
        <v>9</v>
      </c>
      <c r="R14" s="3">
        <v>8</v>
      </c>
      <c r="S14" s="3">
        <v>8</v>
      </c>
      <c r="T14" s="4">
        <f t="shared" si="1"/>
        <v>114</v>
      </c>
      <c r="U14" s="44" t="s">
        <v>56</v>
      </c>
      <c r="V14" s="44" t="s">
        <v>56</v>
      </c>
    </row>
    <row r="15" spans="1:22" s="1" customFormat="1" ht="25.15" customHeight="1" thickBot="1" x14ac:dyDescent="0.3">
      <c r="A15" s="71">
        <v>15</v>
      </c>
      <c r="B15" s="124" t="s">
        <v>215</v>
      </c>
      <c r="C15" s="85">
        <v>2768</v>
      </c>
      <c r="D15" s="19" t="s">
        <v>27</v>
      </c>
      <c r="E15" s="3" t="str">
        <f t="shared" si="0"/>
        <v>٥</v>
      </c>
      <c r="F15" s="3">
        <v>5</v>
      </c>
      <c r="G15" s="3">
        <v>6</v>
      </c>
      <c r="H15" s="3">
        <v>8</v>
      </c>
      <c r="I15" s="3">
        <v>5</v>
      </c>
      <c r="J15" s="3">
        <v>5</v>
      </c>
      <c r="K15" s="3">
        <v>5</v>
      </c>
      <c r="L15" s="3" t="s">
        <v>56</v>
      </c>
      <c r="M15" s="3">
        <v>5</v>
      </c>
      <c r="N15" s="3">
        <v>5</v>
      </c>
      <c r="O15" s="3">
        <v>6</v>
      </c>
      <c r="P15" s="3">
        <v>8</v>
      </c>
      <c r="Q15" s="3">
        <v>7</v>
      </c>
      <c r="R15" s="3">
        <v>8</v>
      </c>
      <c r="S15" s="3">
        <v>7</v>
      </c>
      <c r="T15" s="4">
        <f t="shared" si="1"/>
        <v>80</v>
      </c>
      <c r="U15" s="44" t="s">
        <v>56</v>
      </c>
      <c r="V15" s="44" t="s">
        <v>56</v>
      </c>
    </row>
    <row r="16" spans="1:22" s="1" customFormat="1" ht="25.15" customHeight="1" thickBot="1" x14ac:dyDescent="0.3">
      <c r="A16" s="71">
        <v>16</v>
      </c>
      <c r="B16" s="124" t="s">
        <v>216</v>
      </c>
      <c r="C16" s="85">
        <v>2897</v>
      </c>
      <c r="D16" s="19" t="s">
        <v>28</v>
      </c>
      <c r="E16" s="3" t="str">
        <f t="shared" si="0"/>
        <v>٦</v>
      </c>
      <c r="F16" s="3">
        <v>6</v>
      </c>
      <c r="G16" s="3">
        <v>5</v>
      </c>
      <c r="H16" s="3">
        <v>8</v>
      </c>
      <c r="I16" s="3">
        <v>5</v>
      </c>
      <c r="J16" s="3">
        <v>5</v>
      </c>
      <c r="K16" s="3">
        <v>5</v>
      </c>
      <c r="L16" s="3" t="s">
        <v>56</v>
      </c>
      <c r="M16" s="3">
        <v>5</v>
      </c>
      <c r="N16" s="3">
        <v>5</v>
      </c>
      <c r="O16" s="3">
        <v>6</v>
      </c>
      <c r="P16" s="3">
        <v>9</v>
      </c>
      <c r="Q16" s="3">
        <v>7</v>
      </c>
      <c r="R16" s="3">
        <v>8</v>
      </c>
      <c r="S16" s="3">
        <v>8</v>
      </c>
      <c r="T16" s="4">
        <f t="shared" si="1"/>
        <v>82</v>
      </c>
      <c r="U16" s="44" t="s">
        <v>56</v>
      </c>
      <c r="V16" s="44" t="s">
        <v>56</v>
      </c>
    </row>
    <row r="17" spans="1:22" s="1" customFormat="1" ht="25.15" customHeight="1" thickBot="1" x14ac:dyDescent="0.3">
      <c r="A17" s="71">
        <v>17</v>
      </c>
      <c r="B17" s="124" t="s">
        <v>217</v>
      </c>
      <c r="C17" s="134">
        <v>2741</v>
      </c>
      <c r="D17" s="19" t="s">
        <v>29</v>
      </c>
      <c r="E17" s="3" t="str">
        <f t="shared" si="0"/>
        <v>٩</v>
      </c>
      <c r="F17" s="3">
        <v>9</v>
      </c>
      <c r="G17" s="3">
        <v>9</v>
      </c>
      <c r="H17" s="3">
        <v>9</v>
      </c>
      <c r="I17" s="3">
        <v>9</v>
      </c>
      <c r="J17" s="3">
        <v>8</v>
      </c>
      <c r="K17" s="3">
        <v>9</v>
      </c>
      <c r="L17" s="3" t="s">
        <v>56</v>
      </c>
      <c r="M17" s="3">
        <v>9</v>
      </c>
      <c r="N17" s="3">
        <v>9</v>
      </c>
      <c r="O17" s="3">
        <v>8</v>
      </c>
      <c r="P17" s="3">
        <v>9</v>
      </c>
      <c r="Q17" s="3">
        <v>9</v>
      </c>
      <c r="R17" s="3">
        <v>8</v>
      </c>
      <c r="S17" s="3">
        <v>8</v>
      </c>
      <c r="T17" s="4">
        <f t="shared" si="1"/>
        <v>113</v>
      </c>
      <c r="U17" s="44">
        <v>1</v>
      </c>
      <c r="V17" s="44" t="s">
        <v>56</v>
      </c>
    </row>
    <row r="18" spans="1:22" s="1" customFormat="1" ht="25.15" customHeight="1" thickBot="1" x14ac:dyDescent="0.3">
      <c r="A18" s="71">
        <v>18</v>
      </c>
      <c r="B18" s="124" t="s">
        <v>218</v>
      </c>
      <c r="C18" s="85">
        <v>2898</v>
      </c>
      <c r="D18" s="19" t="s">
        <v>30</v>
      </c>
      <c r="E18" s="3" t="str">
        <f t="shared" si="0"/>
        <v>٨</v>
      </c>
      <c r="F18" s="3">
        <v>8</v>
      </c>
      <c r="G18" s="3">
        <v>8</v>
      </c>
      <c r="H18" s="3">
        <v>9</v>
      </c>
      <c r="I18" s="3">
        <v>6</v>
      </c>
      <c r="J18" s="3">
        <v>5</v>
      </c>
      <c r="K18" s="3">
        <v>6</v>
      </c>
      <c r="L18" s="3" t="s">
        <v>56</v>
      </c>
      <c r="M18" s="3">
        <v>9</v>
      </c>
      <c r="N18" s="3">
        <v>7</v>
      </c>
      <c r="O18" s="3">
        <v>5</v>
      </c>
      <c r="P18" s="3">
        <v>8</v>
      </c>
      <c r="Q18" s="3">
        <v>8</v>
      </c>
      <c r="R18" s="3">
        <v>8</v>
      </c>
      <c r="S18" s="3">
        <v>8</v>
      </c>
      <c r="T18" s="4">
        <f t="shared" si="1"/>
        <v>95</v>
      </c>
      <c r="U18" s="44" t="s">
        <v>56</v>
      </c>
      <c r="V18" s="44" t="s">
        <v>56</v>
      </c>
    </row>
    <row r="19" spans="1:22" s="1" customFormat="1" ht="25.15" customHeight="1" thickBot="1" x14ac:dyDescent="0.3">
      <c r="A19" s="126" t="s">
        <v>32</v>
      </c>
      <c r="B19" s="123" t="s">
        <v>219</v>
      </c>
      <c r="C19" s="135">
        <v>2835</v>
      </c>
      <c r="D19" s="19" t="s">
        <v>31</v>
      </c>
      <c r="E19" s="3" t="str">
        <f t="shared" si="0"/>
        <v>٧</v>
      </c>
      <c r="F19" s="3">
        <v>7</v>
      </c>
      <c r="G19" s="3">
        <v>9</v>
      </c>
      <c r="H19" s="3">
        <v>8</v>
      </c>
      <c r="I19" s="3">
        <v>9</v>
      </c>
      <c r="J19" s="3">
        <v>6</v>
      </c>
      <c r="K19" s="3">
        <v>9</v>
      </c>
      <c r="L19" s="3" t="s">
        <v>56</v>
      </c>
      <c r="M19" s="3">
        <v>8</v>
      </c>
      <c r="N19" s="3">
        <v>9</v>
      </c>
      <c r="O19" s="3">
        <v>8</v>
      </c>
      <c r="P19" s="3">
        <v>8</v>
      </c>
      <c r="Q19" s="3">
        <v>8</v>
      </c>
      <c r="R19" s="3">
        <v>8</v>
      </c>
      <c r="S19" s="3">
        <v>8</v>
      </c>
      <c r="T19" s="4">
        <f t="shared" si="1"/>
        <v>105</v>
      </c>
      <c r="U19" s="44">
        <v>1</v>
      </c>
      <c r="V19" s="44" t="s">
        <v>56</v>
      </c>
    </row>
    <row r="20" spans="1:22" s="1" customFormat="1" ht="25.15" customHeight="1" thickBot="1" x14ac:dyDescent="0.3">
      <c r="A20" s="127" t="s">
        <v>33</v>
      </c>
      <c r="B20" s="124" t="s">
        <v>220</v>
      </c>
      <c r="C20" s="85">
        <v>2774</v>
      </c>
      <c r="D20" s="19" t="s">
        <v>32</v>
      </c>
      <c r="E20" s="3" t="str">
        <f t="shared" si="0"/>
        <v>٩</v>
      </c>
      <c r="F20" s="3">
        <v>9</v>
      </c>
      <c r="G20" s="3">
        <v>9</v>
      </c>
      <c r="H20" s="3">
        <v>9</v>
      </c>
      <c r="I20" s="3">
        <v>9</v>
      </c>
      <c r="J20" s="3">
        <v>9</v>
      </c>
      <c r="K20" s="3">
        <v>9</v>
      </c>
      <c r="L20" s="3" t="s">
        <v>56</v>
      </c>
      <c r="M20" s="3">
        <v>9</v>
      </c>
      <c r="N20" s="3">
        <v>9</v>
      </c>
      <c r="O20" s="3">
        <v>7</v>
      </c>
      <c r="P20" s="3">
        <v>8</v>
      </c>
      <c r="Q20" s="3">
        <v>8</v>
      </c>
      <c r="R20" s="3">
        <v>8</v>
      </c>
      <c r="S20" s="3">
        <v>8</v>
      </c>
      <c r="T20" s="4">
        <f t="shared" si="1"/>
        <v>111</v>
      </c>
      <c r="U20" s="44">
        <v>1</v>
      </c>
      <c r="V20" s="44" t="s">
        <v>56</v>
      </c>
    </row>
    <row r="21" spans="1:22" s="1" customFormat="1" ht="25.15" customHeight="1" thickBot="1" x14ac:dyDescent="0.3">
      <c r="A21" s="127" t="s">
        <v>34</v>
      </c>
      <c r="B21" s="124" t="s">
        <v>221</v>
      </c>
      <c r="C21" s="85">
        <v>2745</v>
      </c>
      <c r="D21" s="19" t="s">
        <v>33</v>
      </c>
      <c r="E21" s="3" t="str">
        <f t="shared" si="0"/>
        <v>٩</v>
      </c>
      <c r="F21" s="3">
        <v>9</v>
      </c>
      <c r="G21" s="3">
        <v>9</v>
      </c>
      <c r="H21" s="3">
        <v>9</v>
      </c>
      <c r="I21" s="3">
        <v>7</v>
      </c>
      <c r="J21" s="3">
        <v>8</v>
      </c>
      <c r="K21" s="3">
        <v>9</v>
      </c>
      <c r="L21" s="3" t="s">
        <v>56</v>
      </c>
      <c r="M21" s="3">
        <v>9</v>
      </c>
      <c r="N21" s="3">
        <v>9</v>
      </c>
      <c r="O21" s="3">
        <v>8</v>
      </c>
      <c r="P21" s="3">
        <v>8</v>
      </c>
      <c r="Q21" s="3">
        <v>9</v>
      </c>
      <c r="R21" s="3">
        <v>8</v>
      </c>
      <c r="S21" s="3">
        <v>8</v>
      </c>
      <c r="T21" s="4">
        <f t="shared" si="1"/>
        <v>110</v>
      </c>
      <c r="U21" s="44" t="s">
        <v>56</v>
      </c>
      <c r="V21" s="44" t="s">
        <v>56</v>
      </c>
    </row>
    <row r="22" spans="1:22" s="168" customFormat="1" ht="25.15" customHeight="1" thickBot="1" x14ac:dyDescent="0.3">
      <c r="A22" s="201" t="s">
        <v>35</v>
      </c>
      <c r="B22" s="169" t="s">
        <v>222</v>
      </c>
      <c r="C22" s="163">
        <v>2839</v>
      </c>
      <c r="D22" s="164" t="s">
        <v>34</v>
      </c>
      <c r="E22" s="165" t="str">
        <f t="shared" si="0"/>
        <v>٥</v>
      </c>
      <c r="F22" s="165">
        <v>5</v>
      </c>
      <c r="G22" s="165">
        <v>6</v>
      </c>
      <c r="H22" s="165">
        <v>9</v>
      </c>
      <c r="I22" s="165">
        <v>5</v>
      </c>
      <c r="J22" s="165">
        <v>5</v>
      </c>
      <c r="K22" s="165">
        <v>5</v>
      </c>
      <c r="L22" s="165" t="s">
        <v>56</v>
      </c>
      <c r="M22" s="165">
        <v>8</v>
      </c>
      <c r="N22" s="165">
        <v>5</v>
      </c>
      <c r="O22" s="165">
        <v>7</v>
      </c>
      <c r="P22" s="165">
        <v>8</v>
      </c>
      <c r="Q22" s="165">
        <v>7</v>
      </c>
      <c r="R22" s="165">
        <v>8</v>
      </c>
      <c r="S22" s="165">
        <v>7</v>
      </c>
      <c r="T22" s="165">
        <f t="shared" si="1"/>
        <v>85</v>
      </c>
      <c r="U22" s="167">
        <v>2</v>
      </c>
      <c r="V22" s="167">
        <v>3</v>
      </c>
    </row>
    <row r="23" spans="1:22" s="1" customFormat="1" ht="25.15" customHeight="1" thickBot="1" x14ac:dyDescent="0.3">
      <c r="A23" s="127" t="s">
        <v>36</v>
      </c>
      <c r="B23" s="124" t="s">
        <v>223</v>
      </c>
      <c r="C23" s="136">
        <v>2777</v>
      </c>
      <c r="D23" s="19" t="s">
        <v>35</v>
      </c>
      <c r="E23" s="3" t="str">
        <f t="shared" si="0"/>
        <v>٧</v>
      </c>
      <c r="F23" s="3">
        <v>7</v>
      </c>
      <c r="G23" s="3">
        <v>9</v>
      </c>
      <c r="H23" s="3">
        <v>9</v>
      </c>
      <c r="I23" s="3">
        <v>8</v>
      </c>
      <c r="J23" s="3">
        <v>7</v>
      </c>
      <c r="K23" s="3">
        <v>9</v>
      </c>
      <c r="L23" s="3" t="s">
        <v>56</v>
      </c>
      <c r="M23" s="3">
        <v>7</v>
      </c>
      <c r="N23" s="3">
        <v>9</v>
      </c>
      <c r="O23" s="3">
        <v>8</v>
      </c>
      <c r="P23" s="3">
        <v>8</v>
      </c>
      <c r="Q23" s="3">
        <v>8</v>
      </c>
      <c r="R23" s="3">
        <v>8</v>
      </c>
      <c r="S23" s="3">
        <v>8</v>
      </c>
      <c r="T23" s="4">
        <f t="shared" si="1"/>
        <v>105</v>
      </c>
      <c r="U23" s="44">
        <v>1</v>
      </c>
      <c r="V23" s="44" t="s">
        <v>56</v>
      </c>
    </row>
    <row r="24" spans="1:22" s="168" customFormat="1" ht="25.15" customHeight="1" thickBot="1" x14ac:dyDescent="0.3">
      <c r="A24" s="201" t="s">
        <v>37</v>
      </c>
      <c r="B24" s="169" t="s">
        <v>224</v>
      </c>
      <c r="C24" s="163">
        <v>2778</v>
      </c>
      <c r="D24" s="164" t="s">
        <v>36</v>
      </c>
      <c r="E24" s="165" t="str">
        <f t="shared" si="0"/>
        <v>٦</v>
      </c>
      <c r="F24" s="165">
        <v>6</v>
      </c>
      <c r="G24" s="165">
        <v>5</v>
      </c>
      <c r="H24" s="165">
        <v>8</v>
      </c>
      <c r="I24" s="165">
        <v>5</v>
      </c>
      <c r="J24" s="165">
        <v>5</v>
      </c>
      <c r="K24" s="165">
        <v>5</v>
      </c>
      <c r="L24" s="165" t="s">
        <v>56</v>
      </c>
      <c r="M24" s="165">
        <v>5</v>
      </c>
      <c r="N24" s="165">
        <v>5</v>
      </c>
      <c r="O24" s="165">
        <v>5</v>
      </c>
      <c r="P24" s="165">
        <v>8</v>
      </c>
      <c r="Q24" s="165">
        <v>7</v>
      </c>
      <c r="R24" s="165">
        <v>8</v>
      </c>
      <c r="S24" s="165">
        <v>8</v>
      </c>
      <c r="T24" s="165">
        <f t="shared" si="1"/>
        <v>80</v>
      </c>
      <c r="U24" s="167" t="s">
        <v>56</v>
      </c>
      <c r="V24" s="167">
        <v>2</v>
      </c>
    </row>
    <row r="25" spans="1:22" s="1" customFormat="1" ht="25.15" customHeight="1" thickBot="1" x14ac:dyDescent="0.3">
      <c r="A25" s="127" t="s">
        <v>38</v>
      </c>
      <c r="B25" s="124" t="s">
        <v>225</v>
      </c>
      <c r="C25" s="85">
        <v>2813</v>
      </c>
      <c r="D25" s="19" t="s">
        <v>37</v>
      </c>
      <c r="E25" s="3" t="str">
        <f t="shared" si="0"/>
        <v>٦</v>
      </c>
      <c r="F25" s="3">
        <v>6</v>
      </c>
      <c r="G25" s="3">
        <v>8</v>
      </c>
      <c r="H25" s="3">
        <v>7</v>
      </c>
      <c r="I25" s="3">
        <v>5</v>
      </c>
      <c r="J25" s="3">
        <v>7</v>
      </c>
      <c r="K25" s="3">
        <v>5</v>
      </c>
      <c r="L25" s="3" t="s">
        <v>56</v>
      </c>
      <c r="M25" s="3">
        <v>5</v>
      </c>
      <c r="N25" s="3">
        <v>6</v>
      </c>
      <c r="O25" s="3">
        <v>5</v>
      </c>
      <c r="P25" s="3">
        <v>8</v>
      </c>
      <c r="Q25" s="3">
        <v>6</v>
      </c>
      <c r="R25" s="3">
        <v>8</v>
      </c>
      <c r="S25" s="3">
        <v>8</v>
      </c>
      <c r="T25" s="4">
        <f t="shared" si="1"/>
        <v>84</v>
      </c>
      <c r="U25" s="44" t="s">
        <v>56</v>
      </c>
      <c r="V25" s="44" t="s">
        <v>56</v>
      </c>
    </row>
    <row r="26" spans="1:22" s="1" customFormat="1" ht="25.15" customHeight="1" thickBot="1" x14ac:dyDescent="0.3">
      <c r="A26" s="127" t="s">
        <v>39</v>
      </c>
      <c r="B26" s="124" t="s">
        <v>226</v>
      </c>
      <c r="C26" s="136">
        <v>2915</v>
      </c>
      <c r="D26" s="19" t="s">
        <v>38</v>
      </c>
      <c r="E26" s="3" t="str">
        <f t="shared" si="0"/>
        <v>٦</v>
      </c>
      <c r="F26" s="3">
        <v>6</v>
      </c>
      <c r="G26" s="3">
        <v>5</v>
      </c>
      <c r="H26" s="3">
        <v>7</v>
      </c>
      <c r="I26" s="3">
        <v>7</v>
      </c>
      <c r="J26" s="3">
        <v>5</v>
      </c>
      <c r="K26" s="3">
        <v>5</v>
      </c>
      <c r="L26" s="3" t="s">
        <v>56</v>
      </c>
      <c r="M26" s="3">
        <v>5</v>
      </c>
      <c r="N26" s="3">
        <v>5</v>
      </c>
      <c r="O26" s="3">
        <v>5</v>
      </c>
      <c r="P26" s="3">
        <v>8</v>
      </c>
      <c r="Q26" s="3">
        <v>6</v>
      </c>
      <c r="R26" s="3">
        <v>7</v>
      </c>
      <c r="S26" s="3">
        <v>8</v>
      </c>
      <c r="T26" s="4">
        <f t="shared" si="1"/>
        <v>79</v>
      </c>
      <c r="U26" s="44">
        <v>2</v>
      </c>
      <c r="V26" s="44">
        <v>2</v>
      </c>
    </row>
    <row r="27" spans="1:22" s="2" customFormat="1" ht="25.15" customHeight="1" thickBot="1" x14ac:dyDescent="0.3">
      <c r="A27" s="127" t="s">
        <v>40</v>
      </c>
      <c r="B27" s="124" t="s">
        <v>227</v>
      </c>
      <c r="C27" s="85">
        <v>2781</v>
      </c>
      <c r="D27" s="19" t="s">
        <v>39</v>
      </c>
      <c r="E27" s="3" t="str">
        <f t="shared" si="0"/>
        <v>٩</v>
      </c>
      <c r="F27" s="3">
        <v>9</v>
      </c>
      <c r="G27" s="3">
        <v>8</v>
      </c>
      <c r="H27" s="3">
        <v>9</v>
      </c>
      <c r="I27" s="3">
        <v>8</v>
      </c>
      <c r="J27" s="3">
        <v>7</v>
      </c>
      <c r="K27" s="3">
        <v>8</v>
      </c>
      <c r="L27" s="3" t="s">
        <v>56</v>
      </c>
      <c r="M27" s="3">
        <v>9</v>
      </c>
      <c r="N27" s="3">
        <v>8</v>
      </c>
      <c r="O27" s="3">
        <v>8</v>
      </c>
      <c r="P27" s="3">
        <v>8</v>
      </c>
      <c r="Q27" s="3">
        <v>8</v>
      </c>
      <c r="R27" s="3">
        <v>8</v>
      </c>
      <c r="S27" s="3">
        <v>8</v>
      </c>
      <c r="T27" s="4">
        <f t="shared" si="1"/>
        <v>106</v>
      </c>
      <c r="U27" s="44" t="s">
        <v>56</v>
      </c>
      <c r="V27" s="44">
        <v>1</v>
      </c>
    </row>
    <row r="28" spans="1:22" s="2" customFormat="1" ht="30.75" thickBot="1" x14ac:dyDescent="0.3">
      <c r="A28" s="127" t="s">
        <v>41</v>
      </c>
      <c r="B28" s="124" t="s">
        <v>228</v>
      </c>
      <c r="C28" s="85">
        <v>2877</v>
      </c>
      <c r="D28" s="19" t="s">
        <v>40</v>
      </c>
      <c r="E28" s="3" t="str">
        <f t="shared" si="0"/>
        <v>٦</v>
      </c>
      <c r="F28" s="3">
        <v>6</v>
      </c>
      <c r="G28" s="3">
        <v>5</v>
      </c>
      <c r="H28" s="3">
        <v>7</v>
      </c>
      <c r="I28" s="3">
        <v>6</v>
      </c>
      <c r="J28" s="3">
        <v>5</v>
      </c>
      <c r="K28" s="3">
        <v>6</v>
      </c>
      <c r="L28" s="3" t="s">
        <v>56</v>
      </c>
      <c r="M28" s="3">
        <v>8</v>
      </c>
      <c r="N28" s="3">
        <v>7</v>
      </c>
      <c r="O28" s="3">
        <v>7</v>
      </c>
      <c r="P28" s="3">
        <v>8</v>
      </c>
      <c r="Q28" s="3">
        <v>7</v>
      </c>
      <c r="R28" s="3">
        <v>8</v>
      </c>
      <c r="S28" s="3">
        <v>8</v>
      </c>
      <c r="T28" s="4">
        <f t="shared" si="1"/>
        <v>88</v>
      </c>
      <c r="U28" s="44">
        <v>2</v>
      </c>
      <c r="V28" s="44" t="s">
        <v>56</v>
      </c>
    </row>
    <row r="29" spans="1:22" s="2" customFormat="1" ht="25.15" customHeight="1" thickBot="1" x14ac:dyDescent="0.3">
      <c r="A29" s="127" t="s">
        <v>42</v>
      </c>
      <c r="B29" s="124" t="s">
        <v>229</v>
      </c>
      <c r="C29" s="85">
        <v>2710</v>
      </c>
      <c r="D29" s="19" t="s">
        <v>41</v>
      </c>
      <c r="E29" s="3" t="str">
        <f t="shared" si="0"/>
        <v>٥</v>
      </c>
      <c r="F29" s="3">
        <v>5</v>
      </c>
      <c r="G29" s="3">
        <v>7</v>
      </c>
      <c r="H29" s="3">
        <v>8</v>
      </c>
      <c r="I29" s="3">
        <v>6</v>
      </c>
      <c r="J29" s="3">
        <v>6</v>
      </c>
      <c r="K29" s="3">
        <v>7</v>
      </c>
      <c r="L29" s="3" t="s">
        <v>56</v>
      </c>
      <c r="M29" s="3">
        <v>5</v>
      </c>
      <c r="N29" s="3">
        <v>8</v>
      </c>
      <c r="O29" s="3">
        <v>6</v>
      </c>
      <c r="P29" s="3">
        <v>8</v>
      </c>
      <c r="Q29" s="3">
        <v>8</v>
      </c>
      <c r="R29" s="3">
        <v>8</v>
      </c>
      <c r="S29" s="3">
        <v>8</v>
      </c>
      <c r="T29" s="4">
        <f t="shared" si="1"/>
        <v>90</v>
      </c>
      <c r="U29" s="44" t="s">
        <v>56</v>
      </c>
      <c r="V29" s="44" t="s">
        <v>56</v>
      </c>
    </row>
    <row r="30" spans="1:22" s="2" customFormat="1" ht="25.15" customHeight="1" thickBot="1" x14ac:dyDescent="0.3">
      <c r="A30" s="127" t="s">
        <v>43</v>
      </c>
      <c r="B30" s="124" t="s">
        <v>230</v>
      </c>
      <c r="C30" s="85">
        <v>2712</v>
      </c>
      <c r="D30" s="19" t="s">
        <v>42</v>
      </c>
      <c r="E30" s="3" t="str">
        <f t="shared" si="0"/>
        <v>٥</v>
      </c>
      <c r="F30" s="3">
        <v>5</v>
      </c>
      <c r="G30" s="3">
        <v>5</v>
      </c>
      <c r="H30" s="3">
        <v>6</v>
      </c>
      <c r="I30" s="3">
        <v>5</v>
      </c>
      <c r="J30" s="3">
        <v>5</v>
      </c>
      <c r="K30" s="3">
        <v>5</v>
      </c>
      <c r="L30" s="3" t="s">
        <v>56</v>
      </c>
      <c r="M30" s="3">
        <v>5</v>
      </c>
      <c r="N30" s="3">
        <v>5</v>
      </c>
      <c r="O30" s="3">
        <v>5</v>
      </c>
      <c r="P30" s="3">
        <v>8</v>
      </c>
      <c r="Q30" s="3">
        <v>6</v>
      </c>
      <c r="R30" s="3">
        <v>7</v>
      </c>
      <c r="S30" s="3">
        <v>8</v>
      </c>
      <c r="T30" s="4">
        <f t="shared" si="1"/>
        <v>75</v>
      </c>
      <c r="U30" s="44" t="s">
        <v>56</v>
      </c>
      <c r="V30" s="44" t="s">
        <v>56</v>
      </c>
    </row>
    <row r="31" spans="1:22" s="2" customFormat="1" ht="25.15" customHeight="1" thickBot="1" x14ac:dyDescent="0.3">
      <c r="A31" s="71">
        <v>31</v>
      </c>
      <c r="B31" s="125" t="s">
        <v>231</v>
      </c>
      <c r="C31" s="84">
        <v>2785</v>
      </c>
      <c r="D31" s="19" t="s">
        <v>43</v>
      </c>
      <c r="E31" s="3" t="str">
        <f t="shared" si="0"/>
        <v>٦</v>
      </c>
      <c r="F31" s="3">
        <v>6</v>
      </c>
      <c r="G31" s="3">
        <v>5</v>
      </c>
      <c r="H31" s="3">
        <v>8</v>
      </c>
      <c r="I31" s="3">
        <v>5</v>
      </c>
      <c r="J31" s="3">
        <v>5</v>
      </c>
      <c r="K31" s="3">
        <v>5</v>
      </c>
      <c r="L31" s="3" t="s">
        <v>56</v>
      </c>
      <c r="M31" s="3">
        <v>6</v>
      </c>
      <c r="N31" s="3">
        <v>5</v>
      </c>
      <c r="O31" s="3">
        <v>5</v>
      </c>
      <c r="P31" s="3">
        <v>8</v>
      </c>
      <c r="Q31" s="3">
        <v>7</v>
      </c>
      <c r="R31" s="3">
        <v>7</v>
      </c>
      <c r="S31" s="3">
        <v>7</v>
      </c>
      <c r="T31" s="4">
        <f t="shared" si="1"/>
        <v>79</v>
      </c>
      <c r="U31" s="44" t="s">
        <v>56</v>
      </c>
      <c r="V31" s="44" t="s">
        <v>56</v>
      </c>
    </row>
    <row r="32" spans="1:22" s="119" customFormat="1" ht="25.15" customHeight="1" thickBot="1" x14ac:dyDescent="0.3">
      <c r="A32" s="104">
        <v>32</v>
      </c>
      <c r="B32" s="137" t="s">
        <v>232</v>
      </c>
      <c r="C32" s="138">
        <v>2683</v>
      </c>
      <c r="D32" s="19" t="s">
        <v>44</v>
      </c>
      <c r="E32" s="106" t="str">
        <f t="shared" si="0"/>
        <v>٧</v>
      </c>
      <c r="F32" s="106">
        <v>7</v>
      </c>
      <c r="G32" s="106">
        <v>7</v>
      </c>
      <c r="H32" s="106">
        <v>8</v>
      </c>
      <c r="I32" s="106">
        <v>4</v>
      </c>
      <c r="J32" s="106">
        <v>5</v>
      </c>
      <c r="K32" s="106">
        <v>7</v>
      </c>
      <c r="L32" s="3" t="s">
        <v>56</v>
      </c>
      <c r="M32" s="106">
        <v>6</v>
      </c>
      <c r="N32" s="106">
        <v>4</v>
      </c>
      <c r="O32" s="106">
        <v>6</v>
      </c>
      <c r="P32" s="106">
        <v>8</v>
      </c>
      <c r="Q32" s="106">
        <v>8</v>
      </c>
      <c r="R32" s="106">
        <v>8</v>
      </c>
      <c r="S32" s="106">
        <v>7</v>
      </c>
      <c r="T32" s="106">
        <f t="shared" si="1"/>
        <v>85</v>
      </c>
      <c r="U32" s="107">
        <v>1</v>
      </c>
      <c r="V32" s="44" t="s">
        <v>56</v>
      </c>
    </row>
    <row r="33" spans="1:22" s="9" customFormat="1" ht="25.15" customHeight="1" x14ac:dyDescent="0.25">
      <c r="A33" s="35"/>
      <c r="B33" s="10" t="s">
        <v>50</v>
      </c>
      <c r="C33" s="7"/>
      <c r="D33" s="7"/>
      <c r="E33" s="3" t="str">
        <f t="shared" ref="E33" si="2">TEXT(F33,"[$-2000000]0")</f>
        <v>٢٢٤</v>
      </c>
      <c r="F33" s="38">
        <f t="shared" ref="F33:S33" si="3">SUM(F2:F32)</f>
        <v>224</v>
      </c>
      <c r="G33" s="8">
        <f t="shared" si="3"/>
        <v>224</v>
      </c>
      <c r="H33" s="8">
        <f t="shared" si="3"/>
        <v>252</v>
      </c>
      <c r="I33" s="24">
        <f t="shared" si="3"/>
        <v>194</v>
      </c>
      <c r="J33" s="8">
        <f t="shared" si="3"/>
        <v>195</v>
      </c>
      <c r="K33" s="8">
        <f t="shared" si="3"/>
        <v>215</v>
      </c>
      <c r="L33" s="8">
        <f t="shared" si="3"/>
        <v>0</v>
      </c>
      <c r="M33" s="8">
        <f t="shared" si="3"/>
        <v>224</v>
      </c>
      <c r="N33" s="8">
        <f t="shared" si="3"/>
        <v>218</v>
      </c>
      <c r="O33" s="24">
        <f t="shared" si="3"/>
        <v>209</v>
      </c>
      <c r="P33" s="8">
        <f t="shared" si="3"/>
        <v>250</v>
      </c>
      <c r="Q33" s="8">
        <f t="shared" si="3"/>
        <v>233</v>
      </c>
      <c r="R33" s="8">
        <f t="shared" si="3"/>
        <v>243</v>
      </c>
      <c r="S33" s="8">
        <f t="shared" si="3"/>
        <v>242</v>
      </c>
      <c r="T33" s="8"/>
      <c r="U33" s="44" t="s">
        <v>56</v>
      </c>
      <c r="V33" s="44" t="s">
        <v>56</v>
      </c>
    </row>
    <row r="34" spans="1:22" ht="15" customHeight="1" x14ac:dyDescent="0.25">
      <c r="A34" s="17"/>
      <c r="B34" s="7"/>
      <c r="C34" s="7"/>
      <c r="D34" s="7"/>
      <c r="E34" s="3"/>
      <c r="F34" s="5"/>
      <c r="G34" s="5"/>
      <c r="H34" s="5"/>
      <c r="I34" s="25"/>
      <c r="J34" s="5"/>
      <c r="K34" s="5"/>
      <c r="L34" s="5"/>
      <c r="M34" s="5"/>
      <c r="N34" s="5"/>
      <c r="O34" s="25"/>
      <c r="P34" s="5"/>
      <c r="Q34" s="5"/>
      <c r="R34" s="5"/>
      <c r="S34" s="5"/>
      <c r="T34" s="6"/>
      <c r="U34" s="44" t="s">
        <v>56</v>
      </c>
      <c r="V34" s="44" t="s">
        <v>56</v>
      </c>
    </row>
    <row r="35" spans="1:22" ht="15" customHeight="1" x14ac:dyDescent="0.25">
      <c r="A35" s="17"/>
      <c r="B35" s="7"/>
      <c r="C35" s="7"/>
      <c r="D35" s="7"/>
      <c r="E35" s="3"/>
      <c r="F35" s="5"/>
      <c r="G35" s="5"/>
      <c r="H35" s="5"/>
      <c r="I35" s="25"/>
      <c r="J35" s="5"/>
      <c r="K35" s="5"/>
      <c r="L35" s="5"/>
      <c r="M35" s="5"/>
      <c r="N35" s="5"/>
      <c r="O35" s="25"/>
      <c r="P35" s="5"/>
      <c r="Q35" s="5"/>
      <c r="R35" s="5"/>
      <c r="S35" s="5"/>
      <c r="T35" s="6"/>
      <c r="U35" s="44" t="s">
        <v>56</v>
      </c>
      <c r="V35" s="44" t="s">
        <v>56</v>
      </c>
    </row>
    <row r="36" spans="1:22" s="18" customFormat="1" ht="15" customHeight="1" x14ac:dyDescent="0.25">
      <c r="A36" s="17"/>
      <c r="B36" s="7"/>
      <c r="C36" s="7"/>
      <c r="D36" s="7"/>
      <c r="E36" s="3"/>
      <c r="F36" s="5"/>
      <c r="G36" s="5"/>
      <c r="H36" s="5"/>
      <c r="I36" s="25"/>
      <c r="J36" s="5"/>
      <c r="K36" s="5"/>
      <c r="L36" s="5"/>
      <c r="M36" s="5"/>
      <c r="N36" s="5"/>
      <c r="O36" s="25"/>
      <c r="P36" s="5"/>
      <c r="Q36" s="5"/>
      <c r="R36" s="5"/>
      <c r="S36" s="5"/>
      <c r="T36" s="6"/>
      <c r="U36" s="9"/>
      <c r="V36" s="9"/>
    </row>
    <row r="37" spans="1:22" s="18" customFormat="1" ht="20.25" customHeight="1" x14ac:dyDescent="0.25">
      <c r="A37" s="17"/>
      <c r="B37" s="7"/>
      <c r="C37" s="7"/>
      <c r="D37" s="7"/>
      <c r="E37" s="3"/>
      <c r="F37" s="5"/>
      <c r="G37" s="4"/>
      <c r="H37" s="14" t="s">
        <v>49</v>
      </c>
      <c r="I37" s="23"/>
      <c r="J37" s="5"/>
      <c r="K37" s="5"/>
      <c r="L37" s="5"/>
      <c r="M37" s="5"/>
      <c r="N37" s="5"/>
      <c r="O37" s="25"/>
      <c r="P37" s="5"/>
      <c r="Q37" s="5"/>
      <c r="R37" s="5"/>
      <c r="S37" s="5"/>
      <c r="T37" s="6"/>
      <c r="U37"/>
      <c r="V37"/>
    </row>
    <row r="38" spans="1:22" s="18" customFormat="1" ht="20.25" customHeight="1" x14ac:dyDescent="0.25">
      <c r="A38" s="17"/>
      <c r="B38" s="7"/>
      <c r="C38" s="7"/>
      <c r="D38" s="7"/>
      <c r="E38" s="3"/>
      <c r="F38" s="5"/>
      <c r="G38" s="5"/>
      <c r="H38" s="16">
        <f>E33/D32</f>
        <v>7</v>
      </c>
      <c r="I38" s="25"/>
      <c r="J38" s="5"/>
      <c r="K38" s="5"/>
      <c r="L38" s="5"/>
      <c r="M38" s="5"/>
      <c r="N38" s="5"/>
      <c r="O38" s="25"/>
      <c r="P38" s="5"/>
      <c r="Q38" s="5"/>
      <c r="R38" s="5"/>
      <c r="S38" s="5"/>
      <c r="T38" s="5"/>
      <c r="U38"/>
      <c r="V38"/>
    </row>
    <row r="39" spans="1:22" s="18" customFormat="1" ht="20.25" customHeight="1" x14ac:dyDescent="0.25">
      <c r="A39" s="17"/>
      <c r="B39" s="7"/>
      <c r="C39" s="7"/>
      <c r="D39" s="7"/>
      <c r="E39" s="3"/>
      <c r="F39" s="5"/>
      <c r="G39" s="5"/>
      <c r="H39" s="16">
        <f>G33/D32</f>
        <v>7</v>
      </c>
      <c r="I39" s="25"/>
      <c r="J39" s="141"/>
      <c r="K39" s="141" t="s">
        <v>325</v>
      </c>
      <c r="L39" s="141"/>
      <c r="M39" s="5"/>
      <c r="N39" s="5"/>
      <c r="O39" s="25"/>
      <c r="P39" s="5"/>
      <c r="Q39" s="5"/>
      <c r="R39" s="5"/>
      <c r="S39" s="5"/>
      <c r="T39" s="6"/>
      <c r="U39"/>
      <c r="V39"/>
    </row>
    <row r="40" spans="1:22" s="18" customFormat="1" ht="20.25" customHeight="1" x14ac:dyDescent="0.25">
      <c r="A40" s="17"/>
      <c r="B40" s="7"/>
      <c r="C40" s="7"/>
      <c r="D40" s="7"/>
      <c r="E40" s="3"/>
      <c r="F40" s="5"/>
      <c r="G40" s="5"/>
      <c r="H40" s="16">
        <f>H33/D32</f>
        <v>8</v>
      </c>
      <c r="I40" s="25"/>
      <c r="J40" s="5"/>
      <c r="K40" s="5"/>
      <c r="L40" s="5"/>
      <c r="M40" s="5"/>
      <c r="N40" s="5"/>
      <c r="O40" s="25"/>
      <c r="P40" s="5"/>
      <c r="Q40" s="5"/>
      <c r="R40" s="5"/>
      <c r="S40" s="5"/>
      <c r="T40" s="6"/>
      <c r="U40"/>
      <c r="V40"/>
    </row>
    <row r="41" spans="1:22" s="18" customFormat="1" ht="20.25" customHeight="1" x14ac:dyDescent="0.25">
      <c r="A41" s="17"/>
      <c r="B41" s="7"/>
      <c r="C41" s="7"/>
      <c r="D41" s="7"/>
      <c r="E41" s="3"/>
      <c r="F41" s="5"/>
      <c r="G41" s="5"/>
      <c r="H41" s="16">
        <f>I33/D32</f>
        <v>6</v>
      </c>
      <c r="I41" s="25"/>
      <c r="J41" s="5"/>
      <c r="K41" s="5"/>
      <c r="L41" s="5"/>
      <c r="M41" s="5"/>
      <c r="N41" s="5"/>
      <c r="O41" s="25"/>
      <c r="P41" s="5"/>
      <c r="Q41" s="5"/>
      <c r="R41" s="5"/>
      <c r="S41" s="5"/>
      <c r="T41" s="6"/>
      <c r="U41"/>
      <c r="V41"/>
    </row>
    <row r="42" spans="1:22" s="18" customFormat="1" ht="20.25" customHeight="1" x14ac:dyDescent="0.25">
      <c r="A42" s="17"/>
      <c r="B42" s="7"/>
      <c r="C42" s="7"/>
      <c r="D42" s="7"/>
      <c r="E42" s="3"/>
      <c r="F42" s="5"/>
      <c r="G42" s="5"/>
      <c r="H42" s="16">
        <f>J33/D32</f>
        <v>6</v>
      </c>
      <c r="I42" s="25"/>
      <c r="J42" s="5"/>
      <c r="K42" s="5"/>
      <c r="L42" s="5"/>
      <c r="M42" s="5"/>
      <c r="N42" s="5"/>
      <c r="O42" s="25"/>
      <c r="P42" s="5"/>
      <c r="Q42" s="5"/>
      <c r="R42" s="5"/>
      <c r="S42" s="5"/>
      <c r="T42" s="6"/>
      <c r="U42"/>
      <c r="V42"/>
    </row>
    <row r="43" spans="1:22" s="18" customFormat="1" ht="20.25" customHeight="1" x14ac:dyDescent="0.25">
      <c r="A43" s="17"/>
      <c r="B43" s="7"/>
      <c r="C43" s="7"/>
      <c r="D43" s="7"/>
      <c r="E43" s="3"/>
      <c r="F43" s="5"/>
      <c r="G43" s="5"/>
      <c r="H43" s="16">
        <f>K33/D32</f>
        <v>7</v>
      </c>
      <c r="I43" s="25"/>
      <c r="J43" s="5"/>
      <c r="K43" s="5"/>
      <c r="L43" s="5"/>
      <c r="M43" s="5"/>
      <c r="N43" s="5"/>
      <c r="O43" s="25"/>
      <c r="P43" s="5"/>
      <c r="Q43" s="5"/>
      <c r="R43" s="5"/>
      <c r="S43" s="5"/>
      <c r="T43" s="6"/>
      <c r="U43"/>
      <c r="V43"/>
    </row>
    <row r="44" spans="1:22" s="18" customFormat="1" ht="20.25" customHeight="1" x14ac:dyDescent="0.25">
      <c r="A44" s="17"/>
      <c r="B44" s="7"/>
      <c r="C44" s="7"/>
      <c r="D44" s="7"/>
      <c r="E44" s="3"/>
      <c r="F44" s="5"/>
      <c r="G44" s="5"/>
      <c r="H44" s="33" t="s">
        <v>56</v>
      </c>
      <c r="I44" s="25"/>
      <c r="J44" s="5"/>
      <c r="K44" s="5"/>
      <c r="L44" s="5"/>
      <c r="M44" s="5"/>
      <c r="N44" s="5"/>
      <c r="O44" s="25"/>
      <c r="P44" s="5"/>
      <c r="Q44" s="5"/>
      <c r="R44" s="5"/>
      <c r="S44" s="5"/>
      <c r="T44" s="6"/>
      <c r="U44" s="45"/>
      <c r="V44" s="45"/>
    </row>
    <row r="45" spans="1:22" s="18" customFormat="1" ht="20.25" customHeight="1" x14ac:dyDescent="0.25">
      <c r="A45" s="17"/>
      <c r="B45" s="7"/>
      <c r="C45" s="7"/>
      <c r="D45" s="7"/>
      <c r="E45" s="3"/>
      <c r="F45" s="5"/>
      <c r="G45" s="5"/>
      <c r="H45" s="16">
        <f>M33/D32</f>
        <v>7</v>
      </c>
      <c r="I45" s="25"/>
      <c r="J45" s="5"/>
      <c r="K45" s="5"/>
      <c r="L45" s="5"/>
      <c r="M45" s="5"/>
      <c r="N45" s="5"/>
      <c r="O45" s="25"/>
      <c r="P45" s="5"/>
      <c r="Q45" s="5"/>
      <c r="R45" s="5"/>
      <c r="S45" s="5"/>
      <c r="T45" s="6"/>
      <c r="U45" s="45"/>
      <c r="V45" s="45"/>
    </row>
    <row r="46" spans="1:22" s="18" customFormat="1" ht="20.25" customHeight="1" x14ac:dyDescent="0.25">
      <c r="A46" s="17"/>
      <c r="B46" s="7"/>
      <c r="C46" s="7"/>
      <c r="D46" s="7"/>
      <c r="E46" s="3"/>
      <c r="F46" s="5"/>
      <c r="G46" s="5"/>
      <c r="H46" s="16">
        <f>N33/D32</f>
        <v>7</v>
      </c>
      <c r="I46" s="25"/>
      <c r="J46" s="5"/>
      <c r="K46" s="5"/>
      <c r="L46" s="5"/>
      <c r="M46" s="5"/>
      <c r="N46" s="5"/>
      <c r="O46" s="25"/>
      <c r="P46" s="5"/>
      <c r="Q46" s="5"/>
      <c r="R46" s="5"/>
      <c r="S46" s="5"/>
      <c r="T46" s="6"/>
      <c r="U46" s="45"/>
      <c r="V46" s="45"/>
    </row>
    <row r="47" spans="1:22" s="18" customFormat="1" ht="20.25" customHeight="1" x14ac:dyDescent="0.25">
      <c r="A47" s="17"/>
      <c r="B47" s="7"/>
      <c r="C47" s="7"/>
      <c r="D47" s="7"/>
      <c r="E47" s="3"/>
      <c r="F47" s="5"/>
      <c r="G47" s="5"/>
      <c r="H47" s="16">
        <f>O33/D32</f>
        <v>7</v>
      </c>
      <c r="I47" s="25"/>
      <c r="J47" s="5"/>
      <c r="K47" s="5"/>
      <c r="L47" s="5"/>
      <c r="M47" s="5"/>
      <c r="N47" s="5"/>
      <c r="O47" s="25"/>
      <c r="P47" s="5"/>
      <c r="Q47" s="5"/>
      <c r="R47" s="5"/>
      <c r="S47" s="5"/>
      <c r="T47" s="6"/>
      <c r="U47" s="45"/>
      <c r="V47" s="45"/>
    </row>
    <row r="48" spans="1:22" s="18" customFormat="1" ht="20.25" customHeight="1" x14ac:dyDescent="0.25">
      <c r="A48" s="17"/>
      <c r="B48" s="7"/>
      <c r="C48" s="7"/>
      <c r="D48" s="7"/>
      <c r="E48" s="3"/>
      <c r="F48" s="5"/>
      <c r="G48" s="5"/>
      <c r="H48" s="16">
        <f>P33/D32</f>
        <v>8</v>
      </c>
      <c r="I48" s="25"/>
      <c r="J48" s="5"/>
      <c r="K48" s="5"/>
      <c r="L48" s="5"/>
      <c r="M48" s="5"/>
      <c r="N48" s="5"/>
      <c r="O48" s="25"/>
      <c r="P48" s="5"/>
      <c r="Q48" s="5"/>
      <c r="R48" s="5"/>
      <c r="S48" s="5"/>
      <c r="T48" s="6"/>
      <c r="U48" s="45"/>
      <c r="V48" s="45"/>
    </row>
    <row r="49" spans="1:22" s="18" customFormat="1" ht="20.25" customHeight="1" x14ac:dyDescent="0.25">
      <c r="A49" s="17"/>
      <c r="B49" s="7"/>
      <c r="C49" s="7"/>
      <c r="D49" s="7"/>
      <c r="E49" s="3"/>
      <c r="F49" s="5"/>
      <c r="G49" s="5"/>
      <c r="H49" s="16">
        <f>Q33/D32</f>
        <v>8</v>
      </c>
      <c r="I49" s="25"/>
      <c r="J49" s="5"/>
      <c r="K49" s="5"/>
      <c r="L49" s="5"/>
      <c r="M49" s="5"/>
      <c r="N49" s="5"/>
      <c r="O49" s="25"/>
      <c r="P49" s="5"/>
      <c r="Q49" s="5"/>
      <c r="R49" s="5"/>
      <c r="S49" s="5"/>
      <c r="T49" s="6"/>
      <c r="U49" s="45"/>
      <c r="V49" s="45"/>
    </row>
    <row r="50" spans="1:22" s="18" customFormat="1" ht="20.25" customHeight="1" x14ac:dyDescent="0.25">
      <c r="A50" s="17"/>
      <c r="B50" s="7"/>
      <c r="C50" s="7"/>
      <c r="D50" s="7"/>
      <c r="E50" s="3"/>
      <c r="F50" s="5"/>
      <c r="G50" s="5"/>
      <c r="H50" s="16">
        <f>R33/D32</f>
        <v>8</v>
      </c>
      <c r="I50" s="25"/>
      <c r="J50" s="5"/>
      <c r="K50" s="5"/>
      <c r="L50" s="5"/>
      <c r="M50" s="5"/>
      <c r="N50" s="5"/>
      <c r="O50" s="25"/>
      <c r="P50" s="5"/>
      <c r="Q50" s="5"/>
      <c r="R50" s="5"/>
      <c r="S50" s="5"/>
      <c r="T50" s="6"/>
      <c r="U50" s="45"/>
      <c r="V50" s="45"/>
    </row>
    <row r="51" spans="1:22" s="18" customFormat="1" ht="25.15" customHeight="1" x14ac:dyDescent="0.25">
      <c r="A51" s="17"/>
      <c r="B51" s="7"/>
      <c r="C51" s="7"/>
      <c r="D51" s="7"/>
      <c r="E51" s="3"/>
      <c r="F51" s="5"/>
      <c r="G51" s="5"/>
      <c r="H51" s="16">
        <f>S33/D32</f>
        <v>8</v>
      </c>
      <c r="I51" s="25"/>
      <c r="J51" s="5"/>
      <c r="K51" s="5"/>
      <c r="L51" s="5"/>
      <c r="M51" s="5"/>
      <c r="N51" s="5"/>
      <c r="O51" s="25"/>
      <c r="P51" s="5"/>
      <c r="Q51" s="5"/>
      <c r="R51" s="5"/>
      <c r="S51" s="5"/>
      <c r="T51" s="6"/>
      <c r="U51" s="45"/>
      <c r="V51" s="45"/>
    </row>
    <row r="52" spans="1:22" s="18" customFormat="1" ht="15" customHeight="1" x14ac:dyDescent="0.25">
      <c r="A52" s="17"/>
      <c r="B52" s="7"/>
      <c r="C52" s="7"/>
      <c r="D52" s="7"/>
      <c r="E52" s="3"/>
      <c r="F52" s="5"/>
      <c r="G52" s="5"/>
      <c r="H52" s="15">
        <f>SUM(H38:H51)</f>
        <v>94</v>
      </c>
      <c r="I52" s="25"/>
      <c r="J52" s="5"/>
      <c r="K52" s="5"/>
      <c r="L52" s="5"/>
      <c r="M52" s="5"/>
      <c r="N52" s="5"/>
      <c r="O52" s="25"/>
      <c r="P52" s="5"/>
      <c r="Q52" s="5"/>
      <c r="R52" s="5"/>
      <c r="S52" s="5"/>
      <c r="T52" s="6"/>
      <c r="U52" s="45"/>
      <c r="V52" s="45"/>
    </row>
    <row r="53" spans="1:22" s="18" customFormat="1" ht="15" customHeight="1" x14ac:dyDescent="0.25">
      <c r="A53" s="17"/>
      <c r="B53" s="7"/>
      <c r="C53" s="7"/>
      <c r="D53" s="7"/>
      <c r="E53" s="3"/>
      <c r="F53" s="5"/>
      <c r="G53" s="5"/>
      <c r="H53" s="5"/>
      <c r="I53" s="25"/>
      <c r="J53" s="5"/>
      <c r="K53" s="5"/>
      <c r="L53" s="5"/>
      <c r="M53" s="5"/>
      <c r="N53" s="5"/>
      <c r="O53" s="25"/>
      <c r="P53" s="5"/>
      <c r="Q53" s="5"/>
      <c r="R53" s="5"/>
      <c r="S53" s="5"/>
      <c r="T53" s="6"/>
      <c r="U53" s="45"/>
      <c r="V53" s="45"/>
    </row>
    <row r="54" spans="1:22" s="18" customFormat="1" ht="15" customHeight="1" x14ac:dyDescent="0.25">
      <c r="A54" s="17"/>
      <c r="B54" s="7"/>
      <c r="C54" s="7"/>
      <c r="D54" s="7"/>
      <c r="E54" s="3"/>
      <c r="F54" s="5"/>
      <c r="G54" s="5"/>
      <c r="H54" s="5"/>
      <c r="I54" s="25"/>
      <c r="J54" s="5"/>
      <c r="K54" s="5"/>
      <c r="L54" s="5"/>
      <c r="M54" s="5"/>
      <c r="N54" s="5"/>
      <c r="O54" s="25"/>
      <c r="P54" s="5"/>
      <c r="Q54" s="5"/>
      <c r="R54" s="5"/>
      <c r="S54" s="5"/>
      <c r="T54" s="6"/>
      <c r="U54" s="45"/>
      <c r="V54" s="45"/>
    </row>
    <row r="55" spans="1:22" s="18" customFormat="1" ht="15" customHeight="1" x14ac:dyDescent="0.25">
      <c r="A55" s="17"/>
      <c r="B55" s="7"/>
      <c r="C55" s="7"/>
      <c r="D55" s="7"/>
      <c r="E55" s="3"/>
      <c r="F55" s="5"/>
      <c r="G55" s="5"/>
      <c r="H55" s="5"/>
      <c r="I55" s="25"/>
      <c r="J55" s="5"/>
      <c r="K55" s="5"/>
      <c r="L55" s="5"/>
      <c r="M55" s="5"/>
      <c r="N55" s="5"/>
      <c r="O55" s="25"/>
      <c r="P55" s="5"/>
      <c r="Q55" s="5"/>
      <c r="R55" s="5"/>
      <c r="S55" s="5"/>
      <c r="T55" s="6"/>
      <c r="U55" s="45"/>
      <c r="V55" s="45"/>
    </row>
    <row r="56" spans="1:22" s="18" customFormat="1" ht="15" customHeight="1" x14ac:dyDescent="0.25">
      <c r="A56" s="17"/>
      <c r="B56" s="7"/>
      <c r="C56" s="7"/>
      <c r="D56" s="7"/>
      <c r="E56" s="3"/>
      <c r="F56" s="5"/>
      <c r="G56" s="5"/>
      <c r="H56" s="5"/>
      <c r="I56" s="25"/>
      <c r="J56" s="5"/>
      <c r="K56" s="5"/>
      <c r="L56" s="5"/>
      <c r="M56" s="5"/>
      <c r="N56" s="5"/>
      <c r="O56" s="25"/>
      <c r="P56" s="5"/>
      <c r="Q56" s="5"/>
      <c r="R56" s="5"/>
      <c r="S56" s="5"/>
      <c r="T56" s="6"/>
      <c r="U56" s="45"/>
      <c r="V56" s="45"/>
    </row>
    <row r="57" spans="1:22" s="18" customFormat="1" ht="15" customHeight="1" x14ac:dyDescent="0.25">
      <c r="A57" s="17"/>
      <c r="B57" s="7"/>
      <c r="C57" s="7"/>
      <c r="D57" s="7"/>
      <c r="E57" s="3"/>
      <c r="F57" s="5"/>
      <c r="G57" s="5"/>
      <c r="H57" s="5"/>
      <c r="I57" s="25"/>
      <c r="J57" s="5"/>
      <c r="K57" s="5"/>
      <c r="L57" s="5"/>
      <c r="M57" s="5"/>
      <c r="N57" s="5"/>
      <c r="O57" s="25"/>
      <c r="P57" s="5"/>
      <c r="Q57" s="5"/>
      <c r="R57" s="5"/>
      <c r="S57" s="5"/>
      <c r="T57" s="6"/>
      <c r="U57" s="45"/>
      <c r="V57" s="45"/>
    </row>
    <row r="58" spans="1:22" s="18" customFormat="1" ht="15" customHeight="1" x14ac:dyDescent="0.25">
      <c r="A58" s="17"/>
      <c r="B58" s="7"/>
      <c r="C58" s="7"/>
      <c r="D58" s="7"/>
      <c r="E58" s="3"/>
      <c r="F58" s="5"/>
      <c r="G58" s="5"/>
      <c r="H58" s="5"/>
      <c r="I58" s="25"/>
      <c r="J58" s="5"/>
      <c r="K58" s="5"/>
      <c r="L58" s="5"/>
      <c r="M58" s="5"/>
      <c r="N58" s="5"/>
      <c r="O58" s="25"/>
      <c r="P58" s="5"/>
      <c r="Q58" s="5"/>
      <c r="R58" s="5"/>
      <c r="S58" s="5"/>
      <c r="T58" s="6"/>
      <c r="U58" s="45"/>
      <c r="V58" s="45"/>
    </row>
    <row r="59" spans="1:22" s="18" customFormat="1" ht="15" customHeight="1" x14ac:dyDescent="0.25">
      <c r="A59" s="17"/>
      <c r="B59" s="7"/>
      <c r="C59" s="7"/>
      <c r="D59" s="7"/>
      <c r="E59" s="3"/>
      <c r="F59" s="5"/>
      <c r="G59" s="5"/>
      <c r="H59" s="5"/>
      <c r="I59" s="25"/>
      <c r="J59" s="5"/>
      <c r="K59" s="5"/>
      <c r="L59" s="5"/>
      <c r="M59" s="5"/>
      <c r="N59" s="5"/>
      <c r="O59" s="25"/>
      <c r="P59" s="5"/>
      <c r="Q59" s="5"/>
      <c r="R59" s="5"/>
      <c r="S59" s="5"/>
      <c r="T59" s="6"/>
      <c r="U59" s="45"/>
      <c r="V59" s="45"/>
    </row>
    <row r="60" spans="1:22" s="18" customFormat="1" ht="15" customHeight="1" x14ac:dyDescent="0.25">
      <c r="A60" s="17"/>
      <c r="B60" s="7"/>
      <c r="C60" s="7"/>
      <c r="D60" s="7"/>
      <c r="E60" s="3"/>
      <c r="F60" s="5"/>
      <c r="G60" s="5"/>
      <c r="H60" s="5"/>
      <c r="I60" s="25"/>
      <c r="J60" s="5"/>
      <c r="K60" s="5"/>
      <c r="L60" s="5"/>
      <c r="M60" s="5"/>
      <c r="N60" s="5"/>
      <c r="O60" s="25"/>
      <c r="P60" s="5"/>
      <c r="Q60" s="5"/>
      <c r="R60" s="5"/>
      <c r="S60" s="5"/>
      <c r="T60" s="6"/>
      <c r="U60" s="45"/>
      <c r="V60" s="45"/>
    </row>
    <row r="61" spans="1:22" s="18" customFormat="1" ht="15" customHeight="1" x14ac:dyDescent="0.25">
      <c r="A61" s="17"/>
      <c r="B61" s="7"/>
      <c r="C61" s="7"/>
      <c r="D61" s="7"/>
      <c r="E61" s="3"/>
      <c r="F61" s="5"/>
      <c r="G61" s="5"/>
      <c r="H61" s="5"/>
      <c r="I61" s="25"/>
      <c r="J61" s="5"/>
      <c r="K61" s="5"/>
      <c r="L61" s="5"/>
      <c r="M61" s="5"/>
      <c r="N61" s="5"/>
      <c r="O61" s="25"/>
      <c r="P61" s="5"/>
      <c r="Q61" s="5"/>
      <c r="R61" s="5"/>
      <c r="S61" s="5"/>
      <c r="T61" s="6"/>
      <c r="U61" s="45"/>
      <c r="V61" s="45"/>
    </row>
    <row r="62" spans="1:22" s="18" customFormat="1" ht="15" customHeight="1" x14ac:dyDescent="0.25">
      <c r="A62" s="17"/>
      <c r="B62" s="7"/>
      <c r="C62" s="7"/>
      <c r="D62" s="7"/>
      <c r="E62" s="3"/>
      <c r="F62" s="5"/>
      <c r="G62" s="5"/>
      <c r="H62" s="5"/>
      <c r="I62" s="25"/>
      <c r="J62" s="5"/>
      <c r="K62" s="5"/>
      <c r="L62" s="5"/>
      <c r="M62" s="5"/>
      <c r="N62" s="5"/>
      <c r="O62" s="25"/>
      <c r="P62" s="5"/>
      <c r="Q62" s="5"/>
      <c r="R62" s="5"/>
      <c r="S62" s="5"/>
      <c r="T62" s="6"/>
      <c r="U62" s="45"/>
      <c r="V62" s="45"/>
    </row>
    <row r="63" spans="1:22" s="18" customFormat="1" ht="15" customHeight="1" x14ac:dyDescent="0.25">
      <c r="A63" s="17"/>
      <c r="B63" s="7"/>
      <c r="C63" s="7"/>
      <c r="D63" s="7"/>
      <c r="E63" s="3"/>
      <c r="F63" s="5"/>
      <c r="G63" s="5"/>
      <c r="H63" s="5"/>
      <c r="I63" s="25"/>
      <c r="J63" s="5"/>
      <c r="K63" s="5"/>
      <c r="L63" s="5"/>
      <c r="M63" s="5"/>
      <c r="N63" s="5"/>
      <c r="O63" s="25"/>
      <c r="P63" s="5"/>
      <c r="Q63" s="5"/>
      <c r="R63" s="5"/>
      <c r="S63" s="5"/>
      <c r="T63" s="6"/>
      <c r="U63" s="45"/>
      <c r="V63" s="45"/>
    </row>
    <row r="64" spans="1:22" s="18" customFormat="1" ht="15" customHeight="1" thickBot="1" x14ac:dyDescent="0.3">
      <c r="A64" s="69"/>
      <c r="B64" s="7"/>
      <c r="C64" s="7"/>
      <c r="D64" s="7"/>
      <c r="E64" s="3"/>
      <c r="F64" s="5"/>
      <c r="G64" s="5"/>
      <c r="H64" s="5"/>
      <c r="I64" s="25"/>
      <c r="J64" s="5"/>
      <c r="K64" s="5"/>
      <c r="L64" s="5"/>
      <c r="M64" s="5"/>
      <c r="N64" s="5"/>
      <c r="O64" s="25"/>
      <c r="P64" s="5"/>
      <c r="Q64" s="5"/>
      <c r="R64" s="5"/>
      <c r="S64" s="5"/>
      <c r="T64" s="6"/>
      <c r="U64" s="45"/>
      <c r="V64" s="45"/>
    </row>
    <row r="65" spans="1:22" s="18" customFormat="1" ht="15" customHeight="1" thickBot="1" x14ac:dyDescent="0.3">
      <c r="A65" s="69"/>
      <c r="B65" s="7"/>
      <c r="C65" s="7"/>
      <c r="D65" s="7"/>
      <c r="E65" s="3"/>
      <c r="F65" s="5"/>
      <c r="G65" s="5"/>
      <c r="H65" s="5"/>
      <c r="I65" s="25"/>
      <c r="J65" s="5"/>
      <c r="K65" s="5"/>
      <c r="L65" s="5"/>
      <c r="M65" s="5"/>
      <c r="N65" s="5"/>
      <c r="O65" s="25"/>
      <c r="P65" s="5"/>
      <c r="Q65" s="5"/>
      <c r="R65" s="5"/>
      <c r="S65" s="5"/>
      <c r="T65" s="6"/>
      <c r="U65" s="45"/>
      <c r="V65" s="45"/>
    </row>
    <row r="66" spans="1:22" s="18" customFormat="1" ht="15" customHeight="1" thickBot="1" x14ac:dyDescent="0.3">
      <c r="A66" s="69"/>
      <c r="B66" s="7"/>
      <c r="C66" s="7"/>
      <c r="D66" s="7"/>
      <c r="E66" s="3"/>
      <c r="F66" s="5"/>
      <c r="G66" s="5"/>
      <c r="H66" s="5"/>
      <c r="I66" s="25"/>
      <c r="J66" s="5"/>
      <c r="K66" s="5"/>
      <c r="L66" s="5"/>
      <c r="M66" s="5"/>
      <c r="N66" s="5"/>
      <c r="O66" s="25"/>
      <c r="P66" s="5"/>
      <c r="Q66" s="5"/>
      <c r="R66" s="5"/>
      <c r="S66" s="5"/>
      <c r="T66" s="6"/>
      <c r="U66" s="45"/>
      <c r="V66" s="45"/>
    </row>
    <row r="67" spans="1:22" s="18" customFormat="1" ht="15" customHeight="1" thickBot="1" x14ac:dyDescent="0.3">
      <c r="A67" s="69"/>
      <c r="B67" s="7"/>
      <c r="C67" s="7"/>
      <c r="D67" s="7"/>
      <c r="E67" s="3"/>
      <c r="F67" s="5"/>
      <c r="G67" s="5"/>
      <c r="H67" s="5"/>
      <c r="I67" s="25"/>
      <c r="J67" s="5"/>
      <c r="K67" s="5"/>
      <c r="L67" s="5"/>
      <c r="M67" s="5"/>
      <c r="N67" s="5"/>
      <c r="O67" s="25"/>
      <c r="P67" s="5"/>
      <c r="Q67" s="5"/>
      <c r="R67" s="5"/>
      <c r="S67" s="5"/>
      <c r="T67" s="6"/>
      <c r="U67" s="45"/>
      <c r="V67" s="45"/>
    </row>
    <row r="68" spans="1:22" s="18" customFormat="1" ht="15" customHeight="1" thickBot="1" x14ac:dyDescent="0.3">
      <c r="A68" s="69"/>
      <c r="B68" s="7"/>
      <c r="C68" s="7"/>
      <c r="D68" s="7"/>
      <c r="E68" s="3"/>
      <c r="F68" s="5"/>
      <c r="G68" s="5"/>
      <c r="H68" s="5"/>
      <c r="I68" s="25"/>
      <c r="J68" s="5"/>
      <c r="K68" s="5"/>
      <c r="L68" s="5"/>
      <c r="M68" s="5"/>
      <c r="N68" s="5"/>
      <c r="O68" s="25"/>
      <c r="P68" s="5"/>
      <c r="Q68" s="5"/>
      <c r="R68" s="5"/>
      <c r="S68" s="5"/>
      <c r="T68" s="6"/>
      <c r="U68" s="45"/>
      <c r="V68" s="45"/>
    </row>
    <row r="69" spans="1:22" s="18" customFormat="1" ht="15" customHeight="1" thickBot="1" x14ac:dyDescent="0.3">
      <c r="A69" s="75"/>
      <c r="B69" s="7"/>
      <c r="C69" s="7"/>
      <c r="D69" s="7"/>
      <c r="E69" s="3"/>
      <c r="F69" s="5"/>
      <c r="G69" s="5"/>
      <c r="H69" s="5"/>
      <c r="I69" s="25"/>
      <c r="J69" s="5"/>
      <c r="K69" s="5"/>
      <c r="L69" s="5"/>
      <c r="M69" s="5"/>
      <c r="N69" s="5"/>
      <c r="O69" s="25"/>
      <c r="P69" s="5"/>
      <c r="Q69" s="5"/>
      <c r="R69" s="5"/>
      <c r="S69" s="5"/>
      <c r="T69" s="6"/>
      <c r="U69" s="45"/>
      <c r="V69" s="45"/>
    </row>
    <row r="70" spans="1:22" s="18" customFormat="1" ht="15" customHeight="1" thickBot="1" x14ac:dyDescent="0.3">
      <c r="A70" s="70"/>
      <c r="B70" s="7"/>
      <c r="C70" s="7"/>
      <c r="D70" s="7"/>
      <c r="E70" s="3"/>
      <c r="F70" s="5"/>
      <c r="G70" s="5"/>
      <c r="H70" s="5"/>
      <c r="I70" s="25"/>
      <c r="J70" s="5"/>
      <c r="K70" s="5"/>
      <c r="L70" s="5"/>
      <c r="M70" s="5"/>
      <c r="N70" s="5"/>
      <c r="O70" s="25"/>
      <c r="P70" s="5"/>
      <c r="Q70" s="5"/>
      <c r="R70" s="5"/>
      <c r="S70" s="5"/>
      <c r="T70" s="6"/>
      <c r="U70" s="45"/>
      <c r="V70" s="45"/>
    </row>
    <row r="71" spans="1:22" s="18" customFormat="1" ht="15" customHeight="1" thickBot="1" x14ac:dyDescent="0.3">
      <c r="A71" s="69"/>
      <c r="B71" s="7"/>
      <c r="C71" s="7"/>
      <c r="D71" s="7"/>
      <c r="E71" s="3"/>
      <c r="F71" s="5"/>
      <c r="G71" s="5"/>
      <c r="H71" s="5"/>
      <c r="I71" s="25"/>
      <c r="J71" s="5"/>
      <c r="K71" s="5"/>
      <c r="L71" s="5"/>
      <c r="M71" s="5"/>
      <c r="N71" s="5"/>
      <c r="O71" s="25"/>
      <c r="P71" s="5"/>
      <c r="Q71" s="5"/>
      <c r="R71" s="5"/>
      <c r="S71" s="5"/>
      <c r="T71" s="6"/>
      <c r="U71" s="45"/>
      <c r="V71" s="45"/>
    </row>
    <row r="72" spans="1:22" s="18" customFormat="1" ht="15" customHeight="1" thickBot="1" x14ac:dyDescent="0.3">
      <c r="A72" s="69"/>
      <c r="B72" s="7"/>
      <c r="C72" s="7"/>
      <c r="D72" s="7"/>
      <c r="E72" s="3"/>
      <c r="F72" s="5"/>
      <c r="G72" s="5"/>
      <c r="H72" s="5"/>
      <c r="I72" s="25"/>
      <c r="J72" s="5"/>
      <c r="K72" s="5"/>
      <c r="L72" s="5"/>
      <c r="M72" s="5"/>
      <c r="N72" s="5"/>
      <c r="O72" s="25"/>
      <c r="P72" s="5"/>
      <c r="Q72" s="5"/>
      <c r="R72" s="5"/>
      <c r="S72" s="5"/>
      <c r="T72" s="6"/>
      <c r="U72" s="45"/>
      <c r="V72" s="45"/>
    </row>
    <row r="73" spans="1:22" s="18" customFormat="1" ht="15" customHeight="1" thickBot="1" x14ac:dyDescent="0.3">
      <c r="A73" s="69"/>
      <c r="B73" s="7"/>
      <c r="C73" s="7"/>
      <c r="D73" s="7"/>
      <c r="E73" s="3"/>
      <c r="F73" s="5"/>
      <c r="G73" s="5"/>
      <c r="H73" s="5"/>
      <c r="I73" s="25"/>
      <c r="J73" s="5"/>
      <c r="K73" s="5"/>
      <c r="L73" s="5"/>
      <c r="M73" s="5"/>
      <c r="N73" s="5"/>
      <c r="O73" s="25"/>
      <c r="P73" s="5"/>
      <c r="Q73" s="5"/>
      <c r="R73" s="5"/>
      <c r="S73" s="5"/>
      <c r="T73" s="6"/>
      <c r="U73" s="45"/>
      <c r="V73" s="45"/>
    </row>
    <row r="74" spans="1:22" s="18" customFormat="1" ht="15" customHeight="1" thickBot="1" x14ac:dyDescent="0.3">
      <c r="A74" s="69"/>
      <c r="B74" s="7"/>
      <c r="C74" s="7"/>
      <c r="D74" s="7"/>
      <c r="E74" s="3"/>
      <c r="F74" s="5"/>
      <c r="G74" s="5"/>
      <c r="H74" s="5"/>
      <c r="I74" s="25"/>
      <c r="J74" s="5"/>
      <c r="K74" s="5"/>
      <c r="L74" s="5"/>
      <c r="M74" s="5"/>
      <c r="N74" s="5"/>
      <c r="O74" s="25"/>
      <c r="P74" s="5"/>
      <c r="Q74" s="5"/>
      <c r="R74" s="5"/>
      <c r="S74" s="5"/>
      <c r="T74" s="6"/>
      <c r="U74" s="45"/>
      <c r="V74" s="45"/>
    </row>
    <row r="75" spans="1:22" s="18" customFormat="1" ht="15" customHeight="1" thickBot="1" x14ac:dyDescent="0.3">
      <c r="A75" s="69"/>
      <c r="B75" s="7"/>
      <c r="C75" s="7"/>
      <c r="D75" s="7"/>
      <c r="E75" s="3"/>
      <c r="F75" s="5"/>
      <c r="G75" s="5"/>
      <c r="H75" s="5"/>
      <c r="I75" s="25"/>
      <c r="J75" s="5"/>
      <c r="K75" s="5"/>
      <c r="L75" s="5"/>
      <c r="M75" s="5"/>
      <c r="N75" s="5"/>
      <c r="O75" s="25"/>
      <c r="P75" s="5"/>
      <c r="Q75" s="5"/>
      <c r="R75" s="5"/>
      <c r="S75" s="5"/>
      <c r="T75" s="6"/>
      <c r="U75" s="45"/>
      <c r="V75" s="45"/>
    </row>
    <row r="76" spans="1:22" s="18" customFormat="1" ht="15" customHeight="1" thickBot="1" x14ac:dyDescent="0.3">
      <c r="A76" s="69"/>
      <c r="B76" s="7"/>
      <c r="C76" s="7"/>
      <c r="D76" s="7"/>
      <c r="E76" s="3"/>
      <c r="F76" s="5"/>
      <c r="G76" s="5"/>
      <c r="H76" s="5"/>
      <c r="I76" s="25"/>
      <c r="J76" s="5"/>
      <c r="K76" s="5"/>
      <c r="L76" s="5"/>
      <c r="M76" s="5"/>
      <c r="N76" s="5"/>
      <c r="O76" s="25"/>
      <c r="P76" s="5"/>
      <c r="Q76" s="5"/>
      <c r="R76" s="5"/>
      <c r="S76" s="5"/>
      <c r="T76" s="6"/>
      <c r="U76" s="45"/>
      <c r="V76" s="45"/>
    </row>
    <row r="77" spans="1:22" s="18" customFormat="1" ht="15" customHeight="1" thickBot="1" x14ac:dyDescent="0.3">
      <c r="A77" s="69"/>
      <c r="B77" s="7"/>
      <c r="C77" s="7"/>
      <c r="D77" s="7"/>
      <c r="E77" s="3"/>
      <c r="F77" s="5"/>
      <c r="G77" s="5"/>
      <c r="H77" s="5"/>
      <c r="I77" s="25"/>
      <c r="J77" s="5"/>
      <c r="K77" s="5"/>
      <c r="L77" s="5"/>
      <c r="M77" s="5"/>
      <c r="N77" s="5"/>
      <c r="O77" s="25"/>
      <c r="P77" s="5"/>
      <c r="Q77" s="5"/>
      <c r="R77" s="5"/>
      <c r="S77" s="5"/>
      <c r="T77" s="6"/>
      <c r="U77" s="45"/>
      <c r="V77" s="45"/>
    </row>
    <row r="78" spans="1:22" ht="15" customHeight="1" thickBot="1" x14ac:dyDescent="0.3">
      <c r="A78" s="69"/>
      <c r="B78" s="7"/>
      <c r="C78" s="7"/>
      <c r="D78" s="7"/>
      <c r="E78" s="3"/>
      <c r="F78" s="5"/>
      <c r="G78" s="5"/>
      <c r="H78" s="5"/>
      <c r="I78" s="25"/>
      <c r="J78" s="5"/>
      <c r="K78" s="5"/>
      <c r="L78" s="5"/>
      <c r="M78" s="5"/>
      <c r="N78" s="5"/>
      <c r="O78" s="25"/>
      <c r="P78" s="5"/>
      <c r="Q78" s="5"/>
      <c r="R78" s="5"/>
      <c r="S78" s="5"/>
      <c r="T78" s="6"/>
      <c r="U78" s="45"/>
      <c r="V78" s="45"/>
    </row>
    <row r="79" spans="1:22" ht="15" customHeight="1" thickBot="1" x14ac:dyDescent="0.3">
      <c r="A79" s="69"/>
      <c r="B79" s="7"/>
      <c r="C79" s="7"/>
      <c r="D79" s="7"/>
      <c r="E79" s="3"/>
      <c r="F79" s="5"/>
      <c r="G79" s="5"/>
      <c r="H79" s="5"/>
      <c r="I79" s="25"/>
      <c r="J79" s="5"/>
      <c r="K79" s="5"/>
      <c r="L79" s="5"/>
      <c r="M79" s="5"/>
      <c r="N79" s="5"/>
      <c r="O79" s="25"/>
      <c r="P79" s="5"/>
      <c r="Q79" s="5"/>
      <c r="R79" s="5"/>
      <c r="S79" s="5"/>
      <c r="T79" s="6"/>
      <c r="U79" s="45"/>
      <c r="V79" s="45"/>
    </row>
    <row r="80" spans="1:22" ht="15" customHeight="1" thickBot="1" x14ac:dyDescent="0.3">
      <c r="A80" s="69"/>
      <c r="B80" s="7"/>
      <c r="C80" s="7"/>
      <c r="D80" s="7"/>
      <c r="E80" s="3"/>
      <c r="F80" s="5"/>
      <c r="G80" s="5"/>
      <c r="H80" s="5"/>
      <c r="I80" s="25"/>
      <c r="J80" s="5"/>
      <c r="K80" s="5"/>
      <c r="L80" s="5"/>
      <c r="M80" s="5"/>
      <c r="N80" s="5"/>
      <c r="O80" s="25"/>
      <c r="P80" s="5"/>
      <c r="Q80" s="5"/>
      <c r="R80" s="5"/>
      <c r="S80" s="5"/>
      <c r="T80" s="6"/>
      <c r="U80" s="45"/>
      <c r="V80" s="45"/>
    </row>
    <row r="81" spans="1:22" ht="15" customHeight="1" thickBot="1" x14ac:dyDescent="0.3">
      <c r="A81" s="69"/>
      <c r="B81" s="7"/>
      <c r="C81" s="7"/>
      <c r="D81" s="7"/>
      <c r="E81" s="3"/>
      <c r="F81" s="5"/>
      <c r="G81" s="5"/>
      <c r="H81" s="5"/>
      <c r="I81" s="25"/>
      <c r="J81" s="5"/>
      <c r="K81" s="5"/>
      <c r="L81" s="5"/>
      <c r="M81" s="5"/>
      <c r="N81" s="5"/>
      <c r="O81" s="25"/>
      <c r="P81" s="5"/>
      <c r="Q81" s="5"/>
      <c r="R81" s="5"/>
      <c r="S81" s="5"/>
      <c r="T81" s="6"/>
      <c r="U81" s="45"/>
      <c r="V81" s="45"/>
    </row>
    <row r="82" spans="1:22" ht="15" customHeight="1" thickBot="1" x14ac:dyDescent="0.3">
      <c r="A82" s="69"/>
      <c r="B82" s="7"/>
      <c r="C82" s="7"/>
      <c r="D82" s="7"/>
      <c r="E82" s="3"/>
      <c r="F82" s="5"/>
      <c r="G82" s="5"/>
      <c r="H82" s="5"/>
      <c r="I82" s="25"/>
      <c r="J82" s="5"/>
      <c r="K82" s="5"/>
      <c r="L82" s="5"/>
      <c r="M82" s="5"/>
      <c r="N82" s="5"/>
      <c r="O82" s="25"/>
      <c r="P82" s="5"/>
      <c r="Q82" s="5"/>
      <c r="R82" s="5"/>
      <c r="S82" s="5"/>
      <c r="T82" s="6"/>
      <c r="U82" s="45"/>
      <c r="V82" s="45"/>
    </row>
    <row r="83" spans="1:22" ht="15" customHeight="1" thickBot="1" x14ac:dyDescent="0.3">
      <c r="A83" s="69"/>
      <c r="B83" s="7"/>
      <c r="C83" s="7"/>
      <c r="D83" s="7"/>
      <c r="E83" s="3"/>
      <c r="F83" s="5"/>
      <c r="G83" s="5"/>
      <c r="H83" s="5"/>
      <c r="I83" s="25"/>
      <c r="J83" s="5"/>
      <c r="K83" s="5"/>
      <c r="L83" s="5"/>
      <c r="M83" s="5"/>
      <c r="N83" s="5"/>
      <c r="O83" s="25"/>
      <c r="P83" s="5"/>
      <c r="Q83" s="5"/>
      <c r="R83" s="5"/>
      <c r="S83" s="5"/>
      <c r="T83" s="6"/>
      <c r="U83" s="45"/>
      <c r="V83" s="45"/>
    </row>
    <row r="84" spans="1:22" ht="15" customHeight="1" thickBot="1" x14ac:dyDescent="0.3">
      <c r="A84" s="69"/>
      <c r="B84" s="7"/>
      <c r="C84" s="7"/>
      <c r="D84" s="7"/>
      <c r="E84" s="3"/>
      <c r="F84" s="5"/>
      <c r="G84" s="5"/>
      <c r="H84" s="5"/>
      <c r="I84" s="25"/>
      <c r="J84" s="5"/>
      <c r="K84" s="5"/>
      <c r="L84" s="5"/>
      <c r="M84" s="5"/>
      <c r="N84" s="5"/>
      <c r="O84" s="25"/>
      <c r="P84" s="5"/>
      <c r="Q84" s="5"/>
      <c r="R84" s="5"/>
      <c r="S84" s="5"/>
      <c r="T84" s="6"/>
      <c r="U84" s="45"/>
      <c r="V84" s="45"/>
    </row>
    <row r="85" spans="1:22" ht="15" customHeight="1" thickBot="1" x14ac:dyDescent="0.3">
      <c r="A85" s="69"/>
      <c r="B85" s="7"/>
      <c r="C85" s="7"/>
      <c r="D85" s="7"/>
      <c r="E85" s="3"/>
      <c r="F85" s="5"/>
      <c r="G85" s="5"/>
      <c r="H85" s="5"/>
      <c r="I85" s="25"/>
      <c r="J85" s="5"/>
      <c r="K85" s="5"/>
      <c r="L85" s="5"/>
      <c r="M85" s="5"/>
      <c r="N85" s="5"/>
      <c r="O85" s="25"/>
      <c r="P85" s="5"/>
      <c r="Q85" s="5"/>
      <c r="R85" s="5"/>
      <c r="S85" s="5"/>
      <c r="T85" s="6"/>
      <c r="U85" s="45"/>
      <c r="V85" s="45"/>
    </row>
    <row r="86" spans="1:22" ht="15" customHeight="1" thickBot="1" x14ac:dyDescent="0.3">
      <c r="A86" s="70"/>
      <c r="B86" s="7"/>
      <c r="C86" s="7"/>
      <c r="D86" s="7"/>
      <c r="E86" s="3"/>
      <c r="F86" s="5"/>
      <c r="G86" s="5"/>
      <c r="H86" s="5"/>
      <c r="I86" s="25"/>
      <c r="J86" s="5"/>
      <c r="K86" s="5"/>
      <c r="L86" s="5"/>
      <c r="M86" s="5"/>
      <c r="N86" s="5"/>
      <c r="O86" s="25"/>
      <c r="P86" s="5"/>
      <c r="Q86" s="5"/>
      <c r="R86" s="5"/>
      <c r="S86" s="5"/>
      <c r="T86" s="6"/>
      <c r="U86" s="45"/>
      <c r="V86" s="45"/>
    </row>
    <row r="87" spans="1:22" ht="15" customHeight="1" thickBot="1" x14ac:dyDescent="0.3">
      <c r="A87" s="72"/>
      <c r="B87" s="7"/>
      <c r="C87" s="7"/>
      <c r="D87" s="7"/>
      <c r="E87" s="3"/>
      <c r="F87" s="5"/>
      <c r="H87" s="5"/>
      <c r="I87" s="25"/>
      <c r="O87" s="25"/>
      <c r="U87" s="45"/>
      <c r="V87" s="45"/>
    </row>
    <row r="88" spans="1:22" ht="15" customHeight="1" thickBot="1" x14ac:dyDescent="0.3">
      <c r="A88" s="69"/>
      <c r="B88" s="7"/>
      <c r="C88" s="7"/>
      <c r="D88" s="7"/>
      <c r="E88" s="3"/>
      <c r="F88" s="5"/>
      <c r="I88" s="25"/>
      <c r="O88" s="25"/>
      <c r="U88" s="45"/>
      <c r="V88" s="45"/>
    </row>
    <row r="89" spans="1:22" ht="15" customHeight="1" thickBot="1" x14ac:dyDescent="0.3">
      <c r="A89" s="69"/>
      <c r="B89" s="7"/>
      <c r="C89" s="7"/>
      <c r="D89" s="7"/>
      <c r="E89" s="3"/>
      <c r="F89" s="5"/>
      <c r="I89" s="25"/>
      <c r="O89" s="25"/>
      <c r="U89" s="45"/>
      <c r="V89" s="45"/>
    </row>
    <row r="90" spans="1:22" ht="15" customHeight="1" thickBot="1" x14ac:dyDescent="0.3">
      <c r="A90" s="69"/>
      <c r="B90" s="7"/>
      <c r="C90" s="7"/>
      <c r="D90" s="7"/>
      <c r="E90" s="3"/>
      <c r="F90" s="5"/>
      <c r="I90" s="25"/>
      <c r="O90" s="25"/>
      <c r="U90" s="45"/>
      <c r="V90" s="45"/>
    </row>
    <row r="91" spans="1:22" ht="15" customHeight="1" thickBot="1" x14ac:dyDescent="0.3">
      <c r="A91" s="69"/>
      <c r="B91" s="7"/>
      <c r="C91" s="7"/>
      <c r="D91" s="7"/>
      <c r="E91" s="3"/>
      <c r="F91" s="5"/>
      <c r="I91" s="25"/>
      <c r="O91" s="25"/>
      <c r="U91" s="45"/>
      <c r="V91" s="45"/>
    </row>
    <row r="92" spans="1:22" ht="15" customHeight="1" thickBot="1" x14ac:dyDescent="0.3">
      <c r="A92" s="69"/>
      <c r="B92" s="7"/>
      <c r="C92" s="7"/>
      <c r="D92" s="7"/>
      <c r="E92" s="3"/>
      <c r="F92" s="5"/>
      <c r="I92" s="25"/>
      <c r="O92" s="25"/>
      <c r="U92" s="45"/>
      <c r="V92" s="45"/>
    </row>
    <row r="93" spans="1:22" ht="15" customHeight="1" thickBot="1" x14ac:dyDescent="0.3">
      <c r="A93" s="69"/>
      <c r="B93" s="7"/>
      <c r="C93" s="7"/>
      <c r="D93" s="7"/>
      <c r="E93" s="3"/>
      <c r="F93" s="5"/>
      <c r="I93" s="25"/>
      <c r="O93" s="25"/>
      <c r="U93" s="45"/>
      <c r="V93" s="45"/>
    </row>
    <row r="94" spans="1:22" ht="15" customHeight="1" thickBot="1" x14ac:dyDescent="0.3">
      <c r="A94" s="69"/>
      <c r="B94" s="7"/>
      <c r="C94" s="7"/>
      <c r="D94" s="7"/>
      <c r="E94" s="3"/>
      <c r="F94" s="5"/>
      <c r="I94" s="25"/>
      <c r="O94" s="25"/>
      <c r="U94" s="45"/>
      <c r="V94" s="45"/>
    </row>
    <row r="95" spans="1:22" ht="15" customHeight="1" thickBot="1" x14ac:dyDescent="0.3">
      <c r="A95" s="69"/>
      <c r="B95" s="7"/>
      <c r="C95" s="7"/>
      <c r="D95" s="7"/>
      <c r="E95" s="3"/>
      <c r="F95" s="5"/>
      <c r="I95" s="25"/>
      <c r="O95" s="25"/>
      <c r="U95" s="45"/>
      <c r="V95" s="45"/>
    </row>
    <row r="96" spans="1:22" ht="15" customHeight="1" thickBot="1" x14ac:dyDescent="0.3">
      <c r="A96" s="69"/>
      <c r="B96" s="7"/>
      <c r="C96" s="7"/>
      <c r="D96" s="7"/>
      <c r="E96" s="3"/>
      <c r="F96" s="5"/>
      <c r="I96" s="25"/>
      <c r="O96" s="25"/>
      <c r="U96" s="45"/>
      <c r="V96" s="45"/>
    </row>
    <row r="97" spans="1:22" ht="15" customHeight="1" thickBot="1" x14ac:dyDescent="0.3">
      <c r="A97" s="69"/>
      <c r="B97" s="7"/>
      <c r="C97" s="7"/>
      <c r="D97" s="7"/>
      <c r="E97" s="3"/>
      <c r="F97" s="5"/>
      <c r="I97" s="25"/>
      <c r="O97" s="25"/>
      <c r="U97" s="46"/>
      <c r="V97" s="46"/>
    </row>
    <row r="98" spans="1:22" ht="15" customHeight="1" thickBot="1" x14ac:dyDescent="0.3">
      <c r="A98" s="69"/>
      <c r="B98" s="7"/>
      <c r="C98" s="7"/>
      <c r="D98" s="7"/>
      <c r="E98" s="3"/>
      <c r="F98" s="5"/>
      <c r="I98" s="25"/>
      <c r="O98" s="25"/>
      <c r="U98" s="46"/>
      <c r="V98" s="46"/>
    </row>
    <row r="99" spans="1:22" ht="15" customHeight="1" thickBot="1" x14ac:dyDescent="0.3">
      <c r="A99" s="69"/>
      <c r="B99" s="7"/>
      <c r="C99" s="7"/>
      <c r="D99" s="7"/>
      <c r="E99" s="3"/>
      <c r="F99" s="5"/>
      <c r="I99" s="25"/>
      <c r="O99" s="25"/>
      <c r="U99" s="46"/>
      <c r="V99" s="46"/>
    </row>
    <row r="100" spans="1:22" ht="15" customHeight="1" thickBot="1" x14ac:dyDescent="0.3">
      <c r="A100" s="69"/>
      <c r="B100" s="7"/>
      <c r="C100" s="7"/>
      <c r="D100" s="7"/>
      <c r="E100" s="3"/>
      <c r="F100" s="5"/>
      <c r="I100" s="25"/>
      <c r="O100" s="25"/>
      <c r="U100" s="46"/>
      <c r="V100" s="46"/>
    </row>
    <row r="101" spans="1:22" ht="15" customHeight="1" thickBot="1" x14ac:dyDescent="0.3">
      <c r="A101" s="73"/>
      <c r="B101" s="7"/>
      <c r="C101" s="7"/>
      <c r="D101" s="7"/>
      <c r="E101" s="3"/>
      <c r="F101" s="5"/>
      <c r="I101" s="25"/>
      <c r="O101" s="25"/>
      <c r="U101" s="46"/>
      <c r="V101" s="46"/>
    </row>
    <row r="102" spans="1:22" ht="15" customHeight="1" thickBot="1" x14ac:dyDescent="0.3">
      <c r="A102" s="69"/>
      <c r="B102" s="7"/>
      <c r="C102" s="7"/>
      <c r="D102" s="7"/>
      <c r="E102" s="3"/>
      <c r="F102" s="5"/>
      <c r="I102" s="25"/>
      <c r="O102" s="25"/>
      <c r="U102" s="46"/>
      <c r="V102" s="46"/>
    </row>
    <row r="103" spans="1:22" ht="15" customHeight="1" thickBot="1" x14ac:dyDescent="0.3">
      <c r="A103" s="69"/>
      <c r="B103" s="7"/>
      <c r="C103" s="7"/>
      <c r="D103" s="7"/>
      <c r="E103" s="3"/>
      <c r="F103" s="5"/>
      <c r="I103" s="25"/>
      <c r="O103" s="25"/>
      <c r="U103" s="46"/>
      <c r="V103" s="46"/>
    </row>
    <row r="104" spans="1:22" ht="15" customHeight="1" thickBot="1" x14ac:dyDescent="0.3">
      <c r="A104" s="69"/>
      <c r="B104" s="7"/>
      <c r="C104" s="7"/>
      <c r="D104" s="7"/>
      <c r="E104" s="3"/>
      <c r="F104" s="5"/>
      <c r="I104" s="25"/>
      <c r="O104" s="25"/>
      <c r="U104" s="46"/>
      <c r="V104" s="46"/>
    </row>
    <row r="105" spans="1:22" ht="15" customHeight="1" thickBot="1" x14ac:dyDescent="0.3">
      <c r="A105" s="69"/>
      <c r="B105" s="7"/>
      <c r="C105" s="7"/>
      <c r="D105" s="7"/>
      <c r="E105" s="3"/>
      <c r="F105" s="5"/>
      <c r="I105" s="25"/>
      <c r="O105" s="25"/>
      <c r="U105" s="46"/>
      <c r="V105" s="46"/>
    </row>
    <row r="106" spans="1:22" ht="15" customHeight="1" thickBot="1" x14ac:dyDescent="0.3">
      <c r="A106" s="69"/>
      <c r="B106" s="7"/>
      <c r="C106" s="7"/>
      <c r="D106" s="7"/>
      <c r="E106" s="3"/>
      <c r="F106" s="5"/>
      <c r="I106" s="25"/>
      <c r="O106" s="25"/>
      <c r="U106" s="46"/>
      <c r="V106" s="46"/>
    </row>
    <row r="107" spans="1:22" ht="15" customHeight="1" thickBot="1" x14ac:dyDescent="0.3">
      <c r="A107" s="69"/>
      <c r="B107" s="7"/>
      <c r="C107" s="7"/>
      <c r="D107" s="7"/>
      <c r="E107" s="3"/>
      <c r="F107" s="5"/>
      <c r="I107" s="25"/>
      <c r="O107" s="25"/>
      <c r="U107" s="46"/>
      <c r="V107" s="46"/>
    </row>
    <row r="108" spans="1:22" ht="15" customHeight="1" thickBot="1" x14ac:dyDescent="0.3">
      <c r="A108" s="69"/>
      <c r="B108" s="7"/>
      <c r="C108" s="7"/>
      <c r="D108" s="7"/>
      <c r="E108" s="3"/>
      <c r="F108" s="5"/>
      <c r="I108" s="25"/>
      <c r="O108" s="25"/>
      <c r="U108" s="46"/>
      <c r="V108" s="46"/>
    </row>
    <row r="109" spans="1:22" ht="15" customHeight="1" thickBot="1" x14ac:dyDescent="0.3">
      <c r="A109" s="74"/>
      <c r="B109" s="7"/>
      <c r="C109" s="7"/>
      <c r="D109" s="7"/>
      <c r="E109" s="3"/>
      <c r="F109" s="5"/>
      <c r="I109" s="25"/>
      <c r="O109" s="25"/>
      <c r="U109" s="46"/>
      <c r="V109" s="46"/>
    </row>
    <row r="110" spans="1:22" ht="15" customHeight="1" x14ac:dyDescent="0.25">
      <c r="A110" s="76"/>
      <c r="B110" s="7"/>
      <c r="C110" s="7"/>
      <c r="D110" s="7"/>
      <c r="E110" s="3"/>
      <c r="F110" s="5"/>
      <c r="I110" s="25"/>
      <c r="O110" s="25"/>
      <c r="U110" s="46"/>
      <c r="V110" s="46"/>
    </row>
    <row r="111" spans="1:22" ht="15" customHeight="1" x14ac:dyDescent="0.25">
      <c r="A111" s="17"/>
      <c r="B111" s="7"/>
      <c r="C111" s="7"/>
      <c r="D111" s="7"/>
      <c r="E111" s="3"/>
      <c r="F111" s="5"/>
      <c r="I111" s="25"/>
      <c r="O111" s="25"/>
      <c r="U111" s="46"/>
      <c r="V111" s="46"/>
    </row>
    <row r="112" spans="1:22" ht="15" customHeight="1" x14ac:dyDescent="0.25">
      <c r="A112" s="17"/>
      <c r="B112" s="7"/>
      <c r="C112" s="7"/>
      <c r="D112" s="7"/>
      <c r="E112" s="3"/>
      <c r="F112" s="5"/>
      <c r="I112" s="25"/>
      <c r="O112" s="25"/>
      <c r="U112" s="46"/>
      <c r="V112" s="46"/>
    </row>
    <row r="113" spans="1:22" ht="15" customHeight="1" x14ac:dyDescent="0.25">
      <c r="A113" s="17"/>
      <c r="B113" s="7"/>
      <c r="C113" s="7"/>
      <c r="D113" s="7"/>
      <c r="E113" s="3"/>
      <c r="F113" s="5"/>
      <c r="I113" s="25"/>
      <c r="O113" s="25"/>
      <c r="U113" s="46"/>
      <c r="V113" s="46"/>
    </row>
    <row r="114" spans="1:22" ht="15" customHeight="1" x14ac:dyDescent="0.25">
      <c r="A114" s="17"/>
      <c r="B114" s="7"/>
      <c r="C114" s="7"/>
      <c r="D114" s="7"/>
      <c r="E114" s="3"/>
      <c r="F114" s="5"/>
      <c r="I114" s="25"/>
      <c r="O114" s="25"/>
      <c r="U114" s="46"/>
      <c r="V114" s="46"/>
    </row>
    <row r="115" spans="1:22" ht="15" customHeight="1" x14ac:dyDescent="0.25">
      <c r="A115" s="17"/>
      <c r="B115" s="7"/>
      <c r="C115" s="7"/>
      <c r="D115" s="7"/>
      <c r="E115" s="3"/>
      <c r="F115" s="5"/>
      <c r="I115" s="25"/>
      <c r="O115" s="25"/>
      <c r="U115" s="46"/>
      <c r="V115" s="46"/>
    </row>
    <row r="116" spans="1:22" ht="15" customHeight="1" x14ac:dyDescent="0.25">
      <c r="A116" s="17"/>
      <c r="B116" s="7"/>
      <c r="C116" s="7"/>
      <c r="D116" s="7"/>
      <c r="E116" s="3"/>
      <c r="F116" s="5"/>
      <c r="I116" s="25"/>
      <c r="O116" s="25"/>
      <c r="U116" s="46"/>
      <c r="V116" s="46"/>
    </row>
    <row r="117" spans="1:22" ht="15" customHeight="1" x14ac:dyDescent="0.25">
      <c r="A117" s="17"/>
      <c r="B117" s="7"/>
      <c r="C117" s="7"/>
      <c r="D117" s="7"/>
      <c r="E117" s="3"/>
      <c r="F117" s="5"/>
      <c r="I117" s="25"/>
      <c r="O117" s="25"/>
      <c r="U117" s="46"/>
      <c r="V117" s="46"/>
    </row>
    <row r="118" spans="1:22" ht="15" customHeight="1" x14ac:dyDescent="0.25">
      <c r="A118" s="17"/>
      <c r="B118" s="7"/>
      <c r="C118" s="7"/>
      <c r="D118" s="7"/>
      <c r="E118" s="3"/>
      <c r="F118" s="5"/>
      <c r="I118" s="25"/>
      <c r="O118" s="25"/>
      <c r="U118" s="46"/>
      <c r="V118" s="46"/>
    </row>
    <row r="119" spans="1:22" ht="15" customHeight="1" x14ac:dyDescent="0.25">
      <c r="A119" s="17"/>
      <c r="B119" s="7"/>
      <c r="C119" s="7"/>
      <c r="D119" s="7"/>
      <c r="E119" s="3"/>
      <c r="F119" s="5"/>
      <c r="I119" s="25"/>
      <c r="O119" s="25"/>
      <c r="U119" s="46"/>
      <c r="V119" s="46"/>
    </row>
    <row r="120" spans="1:22" ht="15" customHeight="1" x14ac:dyDescent="0.25">
      <c r="A120" s="17"/>
      <c r="B120" s="7"/>
      <c r="C120" s="7"/>
      <c r="D120" s="7"/>
      <c r="E120" s="3"/>
      <c r="F120" s="5"/>
      <c r="I120" s="25"/>
      <c r="O120" s="25"/>
      <c r="U120" s="46"/>
      <c r="V120" s="46"/>
    </row>
    <row r="121" spans="1:22" ht="15" customHeight="1" x14ac:dyDescent="0.25">
      <c r="A121" s="17"/>
      <c r="B121" s="7"/>
      <c r="C121" s="7"/>
      <c r="D121" s="7"/>
      <c r="E121" s="3"/>
      <c r="F121" s="5"/>
      <c r="I121" s="25"/>
      <c r="O121" s="25"/>
      <c r="U121" s="46"/>
      <c r="V121" s="46"/>
    </row>
    <row r="122" spans="1:22" ht="15" customHeight="1" x14ac:dyDescent="0.25">
      <c r="A122" s="17"/>
      <c r="B122" s="7"/>
      <c r="C122" s="7"/>
      <c r="D122" s="7"/>
      <c r="E122" s="3"/>
      <c r="F122" s="5"/>
      <c r="I122" s="25"/>
      <c r="O122" s="25"/>
      <c r="U122" s="46"/>
      <c r="V122" s="46"/>
    </row>
    <row r="123" spans="1:22" ht="15" customHeight="1" x14ac:dyDescent="0.25">
      <c r="A123" s="17"/>
      <c r="B123" s="7"/>
      <c r="C123" s="7"/>
      <c r="D123" s="7"/>
      <c r="E123" s="3"/>
      <c r="F123" s="5"/>
      <c r="I123" s="25"/>
      <c r="O123" s="25"/>
      <c r="U123" s="46"/>
      <c r="V123" s="46"/>
    </row>
    <row r="124" spans="1:22" ht="15" customHeight="1" x14ac:dyDescent="0.25">
      <c r="A124" s="17"/>
      <c r="B124" s="7"/>
      <c r="C124" s="7"/>
      <c r="D124" s="7"/>
      <c r="E124" s="3"/>
      <c r="F124" s="5"/>
      <c r="I124" s="25"/>
      <c r="O124" s="25"/>
      <c r="U124" s="46"/>
      <c r="V124" s="46"/>
    </row>
    <row r="125" spans="1:22" ht="15" customHeight="1" x14ac:dyDescent="0.25">
      <c r="A125" s="17"/>
      <c r="B125" s="7"/>
      <c r="C125" s="7"/>
      <c r="D125" s="7"/>
      <c r="E125" s="3"/>
      <c r="F125" s="5"/>
      <c r="I125" s="25"/>
      <c r="O125" s="25"/>
      <c r="U125" s="46"/>
      <c r="V125" s="46"/>
    </row>
    <row r="126" spans="1:22" ht="15" customHeight="1" x14ac:dyDescent="0.25">
      <c r="A126" s="17"/>
      <c r="B126" s="7"/>
      <c r="C126" s="7"/>
      <c r="D126" s="7"/>
      <c r="E126" s="3"/>
      <c r="F126" s="5"/>
      <c r="I126" s="25"/>
      <c r="O126" s="25"/>
      <c r="U126" s="46"/>
      <c r="V126" s="46"/>
    </row>
    <row r="127" spans="1:22" ht="15" customHeight="1" x14ac:dyDescent="0.25">
      <c r="A127" s="17"/>
      <c r="B127" s="7"/>
      <c r="C127" s="7"/>
      <c r="D127" s="7"/>
      <c r="E127" s="3"/>
      <c r="F127" s="5"/>
      <c r="I127" s="25"/>
      <c r="O127" s="25"/>
      <c r="U127" s="46"/>
      <c r="V127" s="46"/>
    </row>
    <row r="128" spans="1:22" ht="15" customHeight="1" x14ac:dyDescent="0.25">
      <c r="A128" s="17"/>
      <c r="B128" s="7"/>
      <c r="C128" s="7"/>
      <c r="D128" s="7"/>
      <c r="E128" s="3"/>
      <c r="F128" s="5"/>
      <c r="I128" s="25"/>
      <c r="O128" s="25"/>
      <c r="U128" s="46"/>
      <c r="V128" s="46"/>
    </row>
    <row r="129" spans="1:22" ht="15" customHeight="1" x14ac:dyDescent="0.25">
      <c r="A129" s="17"/>
      <c r="B129" s="7"/>
      <c r="C129" s="7"/>
      <c r="D129" s="7"/>
      <c r="E129" s="3"/>
      <c r="F129" s="5"/>
      <c r="I129" s="25"/>
      <c r="O129" s="25"/>
      <c r="U129" s="46"/>
      <c r="V129" s="46"/>
    </row>
  </sheetData>
  <phoneticPr fontId="8" type="noConversion"/>
  <conditionalFormatting sqref="E2:T43 E44:G129 I44:T129 H44:H130">
    <cfRule type="cellIs" dxfId="69" priority="5" operator="lessThan">
      <formula>6</formula>
    </cfRule>
  </conditionalFormatting>
  <conditionalFormatting sqref="P1:T1">
    <cfRule type="cellIs" dxfId="68" priority="4" operator="lessThan">
      <formula>6</formula>
    </cfRule>
  </conditionalFormatting>
  <conditionalFormatting sqref="U1:U35 U44:U129">
    <cfRule type="cellIs" dxfId="67" priority="3" operator="greaterThan">
      <formula>19</formula>
    </cfRule>
  </conditionalFormatting>
  <conditionalFormatting sqref="V1:V35 V44:V129">
    <cfRule type="cellIs" dxfId="66" priority="2" operator="greaterThan">
      <formula>5</formula>
    </cfRule>
  </conditionalFormatting>
  <dataValidations count="4">
    <dataValidation allowBlank="1" showInputMessage="1" showErrorMessage="1" promptTitle="petunjuk Pengisian " prompt="Izin 20 Hari dalam 1 Semester dapat menurunkan satu nilai akhlaq" sqref="U44:U129 U1:U35" xr:uid="{00000000-0002-0000-0400-000000000000}"/>
    <dataValidation allowBlank="1" showInputMessage="1" showErrorMessage="1" promptTitle="Petunjuk Pengisian" prompt="Tidak Izin 6 Hari dalam 1 Semester dapat menurunkan satu nilai akhlaq" sqref="V44:V129 V1:V35" xr:uid="{00000000-0002-0000-0400-000001000000}"/>
    <dataValidation operator="equal"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Pondok Pesantren." sqref="A110" xr:uid="{00000000-0002-0000-0400-000002000000}"/>
    <dataValidation allowBlank="1" showInputMessage="1" showErrorMessage="1" prompt="jumlah nilai pelajaran seluruh siswi dibagi Jumlah siswi _x000a_- tanpa mengikutkan yang boyong/ cuty _x000a_- siswi yang her/ tanpa keterangan dikira kirakan 4 nilainya" sqref="H38:H51" xr:uid="{00000000-0002-0000-0400-000003000000}"/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4"/>
  <sheetViews>
    <sheetView zoomScale="70" zoomScaleNormal="70" workbookViewId="0">
      <selection activeCell="E47" sqref="E47"/>
    </sheetView>
  </sheetViews>
  <sheetFormatPr defaultRowHeight="15" x14ac:dyDescent="0.25"/>
  <cols>
    <col min="2" max="2" width="41" customWidth="1"/>
    <col min="3" max="3" width="16.7109375" customWidth="1"/>
    <col min="4" max="4" width="20.5703125" customWidth="1"/>
    <col min="5" max="5" width="23.42578125" customWidth="1"/>
    <col min="7" max="7" width="14.5703125" customWidth="1"/>
    <col min="8" max="8" width="16.85546875" customWidth="1"/>
    <col min="9" max="9" width="20" customWidth="1"/>
    <col min="10" max="10" width="14.140625" customWidth="1"/>
    <col min="11" max="11" width="15.42578125" customWidth="1"/>
    <col min="12" max="12" width="17.5703125" customWidth="1"/>
    <col min="13" max="13" width="19.140625" customWidth="1"/>
    <col min="20" max="20" width="26" customWidth="1"/>
  </cols>
  <sheetData>
    <row r="1" spans="1:22" s="20" customFormat="1" ht="25.15" customHeight="1" thickBot="1" x14ac:dyDescent="0.3">
      <c r="A1" s="34" t="s">
        <v>1</v>
      </c>
      <c r="B1" s="11" t="s">
        <v>0</v>
      </c>
      <c r="C1" s="11" t="s">
        <v>2</v>
      </c>
      <c r="D1" s="11" t="s">
        <v>13</v>
      </c>
      <c r="E1" s="39" t="s">
        <v>3</v>
      </c>
      <c r="F1" s="36"/>
      <c r="G1" s="21" t="s">
        <v>51</v>
      </c>
      <c r="H1" s="21" t="s">
        <v>4</v>
      </c>
      <c r="I1" s="22" t="s">
        <v>52</v>
      </c>
      <c r="J1" s="21" t="s">
        <v>5</v>
      </c>
      <c r="K1" s="21" t="s">
        <v>53</v>
      </c>
      <c r="L1" s="21" t="s">
        <v>73</v>
      </c>
      <c r="M1" s="21" t="s">
        <v>54</v>
      </c>
      <c r="N1" s="21" t="s">
        <v>55</v>
      </c>
      <c r="O1" s="22" t="s">
        <v>57</v>
      </c>
      <c r="P1" s="12" t="s">
        <v>6</v>
      </c>
      <c r="Q1" s="12" t="s">
        <v>7</v>
      </c>
      <c r="R1" s="12" t="s">
        <v>8</v>
      </c>
      <c r="S1" s="12" t="s">
        <v>9</v>
      </c>
      <c r="T1" s="13" t="s">
        <v>10</v>
      </c>
      <c r="U1" s="43" t="s">
        <v>11</v>
      </c>
      <c r="V1" s="43" t="s">
        <v>12</v>
      </c>
    </row>
    <row r="2" spans="1:22" s="168" customFormat="1" ht="25.15" customHeight="1" thickBot="1" x14ac:dyDescent="0.3">
      <c r="A2" s="161" t="s">
        <v>14</v>
      </c>
      <c r="B2" s="162" t="s">
        <v>233</v>
      </c>
      <c r="C2" s="163">
        <v>2723</v>
      </c>
      <c r="D2" s="164" t="s">
        <v>14</v>
      </c>
      <c r="E2" s="165" t="str">
        <f>TEXT(F2,"[$-2000000]0")</f>
        <v>٨</v>
      </c>
      <c r="F2" s="165">
        <v>8</v>
      </c>
      <c r="G2" s="165">
        <v>9</v>
      </c>
      <c r="H2" s="165">
        <v>8</v>
      </c>
      <c r="I2" s="165">
        <v>7</v>
      </c>
      <c r="J2" s="165">
        <v>7</v>
      </c>
      <c r="K2" s="165">
        <v>9</v>
      </c>
      <c r="L2" s="165" t="s">
        <v>56</v>
      </c>
      <c r="M2" s="165">
        <v>8</v>
      </c>
      <c r="N2" s="165">
        <v>7</v>
      </c>
      <c r="O2" s="165">
        <v>9</v>
      </c>
      <c r="P2" s="165">
        <v>8</v>
      </c>
      <c r="Q2" s="165">
        <v>7</v>
      </c>
      <c r="R2" s="165">
        <v>8</v>
      </c>
      <c r="S2" s="165">
        <v>8</v>
      </c>
      <c r="T2" s="165">
        <f t="shared" ref="T2:T32" si="0">SUM(E2:S2)</f>
        <v>103</v>
      </c>
      <c r="U2" s="167">
        <v>1</v>
      </c>
      <c r="V2" s="167" t="s">
        <v>56</v>
      </c>
    </row>
    <row r="3" spans="1:22" s="1" customFormat="1" ht="25.15" customHeight="1" thickBot="1" x14ac:dyDescent="0.3">
      <c r="A3" s="65" t="s">
        <v>15</v>
      </c>
      <c r="B3" s="124" t="s">
        <v>234</v>
      </c>
      <c r="C3" s="85">
        <v>2819</v>
      </c>
      <c r="D3" s="164" t="s">
        <v>15</v>
      </c>
      <c r="E3" s="3" t="str">
        <f t="shared" ref="E3:E32" si="1">TEXT(F3,"[$-2000000]0")</f>
        <v>٧</v>
      </c>
      <c r="F3" s="3">
        <v>7</v>
      </c>
      <c r="G3" s="3">
        <v>8</v>
      </c>
      <c r="H3" s="3">
        <v>9</v>
      </c>
      <c r="I3" s="3">
        <v>6</v>
      </c>
      <c r="J3" s="3">
        <v>7</v>
      </c>
      <c r="K3" s="3">
        <v>8</v>
      </c>
      <c r="L3" s="3" t="s">
        <v>56</v>
      </c>
      <c r="M3" s="3">
        <v>9</v>
      </c>
      <c r="N3" s="3">
        <v>8</v>
      </c>
      <c r="O3" s="3">
        <v>9</v>
      </c>
      <c r="P3" s="3">
        <v>8</v>
      </c>
      <c r="Q3" s="3">
        <v>8</v>
      </c>
      <c r="R3" s="3">
        <v>8</v>
      </c>
      <c r="S3" s="3">
        <v>8</v>
      </c>
      <c r="T3" s="4">
        <f t="shared" si="0"/>
        <v>103</v>
      </c>
      <c r="U3" s="44" t="s">
        <v>56</v>
      </c>
      <c r="V3" s="44" t="s">
        <v>56</v>
      </c>
    </row>
    <row r="4" spans="1:22" s="1" customFormat="1" ht="25.15" customHeight="1" thickBot="1" x14ac:dyDescent="0.3">
      <c r="A4" s="65" t="s">
        <v>16</v>
      </c>
      <c r="B4" s="124" t="s">
        <v>235</v>
      </c>
      <c r="C4" s="85">
        <v>2887</v>
      </c>
      <c r="D4" s="164" t="s">
        <v>16</v>
      </c>
      <c r="E4" s="3" t="str">
        <f t="shared" si="1"/>
        <v>٩</v>
      </c>
      <c r="F4" s="3">
        <v>9</v>
      </c>
      <c r="G4" s="3">
        <v>9</v>
      </c>
      <c r="H4" s="3">
        <v>9</v>
      </c>
      <c r="I4" s="3">
        <v>9</v>
      </c>
      <c r="J4" s="3">
        <v>8</v>
      </c>
      <c r="K4" s="3">
        <v>9</v>
      </c>
      <c r="L4" s="3" t="s">
        <v>56</v>
      </c>
      <c r="M4" s="3">
        <v>9</v>
      </c>
      <c r="N4" s="3">
        <v>9</v>
      </c>
      <c r="O4" s="3">
        <v>9</v>
      </c>
      <c r="P4" s="3">
        <v>8</v>
      </c>
      <c r="Q4" s="3">
        <v>8</v>
      </c>
      <c r="R4" s="3">
        <v>8</v>
      </c>
      <c r="S4" s="3">
        <v>8</v>
      </c>
      <c r="T4" s="4">
        <f t="shared" si="0"/>
        <v>112</v>
      </c>
      <c r="U4" s="44">
        <v>2</v>
      </c>
      <c r="V4" s="44" t="s">
        <v>56</v>
      </c>
    </row>
    <row r="5" spans="1:22" s="1" customFormat="1" ht="22.5" customHeight="1" thickBot="1" x14ac:dyDescent="0.3">
      <c r="A5" s="65" t="s">
        <v>17</v>
      </c>
      <c r="B5" s="124" t="s">
        <v>236</v>
      </c>
      <c r="C5" s="85">
        <v>2795</v>
      </c>
      <c r="D5" s="164" t="s">
        <v>17</v>
      </c>
      <c r="E5" s="3" t="str">
        <f t="shared" si="1"/>
        <v>٧</v>
      </c>
      <c r="F5" s="3">
        <v>7</v>
      </c>
      <c r="G5" s="3">
        <v>6</v>
      </c>
      <c r="H5" s="3">
        <v>7</v>
      </c>
      <c r="I5" s="3">
        <v>5</v>
      </c>
      <c r="J5" s="3">
        <v>7</v>
      </c>
      <c r="K5" s="3">
        <v>5</v>
      </c>
      <c r="L5" s="3" t="s">
        <v>56</v>
      </c>
      <c r="M5" s="3">
        <v>9</v>
      </c>
      <c r="N5" s="3">
        <v>7</v>
      </c>
      <c r="O5" s="3">
        <v>6</v>
      </c>
      <c r="P5" s="3">
        <v>7</v>
      </c>
      <c r="Q5" s="3">
        <v>7</v>
      </c>
      <c r="R5" s="3">
        <v>7</v>
      </c>
      <c r="S5" s="3">
        <v>8</v>
      </c>
      <c r="T5" s="4">
        <f t="shared" si="0"/>
        <v>88</v>
      </c>
      <c r="U5" s="44" t="s">
        <v>56</v>
      </c>
      <c r="V5" s="44">
        <v>1</v>
      </c>
    </row>
    <row r="6" spans="1:22" s="1" customFormat="1" ht="24.75" customHeight="1" thickBot="1" x14ac:dyDescent="0.3">
      <c r="A6" s="93" t="s">
        <v>18</v>
      </c>
      <c r="B6" s="124" t="s">
        <v>237</v>
      </c>
      <c r="C6" s="85">
        <v>2853</v>
      </c>
      <c r="D6" s="164" t="s">
        <v>18</v>
      </c>
      <c r="E6" s="3" t="str">
        <f t="shared" si="1"/>
        <v>٩</v>
      </c>
      <c r="F6" s="3">
        <v>9</v>
      </c>
      <c r="G6" s="3">
        <v>9</v>
      </c>
      <c r="H6" s="3">
        <v>9</v>
      </c>
      <c r="I6" s="3">
        <v>9</v>
      </c>
      <c r="J6" s="3">
        <v>9</v>
      </c>
      <c r="K6" s="3">
        <v>9</v>
      </c>
      <c r="L6" s="3" t="s">
        <v>56</v>
      </c>
      <c r="M6" s="3">
        <v>8</v>
      </c>
      <c r="N6" s="3">
        <v>9</v>
      </c>
      <c r="O6" s="3">
        <v>9</v>
      </c>
      <c r="P6" s="3">
        <v>8</v>
      </c>
      <c r="Q6" s="3">
        <v>8</v>
      </c>
      <c r="R6" s="3">
        <v>8</v>
      </c>
      <c r="S6" s="3">
        <v>8</v>
      </c>
      <c r="T6" s="4">
        <f t="shared" si="0"/>
        <v>112</v>
      </c>
      <c r="U6" s="44" t="s">
        <v>56</v>
      </c>
      <c r="V6" s="44" t="s">
        <v>56</v>
      </c>
    </row>
    <row r="7" spans="1:22" s="1" customFormat="1" ht="24.75" customHeight="1" thickBot="1" x14ac:dyDescent="0.3">
      <c r="A7" s="93" t="s">
        <v>19</v>
      </c>
      <c r="B7" s="124" t="s">
        <v>238</v>
      </c>
      <c r="C7" s="85">
        <v>2820</v>
      </c>
      <c r="D7" s="164" t="s">
        <v>19</v>
      </c>
      <c r="E7" s="3" t="str">
        <f t="shared" si="1"/>
        <v>٩</v>
      </c>
      <c r="F7" s="3">
        <v>9</v>
      </c>
      <c r="G7" s="3">
        <v>9</v>
      </c>
      <c r="H7" s="3">
        <v>9</v>
      </c>
      <c r="I7" s="3">
        <v>9</v>
      </c>
      <c r="J7" s="3">
        <v>9</v>
      </c>
      <c r="K7" s="3">
        <v>9</v>
      </c>
      <c r="L7" s="3" t="s">
        <v>56</v>
      </c>
      <c r="M7" s="3">
        <v>9</v>
      </c>
      <c r="N7" s="3">
        <v>9</v>
      </c>
      <c r="O7" s="3">
        <v>8</v>
      </c>
      <c r="P7" s="3">
        <v>8</v>
      </c>
      <c r="Q7" s="3">
        <v>8</v>
      </c>
      <c r="R7" s="3">
        <v>8</v>
      </c>
      <c r="S7" s="3">
        <v>8</v>
      </c>
      <c r="T7" s="4">
        <f t="shared" si="0"/>
        <v>112</v>
      </c>
      <c r="U7" s="44">
        <v>7</v>
      </c>
      <c r="V7" s="44" t="s">
        <v>56</v>
      </c>
    </row>
    <row r="8" spans="1:22" s="168" customFormat="1" ht="25.15" customHeight="1" thickBot="1" x14ac:dyDescent="0.3">
      <c r="A8" s="161" t="s">
        <v>20</v>
      </c>
      <c r="B8" s="169" t="s">
        <v>239</v>
      </c>
      <c r="C8" s="163">
        <v>2797</v>
      </c>
      <c r="D8" s="164" t="s">
        <v>20</v>
      </c>
      <c r="E8" s="165" t="str">
        <f t="shared" si="1"/>
        <v>٦</v>
      </c>
      <c r="F8" s="165">
        <v>6</v>
      </c>
      <c r="G8" s="165">
        <v>8</v>
      </c>
      <c r="H8" s="165">
        <v>8</v>
      </c>
      <c r="I8" s="165">
        <v>8</v>
      </c>
      <c r="J8" s="165">
        <v>7</v>
      </c>
      <c r="K8" s="165">
        <v>7</v>
      </c>
      <c r="L8" s="165" t="s">
        <v>56</v>
      </c>
      <c r="M8" s="165">
        <v>8</v>
      </c>
      <c r="N8" s="165">
        <v>7</v>
      </c>
      <c r="O8" s="165">
        <v>7</v>
      </c>
      <c r="P8" s="165">
        <v>8</v>
      </c>
      <c r="Q8" s="165">
        <v>8</v>
      </c>
      <c r="R8" s="165">
        <v>8</v>
      </c>
      <c r="S8" s="165">
        <v>8</v>
      </c>
      <c r="T8" s="165">
        <f t="shared" si="0"/>
        <v>98</v>
      </c>
      <c r="U8" s="167">
        <v>1</v>
      </c>
      <c r="V8" s="167" t="s">
        <v>56</v>
      </c>
    </row>
    <row r="9" spans="1:22" s="1" customFormat="1" ht="25.15" customHeight="1" thickBot="1" x14ac:dyDescent="0.3">
      <c r="A9" s="65" t="s">
        <v>21</v>
      </c>
      <c r="B9" s="124" t="s">
        <v>240</v>
      </c>
      <c r="C9" s="85">
        <v>2756</v>
      </c>
      <c r="D9" s="164" t="s">
        <v>21</v>
      </c>
      <c r="E9" s="3" t="str">
        <f t="shared" si="1"/>
        <v>٨</v>
      </c>
      <c r="F9" s="3">
        <v>8</v>
      </c>
      <c r="G9" s="3">
        <v>8</v>
      </c>
      <c r="H9" s="3">
        <v>9</v>
      </c>
      <c r="I9" s="3">
        <v>8</v>
      </c>
      <c r="J9" s="3">
        <v>8</v>
      </c>
      <c r="K9" s="3">
        <v>6</v>
      </c>
      <c r="L9" s="3" t="s">
        <v>56</v>
      </c>
      <c r="M9" s="3">
        <v>6</v>
      </c>
      <c r="N9" s="3">
        <v>5</v>
      </c>
      <c r="O9" s="3">
        <v>9</v>
      </c>
      <c r="P9" s="3">
        <v>8</v>
      </c>
      <c r="Q9" s="3">
        <v>7</v>
      </c>
      <c r="R9" s="3">
        <v>8</v>
      </c>
      <c r="S9" s="3">
        <v>8</v>
      </c>
      <c r="T9" s="4">
        <f t="shared" si="0"/>
        <v>98</v>
      </c>
      <c r="U9" s="44" t="s">
        <v>56</v>
      </c>
      <c r="V9" s="44" t="s">
        <v>56</v>
      </c>
    </row>
    <row r="10" spans="1:22" s="1" customFormat="1" ht="25.15" customHeight="1" thickBot="1" x14ac:dyDescent="0.3">
      <c r="A10" s="65" t="s">
        <v>22</v>
      </c>
      <c r="B10" s="124" t="s">
        <v>241</v>
      </c>
      <c r="C10" s="133">
        <v>2856</v>
      </c>
      <c r="D10" s="164" t="s">
        <v>22</v>
      </c>
      <c r="E10" s="3" t="str">
        <f t="shared" si="1"/>
        <v>٥</v>
      </c>
      <c r="F10" s="3">
        <v>5</v>
      </c>
      <c r="G10" s="3">
        <v>5</v>
      </c>
      <c r="H10" s="3">
        <v>6</v>
      </c>
      <c r="I10" s="3">
        <v>5</v>
      </c>
      <c r="J10" s="3">
        <v>5</v>
      </c>
      <c r="K10" s="3">
        <v>5</v>
      </c>
      <c r="L10" s="3" t="s">
        <v>56</v>
      </c>
      <c r="M10" s="3">
        <v>5</v>
      </c>
      <c r="N10" s="3">
        <v>5</v>
      </c>
      <c r="O10" s="3">
        <v>5</v>
      </c>
      <c r="P10" s="3">
        <v>7</v>
      </c>
      <c r="Q10" s="3">
        <v>7</v>
      </c>
      <c r="R10" s="3">
        <v>7</v>
      </c>
      <c r="S10" s="3">
        <v>8</v>
      </c>
      <c r="T10" s="4">
        <f t="shared" si="0"/>
        <v>75</v>
      </c>
      <c r="U10" s="44" t="s">
        <v>56</v>
      </c>
      <c r="V10" s="44" t="s">
        <v>56</v>
      </c>
    </row>
    <row r="11" spans="1:22" s="1" customFormat="1" ht="25.15" customHeight="1" thickBot="1" x14ac:dyDescent="0.3">
      <c r="A11" s="65">
        <v>10</v>
      </c>
      <c r="B11" s="124" t="s">
        <v>242</v>
      </c>
      <c r="C11" s="85">
        <v>2858</v>
      </c>
      <c r="D11" s="164" t="s">
        <v>23</v>
      </c>
      <c r="E11" s="3" t="str">
        <f t="shared" si="1"/>
        <v>٩</v>
      </c>
      <c r="F11" s="3">
        <v>9</v>
      </c>
      <c r="G11" s="3">
        <v>9</v>
      </c>
      <c r="H11" s="3">
        <v>9</v>
      </c>
      <c r="I11" s="3">
        <v>9</v>
      </c>
      <c r="J11" s="3">
        <v>9</v>
      </c>
      <c r="K11" s="3">
        <v>9</v>
      </c>
      <c r="L11" s="3" t="s">
        <v>56</v>
      </c>
      <c r="M11" s="3">
        <v>9</v>
      </c>
      <c r="N11" s="3">
        <v>9</v>
      </c>
      <c r="O11" s="3">
        <v>9</v>
      </c>
      <c r="P11" s="3">
        <v>8</v>
      </c>
      <c r="Q11" s="3">
        <v>8</v>
      </c>
      <c r="R11" s="3">
        <v>8</v>
      </c>
      <c r="S11" s="3">
        <v>8</v>
      </c>
      <c r="T11" s="4">
        <f t="shared" si="0"/>
        <v>113</v>
      </c>
      <c r="U11" s="44" t="s">
        <v>56</v>
      </c>
      <c r="V11" s="44" t="s">
        <v>56</v>
      </c>
    </row>
    <row r="12" spans="1:22" s="1" customFormat="1" ht="25.15" customHeight="1" thickBot="1" x14ac:dyDescent="0.3">
      <c r="A12" s="65">
        <v>11</v>
      </c>
      <c r="B12" s="124" t="s">
        <v>243</v>
      </c>
      <c r="C12" s="135">
        <v>2829</v>
      </c>
      <c r="D12" s="164" t="s">
        <v>24</v>
      </c>
      <c r="E12" s="3" t="str">
        <f t="shared" si="1"/>
        <v>٧</v>
      </c>
      <c r="F12" s="3">
        <v>7</v>
      </c>
      <c r="G12" s="3">
        <v>6</v>
      </c>
      <c r="H12" s="3">
        <v>8</v>
      </c>
      <c r="I12" s="3">
        <v>5</v>
      </c>
      <c r="J12" s="3">
        <v>5</v>
      </c>
      <c r="K12" s="3">
        <v>5</v>
      </c>
      <c r="L12" s="3" t="s">
        <v>56</v>
      </c>
      <c r="M12" s="3">
        <v>7</v>
      </c>
      <c r="N12" s="3">
        <v>5</v>
      </c>
      <c r="O12" s="3">
        <v>6</v>
      </c>
      <c r="P12" s="3">
        <v>7</v>
      </c>
      <c r="Q12" s="3">
        <v>7</v>
      </c>
      <c r="R12" s="3">
        <v>7</v>
      </c>
      <c r="S12" s="3">
        <v>8</v>
      </c>
      <c r="T12" s="4">
        <f t="shared" si="0"/>
        <v>83</v>
      </c>
      <c r="U12" s="44">
        <v>3</v>
      </c>
      <c r="V12" s="44">
        <v>2</v>
      </c>
    </row>
    <row r="13" spans="1:22" s="1" customFormat="1" ht="25.15" customHeight="1" thickBot="1" x14ac:dyDescent="0.3">
      <c r="A13" s="65">
        <v>12</v>
      </c>
      <c r="B13" s="124" t="s">
        <v>244</v>
      </c>
      <c r="C13" s="85">
        <v>2893</v>
      </c>
      <c r="D13" s="164" t="s">
        <v>25</v>
      </c>
      <c r="E13" s="3" t="str">
        <f t="shared" si="1"/>
        <v>٨</v>
      </c>
      <c r="F13" s="3">
        <v>8</v>
      </c>
      <c r="G13" s="3">
        <v>8</v>
      </c>
      <c r="H13" s="3">
        <v>7</v>
      </c>
      <c r="I13" s="3">
        <v>9</v>
      </c>
      <c r="J13" s="3">
        <v>7</v>
      </c>
      <c r="K13" s="3">
        <v>9</v>
      </c>
      <c r="L13" s="3" t="s">
        <v>56</v>
      </c>
      <c r="M13" s="3">
        <v>5</v>
      </c>
      <c r="N13" s="3">
        <v>7</v>
      </c>
      <c r="O13" s="3">
        <v>9</v>
      </c>
      <c r="P13" s="3">
        <v>8</v>
      </c>
      <c r="Q13" s="3">
        <v>8</v>
      </c>
      <c r="R13" s="3">
        <v>8</v>
      </c>
      <c r="S13" s="3">
        <v>8</v>
      </c>
      <c r="T13" s="4">
        <f t="shared" si="0"/>
        <v>101</v>
      </c>
      <c r="U13" s="44" t="s">
        <v>56</v>
      </c>
      <c r="V13" s="44">
        <v>1</v>
      </c>
    </row>
    <row r="14" spans="1:22" s="1" customFormat="1" ht="25.15" customHeight="1" thickBot="1" x14ac:dyDescent="0.3">
      <c r="A14" s="65">
        <v>13</v>
      </c>
      <c r="B14" s="124" t="s">
        <v>245</v>
      </c>
      <c r="C14" s="135">
        <v>2868</v>
      </c>
      <c r="D14" s="164" t="s">
        <v>26</v>
      </c>
      <c r="E14" s="3" t="str">
        <f t="shared" si="1"/>
        <v>٦</v>
      </c>
      <c r="F14" s="3">
        <v>6</v>
      </c>
      <c r="G14" s="3">
        <v>7</v>
      </c>
      <c r="H14" s="3">
        <v>6</v>
      </c>
      <c r="I14" s="3">
        <v>6</v>
      </c>
      <c r="J14" s="3">
        <v>6</v>
      </c>
      <c r="K14" s="3">
        <v>6</v>
      </c>
      <c r="L14" s="3" t="s">
        <v>56</v>
      </c>
      <c r="M14" s="3">
        <v>9</v>
      </c>
      <c r="N14" s="3">
        <v>7</v>
      </c>
      <c r="O14" s="3">
        <v>6</v>
      </c>
      <c r="P14" s="3">
        <v>8</v>
      </c>
      <c r="Q14" s="3">
        <v>7</v>
      </c>
      <c r="R14" s="3">
        <v>8</v>
      </c>
      <c r="S14" s="3">
        <v>8</v>
      </c>
      <c r="T14" s="4">
        <f t="shared" si="0"/>
        <v>90</v>
      </c>
      <c r="U14" s="44" t="s">
        <v>56</v>
      </c>
      <c r="V14" s="44" t="s">
        <v>56</v>
      </c>
    </row>
    <row r="15" spans="1:22" s="168" customFormat="1" ht="25.15" customHeight="1" thickBot="1" x14ac:dyDescent="0.3">
      <c r="A15" s="161">
        <v>14</v>
      </c>
      <c r="B15" s="169" t="s">
        <v>246</v>
      </c>
      <c r="C15" s="197">
        <v>2658</v>
      </c>
      <c r="D15" s="164" t="s">
        <v>27</v>
      </c>
      <c r="E15" s="165" t="str">
        <f t="shared" si="1"/>
        <v>٩</v>
      </c>
      <c r="F15" s="165">
        <v>9</v>
      </c>
      <c r="G15" s="165">
        <v>9</v>
      </c>
      <c r="H15" s="165">
        <v>9</v>
      </c>
      <c r="I15" s="165">
        <v>9</v>
      </c>
      <c r="J15" s="165">
        <v>9</v>
      </c>
      <c r="K15" s="165">
        <v>9</v>
      </c>
      <c r="L15" s="165" t="s">
        <v>56</v>
      </c>
      <c r="M15" s="165">
        <v>9</v>
      </c>
      <c r="N15" s="165">
        <v>9</v>
      </c>
      <c r="O15" s="165">
        <v>9</v>
      </c>
      <c r="P15" s="165">
        <v>8</v>
      </c>
      <c r="Q15" s="165">
        <v>8</v>
      </c>
      <c r="R15" s="165">
        <v>8</v>
      </c>
      <c r="S15" s="165">
        <v>8</v>
      </c>
      <c r="T15" s="165">
        <f t="shared" si="0"/>
        <v>113</v>
      </c>
      <c r="U15" s="167">
        <v>1</v>
      </c>
      <c r="V15" s="167" t="s">
        <v>56</v>
      </c>
    </row>
    <row r="16" spans="1:22" s="1" customFormat="1" ht="25.15" customHeight="1" thickBot="1" x14ac:dyDescent="0.3">
      <c r="A16" s="65">
        <v>15</v>
      </c>
      <c r="B16" s="124" t="s">
        <v>247</v>
      </c>
      <c r="C16" s="134">
        <v>2737</v>
      </c>
      <c r="D16" s="164" t="s">
        <v>28</v>
      </c>
      <c r="E16" s="3" t="str">
        <f t="shared" si="1"/>
        <v>٧</v>
      </c>
      <c r="F16" s="3">
        <v>7</v>
      </c>
      <c r="G16" s="3">
        <v>8</v>
      </c>
      <c r="H16" s="3">
        <v>9</v>
      </c>
      <c r="I16" s="3">
        <v>9</v>
      </c>
      <c r="J16" s="3">
        <v>8</v>
      </c>
      <c r="K16" s="3">
        <v>9</v>
      </c>
      <c r="L16" s="3" t="s">
        <v>56</v>
      </c>
      <c r="M16" s="3">
        <v>7</v>
      </c>
      <c r="N16" s="3">
        <v>9</v>
      </c>
      <c r="O16" s="3">
        <v>7</v>
      </c>
      <c r="P16" s="3">
        <v>8</v>
      </c>
      <c r="Q16" s="3">
        <v>8</v>
      </c>
      <c r="R16" s="3">
        <v>8</v>
      </c>
      <c r="S16" s="3">
        <v>8</v>
      </c>
      <c r="T16" s="4">
        <f t="shared" si="0"/>
        <v>105</v>
      </c>
      <c r="U16" s="44">
        <v>7</v>
      </c>
      <c r="V16" s="44" t="s">
        <v>56</v>
      </c>
    </row>
    <row r="17" spans="1:22" s="168" customFormat="1" ht="25.15" customHeight="1" thickBot="1" x14ac:dyDescent="0.3">
      <c r="A17" s="161">
        <v>17</v>
      </c>
      <c r="B17" s="169" t="s">
        <v>248</v>
      </c>
      <c r="C17" s="198">
        <f>'[1]1 ALIYAH D'!C17:E52</f>
        <v>2768</v>
      </c>
      <c r="D17" s="164" t="s">
        <v>29</v>
      </c>
      <c r="E17" s="165" t="str">
        <f t="shared" si="1"/>
        <v>٦</v>
      </c>
      <c r="F17" s="165">
        <v>6</v>
      </c>
      <c r="G17" s="165">
        <v>5</v>
      </c>
      <c r="H17" s="165">
        <v>8</v>
      </c>
      <c r="I17" s="165">
        <v>5</v>
      </c>
      <c r="J17" s="165">
        <v>7</v>
      </c>
      <c r="K17" s="165">
        <v>5</v>
      </c>
      <c r="L17" s="165" t="s">
        <v>56</v>
      </c>
      <c r="M17" s="165">
        <v>5</v>
      </c>
      <c r="N17" s="165">
        <v>5</v>
      </c>
      <c r="O17" s="165">
        <v>6</v>
      </c>
      <c r="P17" s="165">
        <v>7</v>
      </c>
      <c r="Q17" s="165">
        <v>7</v>
      </c>
      <c r="R17" s="165">
        <v>8</v>
      </c>
      <c r="S17" s="165">
        <v>8</v>
      </c>
      <c r="T17" s="165">
        <f t="shared" si="0"/>
        <v>82</v>
      </c>
      <c r="U17" s="167">
        <v>1</v>
      </c>
      <c r="V17" s="167">
        <v>5</v>
      </c>
    </row>
    <row r="18" spans="1:22" s="1" customFormat="1" ht="25.15" customHeight="1" thickBot="1" x14ac:dyDescent="0.3">
      <c r="A18" s="65">
        <v>18</v>
      </c>
      <c r="B18" s="124" t="s">
        <v>249</v>
      </c>
      <c r="C18" s="134">
        <v>2739</v>
      </c>
      <c r="D18" s="164" t="s">
        <v>30</v>
      </c>
      <c r="E18" s="3" t="str">
        <f t="shared" si="1"/>
        <v>٩</v>
      </c>
      <c r="F18" s="3">
        <v>9</v>
      </c>
      <c r="G18" s="3">
        <v>9</v>
      </c>
      <c r="H18" s="3">
        <v>9</v>
      </c>
      <c r="I18" s="3">
        <v>7</v>
      </c>
      <c r="J18" s="3">
        <v>7</v>
      </c>
      <c r="K18" s="3">
        <v>6</v>
      </c>
      <c r="L18" s="3" t="s">
        <v>56</v>
      </c>
      <c r="M18" s="3">
        <v>8</v>
      </c>
      <c r="N18" s="3">
        <v>6</v>
      </c>
      <c r="O18" s="3">
        <v>8</v>
      </c>
      <c r="P18" s="3">
        <v>8</v>
      </c>
      <c r="Q18" s="3">
        <v>8</v>
      </c>
      <c r="R18" s="3">
        <v>8</v>
      </c>
      <c r="S18" s="3">
        <v>8</v>
      </c>
      <c r="T18" s="4">
        <f t="shared" si="0"/>
        <v>101</v>
      </c>
      <c r="U18" s="44" t="s">
        <v>56</v>
      </c>
      <c r="V18" s="44" t="s">
        <v>56</v>
      </c>
    </row>
    <row r="19" spans="1:22" s="168" customFormat="1" ht="25.15" customHeight="1" thickBot="1" x14ac:dyDescent="0.3">
      <c r="A19" s="161">
        <v>19</v>
      </c>
      <c r="B19" s="169" t="s">
        <v>250</v>
      </c>
      <c r="C19" s="197">
        <v>2662</v>
      </c>
      <c r="D19" s="164" t="s">
        <v>31</v>
      </c>
      <c r="E19" s="165" t="str">
        <f t="shared" si="1"/>
        <v>٩</v>
      </c>
      <c r="F19" s="165">
        <v>9</v>
      </c>
      <c r="G19" s="165">
        <v>7</v>
      </c>
      <c r="H19" s="165">
        <v>9</v>
      </c>
      <c r="I19" s="165">
        <v>7</v>
      </c>
      <c r="J19" s="165">
        <v>8</v>
      </c>
      <c r="K19" s="165">
        <v>9</v>
      </c>
      <c r="L19" s="165" t="s">
        <v>56</v>
      </c>
      <c r="M19" s="165">
        <v>9</v>
      </c>
      <c r="N19" s="165">
        <v>7</v>
      </c>
      <c r="O19" s="165">
        <v>6</v>
      </c>
      <c r="P19" s="165">
        <v>8</v>
      </c>
      <c r="Q19" s="165">
        <v>7</v>
      </c>
      <c r="R19" s="165">
        <v>8</v>
      </c>
      <c r="S19" s="165">
        <v>8</v>
      </c>
      <c r="T19" s="165">
        <f t="shared" si="0"/>
        <v>102</v>
      </c>
      <c r="U19" s="167">
        <v>1</v>
      </c>
      <c r="V19" s="167" t="s">
        <v>56</v>
      </c>
    </row>
    <row r="20" spans="1:22" s="1" customFormat="1" ht="25.15" customHeight="1" thickBot="1" x14ac:dyDescent="0.3">
      <c r="A20" s="65">
        <v>20</v>
      </c>
      <c r="B20" s="124" t="s">
        <v>251</v>
      </c>
      <c r="C20" s="135">
        <v>2899</v>
      </c>
      <c r="D20" s="164" t="s">
        <v>32</v>
      </c>
      <c r="E20" s="3" t="str">
        <f t="shared" si="1"/>
        <v>٦</v>
      </c>
      <c r="F20" s="3">
        <v>6</v>
      </c>
      <c r="G20" s="3">
        <v>5</v>
      </c>
      <c r="H20" s="3">
        <v>7</v>
      </c>
      <c r="I20" s="3">
        <v>5</v>
      </c>
      <c r="J20" s="3">
        <v>8</v>
      </c>
      <c r="K20" s="3">
        <v>7</v>
      </c>
      <c r="L20" s="3" t="s">
        <v>56</v>
      </c>
      <c r="M20" s="3">
        <v>6</v>
      </c>
      <c r="N20" s="3">
        <v>5</v>
      </c>
      <c r="O20" s="3">
        <v>7</v>
      </c>
      <c r="P20" s="3">
        <v>8</v>
      </c>
      <c r="Q20" s="3">
        <v>7</v>
      </c>
      <c r="R20" s="3">
        <v>8</v>
      </c>
      <c r="S20" s="3">
        <v>8</v>
      </c>
      <c r="T20" s="4">
        <f t="shared" si="0"/>
        <v>87</v>
      </c>
      <c r="U20" s="44">
        <v>1</v>
      </c>
      <c r="V20" s="44" t="s">
        <v>56</v>
      </c>
    </row>
    <row r="21" spans="1:22" s="1" customFormat="1" ht="24.75" customHeight="1" thickBot="1" x14ac:dyDescent="0.3">
      <c r="A21" s="65">
        <v>21</v>
      </c>
      <c r="B21" s="124" t="s">
        <v>252</v>
      </c>
      <c r="C21" s="134">
        <v>2743</v>
      </c>
      <c r="D21" s="164" t="s">
        <v>33</v>
      </c>
      <c r="E21" s="3" t="str">
        <f t="shared" si="1"/>
        <v>٩</v>
      </c>
      <c r="F21" s="3">
        <v>9</v>
      </c>
      <c r="G21" s="3">
        <v>9</v>
      </c>
      <c r="H21" s="3">
        <v>9</v>
      </c>
      <c r="I21" s="3">
        <v>9</v>
      </c>
      <c r="J21" s="3">
        <v>9</v>
      </c>
      <c r="K21" s="3">
        <v>9</v>
      </c>
      <c r="L21" s="3" t="s">
        <v>56</v>
      </c>
      <c r="M21" s="3">
        <v>9</v>
      </c>
      <c r="N21" s="3">
        <v>9</v>
      </c>
      <c r="O21" s="3">
        <v>9</v>
      </c>
      <c r="P21" s="3">
        <v>8</v>
      </c>
      <c r="Q21" s="3">
        <v>8</v>
      </c>
      <c r="R21" s="3">
        <v>8</v>
      </c>
      <c r="S21" s="3">
        <v>8</v>
      </c>
      <c r="T21" s="4">
        <f t="shared" si="0"/>
        <v>113</v>
      </c>
      <c r="U21" s="44" t="s">
        <v>56</v>
      </c>
      <c r="V21" s="44" t="s">
        <v>56</v>
      </c>
    </row>
    <row r="22" spans="1:22" s="1" customFormat="1" ht="25.15" customHeight="1" thickBot="1" x14ac:dyDescent="0.3">
      <c r="A22" s="65">
        <v>22</v>
      </c>
      <c r="B22" s="124" t="s">
        <v>253</v>
      </c>
      <c r="C22" s="136">
        <v>2775</v>
      </c>
      <c r="D22" s="164" t="s">
        <v>34</v>
      </c>
      <c r="E22" s="3" t="str">
        <f t="shared" si="1"/>
        <v>٨</v>
      </c>
      <c r="F22" s="3">
        <v>8</v>
      </c>
      <c r="G22" s="3">
        <v>7</v>
      </c>
      <c r="H22" s="3">
        <v>9</v>
      </c>
      <c r="I22" s="3">
        <v>8</v>
      </c>
      <c r="J22" s="3">
        <v>8</v>
      </c>
      <c r="K22" s="3">
        <v>7</v>
      </c>
      <c r="L22" s="3" t="s">
        <v>56</v>
      </c>
      <c r="M22" s="3">
        <v>7</v>
      </c>
      <c r="N22" s="3">
        <v>8</v>
      </c>
      <c r="O22" s="3">
        <v>7</v>
      </c>
      <c r="P22" s="3">
        <v>8</v>
      </c>
      <c r="Q22" s="3">
        <v>7</v>
      </c>
      <c r="R22" s="3">
        <v>7</v>
      </c>
      <c r="S22" s="3">
        <v>8</v>
      </c>
      <c r="T22" s="92">
        <f t="shared" si="0"/>
        <v>99</v>
      </c>
      <c r="U22" s="44" t="s">
        <v>56</v>
      </c>
      <c r="V22" s="44" t="s">
        <v>56</v>
      </c>
    </row>
    <row r="23" spans="1:22" s="1" customFormat="1" ht="25.15" customHeight="1" thickBot="1" x14ac:dyDescent="0.3">
      <c r="A23" s="65">
        <v>23</v>
      </c>
      <c r="B23" s="124" t="s">
        <v>254</v>
      </c>
      <c r="C23" s="85">
        <v>2876</v>
      </c>
      <c r="D23" s="164" t="s">
        <v>35</v>
      </c>
      <c r="E23" s="3" t="str">
        <f t="shared" si="1"/>
        <v>٨</v>
      </c>
      <c r="F23" s="3">
        <v>8</v>
      </c>
      <c r="G23" s="3">
        <v>9</v>
      </c>
      <c r="H23" s="3">
        <v>9</v>
      </c>
      <c r="I23" s="3">
        <v>9</v>
      </c>
      <c r="J23" s="3">
        <v>8</v>
      </c>
      <c r="K23" s="3">
        <v>9</v>
      </c>
      <c r="L23" s="3" t="s">
        <v>56</v>
      </c>
      <c r="M23" s="3">
        <v>9</v>
      </c>
      <c r="N23" s="3">
        <v>6</v>
      </c>
      <c r="O23" s="3">
        <v>9</v>
      </c>
      <c r="P23" s="3">
        <v>8</v>
      </c>
      <c r="Q23" s="3">
        <v>8</v>
      </c>
      <c r="R23" s="3">
        <v>8</v>
      </c>
      <c r="S23" s="3">
        <v>8</v>
      </c>
      <c r="T23" s="4">
        <f t="shared" si="0"/>
        <v>108</v>
      </c>
      <c r="U23" s="44">
        <v>1</v>
      </c>
      <c r="V23" s="44" t="s">
        <v>56</v>
      </c>
    </row>
    <row r="24" spans="1:22" s="59" customFormat="1" ht="25.15" customHeight="1" thickBot="1" x14ac:dyDescent="0.3">
      <c r="A24" s="77">
        <v>24</v>
      </c>
      <c r="B24" s="149" t="s">
        <v>255</v>
      </c>
      <c r="C24" s="245">
        <v>2814</v>
      </c>
      <c r="D24" s="150" t="s">
        <v>36</v>
      </c>
      <c r="E24" s="151" t="str">
        <f t="shared" si="1"/>
        <v>٧</v>
      </c>
      <c r="F24" s="151">
        <v>7</v>
      </c>
      <c r="G24" s="151">
        <v>8</v>
      </c>
      <c r="H24" s="151">
        <v>7</v>
      </c>
      <c r="I24" s="151">
        <v>6</v>
      </c>
      <c r="J24" s="151">
        <v>5</v>
      </c>
      <c r="K24" s="151">
        <v>6</v>
      </c>
      <c r="L24" s="151" t="s">
        <v>56</v>
      </c>
      <c r="M24" s="151">
        <v>5</v>
      </c>
      <c r="N24" s="151">
        <v>6</v>
      </c>
      <c r="O24" s="151">
        <v>7</v>
      </c>
      <c r="P24" s="151">
        <v>8</v>
      </c>
      <c r="Q24" s="151">
        <v>7</v>
      </c>
      <c r="R24" s="151">
        <v>7</v>
      </c>
      <c r="S24" s="151">
        <v>8</v>
      </c>
      <c r="T24" s="151">
        <f t="shared" si="0"/>
        <v>87</v>
      </c>
      <c r="U24" s="152">
        <v>1</v>
      </c>
      <c r="V24" s="152">
        <v>1</v>
      </c>
    </row>
    <row r="25" spans="1:22" s="1" customFormat="1" ht="25.15" customHeight="1" thickBot="1" x14ac:dyDescent="0.3">
      <c r="A25" s="65">
        <v>25</v>
      </c>
      <c r="B25" s="128" t="s">
        <v>263</v>
      </c>
      <c r="C25" s="134">
        <v>2747</v>
      </c>
      <c r="D25" s="164" t="s">
        <v>37</v>
      </c>
      <c r="E25" s="3" t="str">
        <f t="shared" si="1"/>
        <v>٧</v>
      </c>
      <c r="F25" s="3">
        <v>7</v>
      </c>
      <c r="G25" s="3">
        <v>9</v>
      </c>
      <c r="H25" s="3">
        <v>9</v>
      </c>
      <c r="I25" s="3">
        <v>9</v>
      </c>
      <c r="J25" s="3">
        <v>7</v>
      </c>
      <c r="K25" s="3">
        <v>8</v>
      </c>
      <c r="L25" s="3" t="s">
        <v>56</v>
      </c>
      <c r="M25" s="3">
        <v>7</v>
      </c>
      <c r="N25" s="3">
        <v>5</v>
      </c>
      <c r="O25" s="3">
        <v>7</v>
      </c>
      <c r="P25" s="3">
        <v>7</v>
      </c>
      <c r="Q25" s="3">
        <v>7</v>
      </c>
      <c r="R25" s="3">
        <v>7</v>
      </c>
      <c r="S25" s="3">
        <v>8</v>
      </c>
      <c r="T25" s="4">
        <f t="shared" si="0"/>
        <v>97</v>
      </c>
      <c r="U25" s="44" t="s">
        <v>56</v>
      </c>
      <c r="V25" s="44">
        <v>1</v>
      </c>
    </row>
    <row r="26" spans="1:22" s="1" customFormat="1" ht="25.15" customHeight="1" thickBot="1" x14ac:dyDescent="0.3">
      <c r="A26" s="65">
        <v>26</v>
      </c>
      <c r="B26" s="123" t="s">
        <v>256</v>
      </c>
      <c r="C26" s="85">
        <v>2749</v>
      </c>
      <c r="D26" s="164" t="s">
        <v>38</v>
      </c>
      <c r="E26" s="3" t="str">
        <f t="shared" si="1"/>
        <v>٥</v>
      </c>
      <c r="F26" s="3">
        <v>5</v>
      </c>
      <c r="G26" s="3">
        <v>5</v>
      </c>
      <c r="H26" s="3">
        <v>8</v>
      </c>
      <c r="I26" s="3">
        <v>7</v>
      </c>
      <c r="J26" s="3">
        <v>6</v>
      </c>
      <c r="K26" s="3">
        <v>5</v>
      </c>
      <c r="L26" s="3" t="s">
        <v>56</v>
      </c>
      <c r="M26" s="3">
        <v>7</v>
      </c>
      <c r="N26" s="3">
        <v>5</v>
      </c>
      <c r="O26" s="3">
        <v>6</v>
      </c>
      <c r="P26" s="3">
        <v>8</v>
      </c>
      <c r="Q26" s="3">
        <v>7</v>
      </c>
      <c r="R26" s="3">
        <v>8</v>
      </c>
      <c r="S26" s="3">
        <v>8</v>
      </c>
      <c r="T26" s="4">
        <f t="shared" si="0"/>
        <v>85</v>
      </c>
      <c r="U26" s="44">
        <v>1</v>
      </c>
      <c r="V26" s="44" t="s">
        <v>56</v>
      </c>
    </row>
    <row r="27" spans="1:22" s="176" customFormat="1" ht="25.15" customHeight="1" thickBot="1" x14ac:dyDescent="0.3">
      <c r="A27" s="161">
        <v>27</v>
      </c>
      <c r="B27" s="169" t="s">
        <v>257</v>
      </c>
      <c r="C27" s="163">
        <v>2879</v>
      </c>
      <c r="D27" s="164" t="s">
        <v>39</v>
      </c>
      <c r="E27" s="165" t="str">
        <f t="shared" si="1"/>
        <v>٩</v>
      </c>
      <c r="F27" s="165">
        <v>9</v>
      </c>
      <c r="G27" s="165">
        <v>9</v>
      </c>
      <c r="H27" s="165">
        <v>9</v>
      </c>
      <c r="I27" s="165">
        <v>8</v>
      </c>
      <c r="J27" s="165">
        <v>9</v>
      </c>
      <c r="K27" s="165">
        <v>9</v>
      </c>
      <c r="L27" s="165" t="s">
        <v>56</v>
      </c>
      <c r="M27" s="165">
        <v>8</v>
      </c>
      <c r="N27" s="165">
        <v>9</v>
      </c>
      <c r="O27" s="165">
        <v>9</v>
      </c>
      <c r="P27" s="165">
        <v>8</v>
      </c>
      <c r="Q27" s="165">
        <v>8</v>
      </c>
      <c r="R27" s="165">
        <v>8</v>
      </c>
      <c r="S27" s="165">
        <v>8</v>
      </c>
      <c r="T27" s="165">
        <f t="shared" si="0"/>
        <v>111</v>
      </c>
      <c r="U27" s="167">
        <v>6</v>
      </c>
      <c r="V27" s="167" t="s">
        <v>56</v>
      </c>
    </row>
    <row r="28" spans="1:22" s="2" customFormat="1" ht="25.15" customHeight="1" thickBot="1" x14ac:dyDescent="0.3">
      <c r="A28" s="65">
        <v>28</v>
      </c>
      <c r="B28" s="124" t="s">
        <v>258</v>
      </c>
      <c r="C28" s="85">
        <v>2906</v>
      </c>
      <c r="D28" s="164" t="s">
        <v>40</v>
      </c>
      <c r="E28" s="3" t="str">
        <f t="shared" si="1"/>
        <v>٨</v>
      </c>
      <c r="F28" s="3">
        <v>8</v>
      </c>
      <c r="G28" s="3">
        <v>6</v>
      </c>
      <c r="H28" s="3">
        <v>9</v>
      </c>
      <c r="I28" s="3">
        <v>6</v>
      </c>
      <c r="J28" s="3">
        <v>6</v>
      </c>
      <c r="K28" s="3">
        <v>5</v>
      </c>
      <c r="L28" s="3" t="s">
        <v>56</v>
      </c>
      <c r="M28" s="3">
        <v>5</v>
      </c>
      <c r="N28" s="3">
        <v>5</v>
      </c>
      <c r="O28" s="3">
        <v>7</v>
      </c>
      <c r="P28" s="3">
        <v>7</v>
      </c>
      <c r="Q28" s="3">
        <v>7</v>
      </c>
      <c r="R28" s="3">
        <v>8</v>
      </c>
      <c r="S28" s="3">
        <v>8</v>
      </c>
      <c r="T28" s="4">
        <f t="shared" si="0"/>
        <v>87</v>
      </c>
      <c r="U28" s="44" t="s">
        <v>56</v>
      </c>
      <c r="V28" s="44" t="s">
        <v>56</v>
      </c>
    </row>
    <row r="29" spans="1:22" s="176" customFormat="1" ht="25.15" customHeight="1" thickBot="1" x14ac:dyDescent="0.3">
      <c r="A29" s="161">
        <v>29</v>
      </c>
      <c r="B29" s="169" t="s">
        <v>259</v>
      </c>
      <c r="C29" s="198">
        <v>2784</v>
      </c>
      <c r="D29" s="164" t="s">
        <v>41</v>
      </c>
      <c r="E29" s="165" t="str">
        <f t="shared" si="1"/>
        <v>٧</v>
      </c>
      <c r="F29" s="165">
        <v>7</v>
      </c>
      <c r="G29" s="165">
        <v>8</v>
      </c>
      <c r="H29" s="165">
        <v>8</v>
      </c>
      <c r="I29" s="165">
        <v>7</v>
      </c>
      <c r="J29" s="165">
        <v>6</v>
      </c>
      <c r="K29" s="165">
        <v>6</v>
      </c>
      <c r="L29" s="165" t="s">
        <v>56</v>
      </c>
      <c r="M29" s="165">
        <v>7</v>
      </c>
      <c r="N29" s="165">
        <v>6</v>
      </c>
      <c r="O29" s="165">
        <v>8</v>
      </c>
      <c r="P29" s="165">
        <v>8</v>
      </c>
      <c r="Q29" s="165">
        <v>7</v>
      </c>
      <c r="R29" s="165">
        <v>7</v>
      </c>
      <c r="S29" s="165">
        <v>7</v>
      </c>
      <c r="T29" s="165">
        <f t="shared" si="0"/>
        <v>92</v>
      </c>
      <c r="U29" s="167">
        <v>2</v>
      </c>
      <c r="V29" s="167" t="s">
        <v>56</v>
      </c>
    </row>
    <row r="30" spans="1:22" s="2" customFormat="1" ht="25.15" customHeight="1" thickBot="1" x14ac:dyDescent="0.3">
      <c r="A30" s="65">
        <v>30</v>
      </c>
      <c r="B30" s="124" t="s">
        <v>260</v>
      </c>
      <c r="C30" s="136">
        <v>2711</v>
      </c>
      <c r="D30" s="164" t="s">
        <v>42</v>
      </c>
      <c r="E30" s="3" t="str">
        <f t="shared" si="1"/>
        <v>٩</v>
      </c>
      <c r="F30" s="3">
        <v>9</v>
      </c>
      <c r="G30" s="3">
        <v>9</v>
      </c>
      <c r="H30" s="3">
        <v>9</v>
      </c>
      <c r="I30" s="3">
        <v>8</v>
      </c>
      <c r="J30" s="3">
        <v>8</v>
      </c>
      <c r="K30" s="3">
        <v>8</v>
      </c>
      <c r="L30" s="3" t="s">
        <v>56</v>
      </c>
      <c r="M30" s="3">
        <v>8</v>
      </c>
      <c r="N30" s="3">
        <v>9</v>
      </c>
      <c r="O30" s="3">
        <v>5</v>
      </c>
      <c r="P30" s="3">
        <v>8</v>
      </c>
      <c r="Q30" s="3">
        <v>7</v>
      </c>
      <c r="R30" s="3">
        <v>8</v>
      </c>
      <c r="S30" s="3">
        <v>8</v>
      </c>
      <c r="T30" s="4">
        <f t="shared" si="0"/>
        <v>104</v>
      </c>
      <c r="U30" s="44" t="s">
        <v>56</v>
      </c>
      <c r="V30" s="44" t="s">
        <v>56</v>
      </c>
    </row>
    <row r="31" spans="1:22" s="2" customFormat="1" ht="25.15" customHeight="1" thickBot="1" x14ac:dyDescent="0.3">
      <c r="A31" s="65">
        <v>31</v>
      </c>
      <c r="B31" s="124" t="s">
        <v>261</v>
      </c>
      <c r="C31" s="85">
        <v>2883</v>
      </c>
      <c r="D31" s="164" t="s">
        <v>43</v>
      </c>
      <c r="E31" s="3" t="str">
        <f t="shared" si="1"/>
        <v>٩</v>
      </c>
      <c r="F31" s="3">
        <v>9</v>
      </c>
      <c r="G31" s="3">
        <v>8</v>
      </c>
      <c r="H31" s="3">
        <v>9</v>
      </c>
      <c r="I31" s="3">
        <v>9</v>
      </c>
      <c r="J31" s="3">
        <v>9</v>
      </c>
      <c r="K31" s="3">
        <v>8</v>
      </c>
      <c r="L31" s="3" t="s">
        <v>56</v>
      </c>
      <c r="M31" s="3">
        <v>8</v>
      </c>
      <c r="N31" s="3">
        <v>9</v>
      </c>
      <c r="O31" s="3">
        <v>9</v>
      </c>
      <c r="P31" s="3">
        <v>8</v>
      </c>
      <c r="Q31" s="3">
        <v>8</v>
      </c>
      <c r="R31" s="3">
        <v>8</v>
      </c>
      <c r="S31" s="3">
        <v>8</v>
      </c>
      <c r="T31" s="4">
        <f t="shared" si="0"/>
        <v>110</v>
      </c>
      <c r="U31" s="44" t="s">
        <v>56</v>
      </c>
      <c r="V31" s="44" t="s">
        <v>56</v>
      </c>
    </row>
    <row r="32" spans="1:22" s="2" customFormat="1" ht="25.15" customHeight="1" thickBot="1" x14ac:dyDescent="0.3">
      <c r="A32" s="65">
        <v>32</v>
      </c>
      <c r="B32" s="124" t="s">
        <v>262</v>
      </c>
      <c r="C32" s="85">
        <v>2914</v>
      </c>
      <c r="D32" s="164" t="s">
        <v>44</v>
      </c>
      <c r="E32" s="3" t="str">
        <f t="shared" si="1"/>
        <v>٩</v>
      </c>
      <c r="F32" s="3">
        <v>9</v>
      </c>
      <c r="G32" s="3">
        <v>8</v>
      </c>
      <c r="H32" s="3">
        <v>9</v>
      </c>
      <c r="I32" s="3">
        <v>9</v>
      </c>
      <c r="J32" s="3">
        <v>8</v>
      </c>
      <c r="K32" s="3">
        <v>9</v>
      </c>
      <c r="L32" s="3" t="s">
        <v>56</v>
      </c>
      <c r="M32" s="3">
        <v>7</v>
      </c>
      <c r="N32" s="3">
        <v>7</v>
      </c>
      <c r="O32" s="3">
        <v>9</v>
      </c>
      <c r="P32" s="3">
        <v>8</v>
      </c>
      <c r="Q32" s="3">
        <v>8</v>
      </c>
      <c r="R32" s="3">
        <v>8</v>
      </c>
      <c r="S32" s="3">
        <v>8</v>
      </c>
      <c r="T32" s="4">
        <f t="shared" si="0"/>
        <v>107</v>
      </c>
      <c r="U32" s="44" t="s">
        <v>56</v>
      </c>
      <c r="V32" s="44" t="s">
        <v>56</v>
      </c>
    </row>
    <row r="33" spans="1:22" s="9" customFormat="1" ht="25.15" customHeight="1" x14ac:dyDescent="0.25">
      <c r="A33" s="35"/>
      <c r="B33" s="10" t="s">
        <v>50</v>
      </c>
      <c r="C33" s="7"/>
      <c r="D33" s="7"/>
      <c r="E33" s="3" t="str">
        <f t="shared" ref="E33" si="2">TEXT(F33,"[$-2000000]0")</f>
        <v>٢٣٩</v>
      </c>
      <c r="F33" s="38">
        <f t="shared" ref="F33:K33" si="3">SUM(F2:F32)</f>
        <v>239</v>
      </c>
      <c r="G33" s="8">
        <f t="shared" si="3"/>
        <v>239</v>
      </c>
      <c r="H33" s="8">
        <f t="shared" si="3"/>
        <v>259</v>
      </c>
      <c r="I33" s="24">
        <f t="shared" si="3"/>
        <v>232</v>
      </c>
      <c r="J33" s="8">
        <f t="shared" si="3"/>
        <v>230</v>
      </c>
      <c r="K33" s="8">
        <f t="shared" si="3"/>
        <v>230</v>
      </c>
      <c r="L33" s="3" t="s">
        <v>56</v>
      </c>
      <c r="M33" s="8">
        <f t="shared" ref="M33:S33" si="4">SUM(M2:M32)</f>
        <v>232</v>
      </c>
      <c r="N33" s="8">
        <f t="shared" si="4"/>
        <v>219</v>
      </c>
      <c r="O33" s="24">
        <f t="shared" si="4"/>
        <v>236</v>
      </c>
      <c r="P33" s="8">
        <f t="shared" si="4"/>
        <v>242</v>
      </c>
      <c r="Q33" s="8">
        <f t="shared" si="4"/>
        <v>232</v>
      </c>
      <c r="R33" s="8">
        <f t="shared" si="4"/>
        <v>241</v>
      </c>
      <c r="S33" s="8">
        <f t="shared" si="4"/>
        <v>247</v>
      </c>
      <c r="T33" s="8"/>
      <c r="U33" s="44" t="s">
        <v>56</v>
      </c>
      <c r="V33" s="44" t="s">
        <v>56</v>
      </c>
    </row>
    <row r="34" spans="1:22" ht="15" customHeight="1" x14ac:dyDescent="0.25">
      <c r="A34" s="17"/>
      <c r="B34" s="7"/>
      <c r="C34" s="7"/>
      <c r="D34" s="7"/>
      <c r="E34" s="3"/>
      <c r="F34" s="5"/>
      <c r="G34" s="5"/>
      <c r="H34" s="5"/>
      <c r="I34" s="25"/>
      <c r="J34" s="5"/>
      <c r="K34" s="5"/>
      <c r="L34" s="5"/>
      <c r="M34" s="5"/>
      <c r="N34" s="5"/>
      <c r="O34" s="25"/>
      <c r="P34" s="5"/>
      <c r="Q34" s="5"/>
      <c r="R34" s="5"/>
      <c r="S34" s="5"/>
      <c r="T34" s="6"/>
      <c r="U34" s="44" t="s">
        <v>56</v>
      </c>
      <c r="V34" s="44" t="s">
        <v>56</v>
      </c>
    </row>
    <row r="35" spans="1:22" ht="15" customHeight="1" x14ac:dyDescent="0.25">
      <c r="A35" s="17"/>
      <c r="B35" s="7"/>
      <c r="C35" s="7"/>
      <c r="D35" s="7"/>
      <c r="E35" s="3"/>
      <c r="F35" s="5"/>
      <c r="G35" s="5"/>
      <c r="H35" s="5"/>
      <c r="I35" s="25"/>
      <c r="J35" s="5"/>
      <c r="K35" s="5"/>
      <c r="L35" s="5"/>
      <c r="M35" s="5"/>
      <c r="N35" s="5"/>
      <c r="O35" s="25"/>
      <c r="P35" s="5"/>
      <c r="Q35" s="5"/>
      <c r="R35" s="5"/>
      <c r="S35" s="5"/>
      <c r="T35" s="6"/>
      <c r="U35" s="44"/>
      <c r="V35" s="44" t="s">
        <v>56</v>
      </c>
    </row>
    <row r="36" spans="1:22" s="18" customFormat="1" ht="15" customHeight="1" x14ac:dyDescent="0.25">
      <c r="A36" s="17"/>
      <c r="B36" s="7"/>
      <c r="C36" s="7"/>
      <c r="D36" s="7"/>
      <c r="E36" s="3"/>
      <c r="F36" s="5"/>
      <c r="G36" s="5"/>
      <c r="H36" s="5"/>
      <c r="I36" s="25"/>
      <c r="J36" s="5"/>
      <c r="K36" s="5"/>
      <c r="L36" s="5"/>
      <c r="M36" s="5"/>
      <c r="N36" s="5"/>
      <c r="O36" s="25"/>
      <c r="P36" s="5"/>
      <c r="Q36" s="5"/>
      <c r="R36" s="5"/>
      <c r="S36" s="5"/>
      <c r="T36" s="6"/>
      <c r="U36" s="9"/>
      <c r="V36" s="9"/>
    </row>
    <row r="37" spans="1:22" s="18" customFormat="1" ht="20.25" customHeight="1" x14ac:dyDescent="0.25">
      <c r="A37" s="17"/>
      <c r="B37" s="7"/>
      <c r="C37" s="7"/>
      <c r="D37" s="7"/>
      <c r="E37" s="3"/>
      <c r="F37" s="5"/>
      <c r="G37" s="4"/>
      <c r="H37" s="14" t="s">
        <v>49</v>
      </c>
      <c r="I37" s="23"/>
      <c r="J37" s="5"/>
      <c r="K37" s="5"/>
      <c r="L37" s="5"/>
      <c r="M37" s="5"/>
      <c r="N37" s="5"/>
      <c r="O37" s="25"/>
      <c r="P37" s="5"/>
      <c r="Q37" s="5"/>
      <c r="R37" s="5"/>
      <c r="S37" s="5"/>
      <c r="T37" s="6"/>
      <c r="U37"/>
      <c r="V37"/>
    </row>
    <row r="38" spans="1:22" s="18" customFormat="1" ht="20.25" customHeight="1" x14ac:dyDescent="0.25">
      <c r="A38" s="17"/>
      <c r="B38" s="7"/>
      <c r="C38" s="7"/>
      <c r="D38" s="7"/>
      <c r="E38" s="3"/>
      <c r="F38" s="5"/>
      <c r="G38" s="5"/>
      <c r="H38" s="16">
        <f>E33/D32</f>
        <v>8</v>
      </c>
      <c r="I38" s="25"/>
      <c r="J38" s="5"/>
      <c r="K38" s="5"/>
      <c r="L38" s="5"/>
      <c r="M38" s="5"/>
      <c r="N38" s="5"/>
      <c r="O38" s="25"/>
      <c r="P38" s="5"/>
      <c r="Q38" s="5"/>
      <c r="R38" s="5"/>
      <c r="S38" s="5"/>
      <c r="T38" s="5"/>
      <c r="U38"/>
      <c r="V38"/>
    </row>
    <row r="39" spans="1:22" s="18" customFormat="1" ht="20.25" customHeight="1" x14ac:dyDescent="0.25">
      <c r="A39" s="17"/>
      <c r="B39" s="7"/>
      <c r="C39" s="7"/>
      <c r="D39" s="7"/>
      <c r="E39" s="3"/>
      <c r="F39" s="5"/>
      <c r="G39" s="5"/>
      <c r="H39" s="16">
        <f>G33/D32</f>
        <v>8</v>
      </c>
      <c r="I39" s="25"/>
      <c r="J39" s="5"/>
      <c r="K39" s="5"/>
      <c r="L39" s="5"/>
      <c r="M39" s="5"/>
      <c r="N39" s="5"/>
      <c r="O39" s="25"/>
      <c r="P39" s="5"/>
      <c r="Q39" s="5"/>
      <c r="R39" s="5"/>
      <c r="S39" s="5"/>
      <c r="T39" s="6"/>
      <c r="U39"/>
      <c r="V39"/>
    </row>
    <row r="40" spans="1:22" s="18" customFormat="1" ht="20.25" customHeight="1" x14ac:dyDescent="0.25">
      <c r="A40" s="17"/>
      <c r="B40" s="7"/>
      <c r="C40" s="7"/>
      <c r="D40" s="7"/>
      <c r="E40" s="3"/>
      <c r="F40" s="5"/>
      <c r="G40" s="5"/>
      <c r="H40" s="16">
        <f>H33/D32</f>
        <v>8</v>
      </c>
      <c r="I40" s="25"/>
      <c r="J40" s="5"/>
      <c r="K40" s="5"/>
      <c r="L40" s="5"/>
      <c r="M40" s="5"/>
      <c r="N40" s="5"/>
      <c r="O40" s="25"/>
      <c r="P40" s="5"/>
      <c r="Q40" s="5"/>
      <c r="R40" s="5"/>
      <c r="S40" s="5"/>
      <c r="T40" s="6"/>
      <c r="U40"/>
      <c r="V40"/>
    </row>
    <row r="41" spans="1:22" s="18" customFormat="1" ht="20.25" customHeight="1" x14ac:dyDescent="0.25">
      <c r="A41" s="17"/>
      <c r="B41" s="7"/>
      <c r="C41" s="7"/>
      <c r="D41" s="7"/>
      <c r="E41" s="3"/>
      <c r="F41" s="5"/>
      <c r="G41" s="5"/>
      <c r="H41" s="16">
        <f>I33/D32</f>
        <v>7</v>
      </c>
      <c r="I41" s="25"/>
      <c r="J41" s="5"/>
      <c r="K41" s="5"/>
      <c r="L41" s="5"/>
      <c r="M41" s="5"/>
      <c r="N41" s="5"/>
      <c r="O41" s="25"/>
      <c r="P41" s="5"/>
      <c r="Q41" s="5"/>
      <c r="R41" s="5"/>
      <c r="S41" s="5"/>
      <c r="T41" s="6"/>
      <c r="U41"/>
      <c r="V41"/>
    </row>
    <row r="42" spans="1:22" s="18" customFormat="1" ht="20.25" customHeight="1" x14ac:dyDescent="0.25">
      <c r="A42" s="17"/>
      <c r="B42" s="7"/>
      <c r="C42" s="7"/>
      <c r="D42" s="7"/>
      <c r="E42" s="3"/>
      <c r="F42" s="5"/>
      <c r="G42" s="5"/>
      <c r="H42" s="16">
        <f>J33/D32</f>
        <v>7</v>
      </c>
      <c r="I42" s="25"/>
      <c r="J42" s="5"/>
      <c r="K42" s="5"/>
      <c r="L42" s="5"/>
      <c r="M42" s="5"/>
      <c r="N42" s="5"/>
      <c r="O42" s="25"/>
      <c r="P42" s="5"/>
      <c r="Q42" s="5"/>
      <c r="R42" s="5"/>
      <c r="S42" s="5"/>
      <c r="T42" s="6"/>
      <c r="U42"/>
      <c r="V42"/>
    </row>
    <row r="43" spans="1:22" s="18" customFormat="1" ht="20.25" customHeight="1" x14ac:dyDescent="0.25">
      <c r="A43" s="17"/>
      <c r="B43" s="7"/>
      <c r="C43" s="7"/>
      <c r="D43" s="7"/>
      <c r="E43" s="3"/>
      <c r="F43" s="5"/>
      <c r="G43" s="5"/>
      <c r="H43" s="16">
        <f>K33/D32</f>
        <v>7</v>
      </c>
      <c r="I43" s="25"/>
      <c r="J43" s="5"/>
      <c r="K43" s="5"/>
      <c r="L43" s="5"/>
      <c r="M43" s="5"/>
      <c r="N43" s="5"/>
      <c r="O43" s="25"/>
      <c r="P43" s="5"/>
      <c r="Q43" s="5"/>
      <c r="R43" s="5"/>
      <c r="S43" s="5"/>
      <c r="T43" s="6"/>
      <c r="U43"/>
      <c r="V43"/>
    </row>
    <row r="44" spans="1:22" s="18" customFormat="1" ht="20.25" customHeight="1" x14ac:dyDescent="0.25">
      <c r="A44" s="17"/>
      <c r="B44" s="7"/>
      <c r="C44" s="7"/>
      <c r="D44" s="7"/>
      <c r="E44" s="3"/>
      <c r="F44" s="5"/>
      <c r="G44" s="5"/>
      <c r="H44" s="33" t="s">
        <v>56</v>
      </c>
      <c r="I44" s="25"/>
      <c r="J44" s="5"/>
      <c r="K44" s="5"/>
      <c r="L44" s="5"/>
      <c r="M44" s="5"/>
      <c r="N44" s="5"/>
      <c r="O44" s="25"/>
      <c r="P44" s="5"/>
      <c r="Q44" s="5"/>
      <c r="R44" s="5"/>
      <c r="S44" s="5"/>
      <c r="T44" s="6"/>
      <c r="U44" s="45"/>
      <c r="V44" s="45"/>
    </row>
    <row r="45" spans="1:22" s="18" customFormat="1" ht="20.25" customHeight="1" x14ac:dyDescent="0.25">
      <c r="A45" s="17"/>
      <c r="B45" s="7"/>
      <c r="C45" s="7"/>
      <c r="D45" s="7"/>
      <c r="E45" s="3"/>
      <c r="F45" s="5"/>
      <c r="G45" s="5"/>
      <c r="H45" s="16">
        <f>M33/D32</f>
        <v>7</v>
      </c>
      <c r="I45" s="25"/>
      <c r="J45" s="5"/>
      <c r="K45" s="5"/>
      <c r="L45" s="5"/>
      <c r="M45" s="5"/>
      <c r="N45" s="5"/>
      <c r="O45" s="25"/>
      <c r="P45" s="5"/>
      <c r="Q45" s="5"/>
      <c r="R45" s="5"/>
      <c r="S45" s="5"/>
      <c r="T45" s="6"/>
      <c r="U45" s="45"/>
      <c r="V45" s="45"/>
    </row>
    <row r="46" spans="1:22" s="18" customFormat="1" ht="20.25" customHeight="1" x14ac:dyDescent="0.25">
      <c r="A46" s="17"/>
      <c r="B46" s="7"/>
      <c r="C46" s="7"/>
      <c r="D46" s="7"/>
      <c r="E46" s="3"/>
      <c r="F46" s="5"/>
      <c r="G46" s="5"/>
      <c r="H46" s="16">
        <f>N33/D32</f>
        <v>7</v>
      </c>
      <c r="I46" s="25"/>
      <c r="J46" s="5"/>
      <c r="K46" s="5"/>
      <c r="L46" s="5"/>
      <c r="M46" s="5"/>
      <c r="N46" s="5"/>
      <c r="O46" s="25"/>
      <c r="P46" s="5"/>
      <c r="Q46" s="5"/>
      <c r="R46" s="5"/>
      <c r="S46" s="5"/>
      <c r="T46" s="6"/>
      <c r="U46" s="45"/>
      <c r="V46" s="45"/>
    </row>
    <row r="47" spans="1:22" s="18" customFormat="1" ht="20.25" customHeight="1" x14ac:dyDescent="0.25">
      <c r="A47" s="17"/>
      <c r="B47" s="7"/>
      <c r="C47" s="7"/>
      <c r="D47" s="7"/>
      <c r="E47" s="3"/>
      <c r="F47" s="5"/>
      <c r="G47" s="5"/>
      <c r="H47" s="16">
        <f>O33/D32</f>
        <v>8</v>
      </c>
      <c r="I47" s="25"/>
      <c r="J47" s="5"/>
      <c r="K47" s="5"/>
      <c r="L47" s="5"/>
      <c r="M47" s="5"/>
      <c r="N47" s="5"/>
      <c r="O47" s="25"/>
      <c r="P47" s="5"/>
      <c r="Q47" s="5"/>
      <c r="R47" s="5"/>
      <c r="S47" s="5"/>
      <c r="T47" s="6"/>
      <c r="U47" s="45"/>
      <c r="V47" s="45"/>
    </row>
    <row r="48" spans="1:22" s="18" customFormat="1" ht="20.25" customHeight="1" x14ac:dyDescent="0.25">
      <c r="A48" s="17"/>
      <c r="B48" s="7"/>
      <c r="C48" s="7"/>
      <c r="D48" s="7"/>
      <c r="E48" s="3"/>
      <c r="F48" s="5"/>
      <c r="G48" s="5"/>
      <c r="H48" s="16">
        <f>P33/D32</f>
        <v>8</v>
      </c>
      <c r="I48" s="25"/>
      <c r="J48" s="5"/>
      <c r="K48" s="5"/>
      <c r="L48" s="5"/>
      <c r="M48" s="5"/>
      <c r="N48" s="5"/>
      <c r="O48" s="25"/>
      <c r="P48" s="5"/>
      <c r="Q48" s="5"/>
      <c r="R48" s="5"/>
      <c r="S48" s="5"/>
      <c r="T48" s="6"/>
      <c r="U48" s="45"/>
      <c r="V48" s="45"/>
    </row>
    <row r="49" spans="1:22" s="18" customFormat="1" ht="20.25" customHeight="1" x14ac:dyDescent="0.25">
      <c r="A49" s="17"/>
      <c r="B49" s="7"/>
      <c r="C49" s="7"/>
      <c r="D49" s="7"/>
      <c r="E49" s="3"/>
      <c r="F49" s="5"/>
      <c r="G49" s="5"/>
      <c r="H49" s="16">
        <f>Q33/D32</f>
        <v>7</v>
      </c>
      <c r="I49" s="25"/>
      <c r="J49" s="5"/>
      <c r="K49" s="5"/>
      <c r="L49" s="5"/>
      <c r="M49" s="5"/>
      <c r="N49" s="5"/>
      <c r="O49" s="25"/>
      <c r="P49" s="5"/>
      <c r="Q49" s="5"/>
      <c r="R49" s="5"/>
      <c r="S49" s="5"/>
      <c r="T49" s="6"/>
      <c r="U49" s="45"/>
      <c r="V49" s="45"/>
    </row>
    <row r="50" spans="1:22" s="18" customFormat="1" ht="20.25" customHeight="1" x14ac:dyDescent="0.25">
      <c r="A50" s="17"/>
      <c r="B50" s="7"/>
      <c r="C50" s="7"/>
      <c r="D50" s="7"/>
      <c r="E50" s="3"/>
      <c r="F50" s="5"/>
      <c r="G50" s="5"/>
      <c r="H50" s="16">
        <f>R33/D32</f>
        <v>8</v>
      </c>
      <c r="I50" s="25"/>
      <c r="J50" s="5"/>
      <c r="K50" s="5"/>
      <c r="L50" s="5"/>
      <c r="M50" s="5"/>
      <c r="N50" s="5"/>
      <c r="O50" s="25"/>
      <c r="P50" s="5"/>
      <c r="Q50" s="5"/>
      <c r="R50" s="5"/>
      <c r="S50" s="5"/>
      <c r="T50" s="6"/>
      <c r="U50" s="45"/>
      <c r="V50" s="45"/>
    </row>
    <row r="51" spans="1:22" s="18" customFormat="1" ht="25.15" customHeight="1" x14ac:dyDescent="0.25">
      <c r="A51" s="17"/>
      <c r="B51" s="7"/>
      <c r="C51" s="7"/>
      <c r="D51" s="7"/>
      <c r="E51" s="3"/>
      <c r="F51" s="5"/>
      <c r="G51" s="5"/>
      <c r="H51" s="16">
        <f>S33/D32</f>
        <v>8</v>
      </c>
      <c r="I51" s="25"/>
      <c r="J51" s="5"/>
      <c r="K51" s="5"/>
      <c r="L51" s="5"/>
      <c r="M51" s="5"/>
      <c r="N51" s="5"/>
      <c r="O51" s="25"/>
      <c r="P51" s="5"/>
      <c r="Q51" s="5"/>
      <c r="R51" s="5"/>
      <c r="S51" s="5"/>
      <c r="T51" s="6"/>
      <c r="U51" s="45"/>
      <c r="V51" s="45"/>
    </row>
    <row r="52" spans="1:22" s="18" customFormat="1" ht="15" customHeight="1" x14ac:dyDescent="0.25">
      <c r="A52" s="17"/>
      <c r="B52" s="7"/>
      <c r="C52" s="7"/>
      <c r="D52" s="7"/>
      <c r="E52" s="3"/>
      <c r="F52" s="5"/>
      <c r="G52" s="5"/>
      <c r="H52" s="15">
        <f>SUM(H38:H51)</f>
        <v>98</v>
      </c>
      <c r="I52" s="25"/>
      <c r="J52" s="5"/>
      <c r="K52" s="5"/>
      <c r="L52" s="5"/>
      <c r="M52" s="5"/>
      <c r="N52" s="5"/>
      <c r="O52" s="25"/>
      <c r="P52" s="5"/>
      <c r="Q52" s="5"/>
      <c r="R52" s="5"/>
      <c r="S52" s="5"/>
      <c r="T52" s="6"/>
      <c r="U52" s="45"/>
      <c r="V52" s="45"/>
    </row>
    <row r="53" spans="1:22" s="18" customFormat="1" ht="15" customHeight="1" x14ac:dyDescent="0.25">
      <c r="A53" s="17"/>
      <c r="B53" s="7"/>
      <c r="C53" s="7"/>
      <c r="D53" s="7"/>
      <c r="E53" s="3"/>
      <c r="F53" s="5"/>
      <c r="G53" s="5"/>
      <c r="H53" s="5"/>
      <c r="I53" s="25"/>
      <c r="J53" s="5"/>
      <c r="K53" s="5"/>
      <c r="L53" s="5"/>
      <c r="M53" s="5"/>
      <c r="N53" s="5"/>
      <c r="O53" s="25"/>
      <c r="P53" s="5"/>
      <c r="Q53" s="5"/>
      <c r="R53" s="5"/>
      <c r="S53" s="5"/>
      <c r="T53" s="6"/>
      <c r="U53" s="45"/>
      <c r="V53" s="45"/>
    </row>
    <row r="54" spans="1:22" s="18" customFormat="1" ht="15" customHeight="1" x14ac:dyDescent="0.25">
      <c r="A54" s="17"/>
      <c r="B54" s="7"/>
      <c r="C54" s="7"/>
      <c r="D54" s="7"/>
      <c r="E54" s="3"/>
      <c r="F54" s="5"/>
      <c r="G54" s="5"/>
      <c r="H54" s="5"/>
      <c r="I54" s="25"/>
      <c r="J54" s="5"/>
      <c r="K54" s="5"/>
      <c r="L54" s="5"/>
      <c r="M54" s="5"/>
      <c r="N54" s="5"/>
      <c r="O54" s="25"/>
      <c r="P54" s="5"/>
      <c r="Q54" s="5"/>
      <c r="R54" s="5"/>
      <c r="S54" s="5"/>
      <c r="T54" s="6"/>
      <c r="U54" s="45"/>
      <c r="V54" s="45"/>
    </row>
  </sheetData>
  <phoneticPr fontId="8" type="noConversion"/>
  <conditionalFormatting sqref="E2:T54">
    <cfRule type="cellIs" dxfId="65" priority="2" operator="lessThan">
      <formula>6</formula>
    </cfRule>
  </conditionalFormatting>
  <conditionalFormatting sqref="P1:T1">
    <cfRule type="cellIs" dxfId="64" priority="5" operator="lessThan">
      <formula>6</formula>
    </cfRule>
  </conditionalFormatting>
  <conditionalFormatting sqref="U1 U35 U44:U54">
    <cfRule type="cellIs" dxfId="63" priority="4" operator="greaterThan">
      <formula>19</formula>
    </cfRule>
  </conditionalFormatting>
  <conditionalFormatting sqref="V1:V35 U2:U34 V44:V54">
    <cfRule type="cellIs" dxfId="62" priority="3" operator="greaterThan">
      <formula>5</formula>
    </cfRule>
  </conditionalFormatting>
  <dataValidations xWindow="813" yWindow="761" count="3">
    <dataValidation allowBlank="1" showInputMessage="1" showErrorMessage="1" promptTitle="Petunjuk Pengisian" prompt="Tidak Izin 6 Hari dalam 1 Semester dapat menurunkan satu nilai akhlaq" sqref="V44:V54 U2:U34 V1:V35" xr:uid="{00000000-0002-0000-0500-000000000000}"/>
    <dataValidation allowBlank="1" showInputMessage="1" showErrorMessage="1" promptTitle="petunjuk Pengisian " prompt="Izin 20 Hari dalam 1 Semester dapat menurunkan satu nilai akhlaq" sqref="U44:U54 U1 U35" xr:uid="{00000000-0002-0000-0500-000001000000}"/>
    <dataValidation allowBlank="1" showInputMessage="1" showErrorMessage="1" prompt="jumlah nilai pelajaran seluruh siswi dibagi Jumlah siswi _x000a_- tanpa mengikutkan yang boyong/ cuty _x000a_- siswi yang her/ tanpa keterangan dikira kirakan 4 nilainya" sqref="H38:H51" xr:uid="{00000000-0002-0000-0500-000003000000}"/>
  </dataValidation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E8EE-122F-4CEF-9DF9-E02B2EE3C251}">
  <dimension ref="A1:V128"/>
  <sheetViews>
    <sheetView topLeftCell="A10" zoomScale="70" zoomScaleNormal="70" workbookViewId="0">
      <selection activeCell="A19" sqref="A19:XFD19"/>
    </sheetView>
  </sheetViews>
  <sheetFormatPr defaultRowHeight="21" x14ac:dyDescent="0.35"/>
  <cols>
    <col min="1" max="1" width="16.28515625" customWidth="1"/>
    <col min="2" max="2" width="30.85546875" style="91" customWidth="1"/>
    <col min="3" max="3" width="16.7109375" customWidth="1"/>
    <col min="4" max="4" width="15.5703125" customWidth="1"/>
    <col min="5" max="5" width="19.140625" customWidth="1"/>
    <col min="7" max="7" width="18.42578125" customWidth="1"/>
    <col min="8" max="8" width="16.42578125" customWidth="1"/>
    <col min="9" max="9" width="22.7109375" customWidth="1"/>
    <col min="10" max="10" width="15.42578125" customWidth="1"/>
    <col min="11" max="12" width="16.85546875" customWidth="1"/>
    <col min="13" max="13" width="18.85546875" customWidth="1"/>
    <col min="14" max="14" width="16.140625" customWidth="1"/>
    <col min="15" max="15" width="17" customWidth="1"/>
    <col min="16" max="16" width="20.7109375" customWidth="1"/>
    <col min="17" max="17" width="23.7109375" customWidth="1"/>
    <col min="20" max="20" width="29.28515625" customWidth="1"/>
  </cols>
  <sheetData>
    <row r="1" spans="1:22" s="20" customFormat="1" ht="25.15" customHeight="1" thickBot="1" x14ac:dyDescent="0.3">
      <c r="A1" s="34" t="s">
        <v>1</v>
      </c>
      <c r="B1" s="86" t="s">
        <v>0</v>
      </c>
      <c r="C1" s="11" t="s">
        <v>2</v>
      </c>
      <c r="D1" s="11" t="s">
        <v>13</v>
      </c>
      <c r="E1" s="39" t="s">
        <v>3</v>
      </c>
      <c r="F1" s="36"/>
      <c r="G1" s="21" t="s">
        <v>51</v>
      </c>
      <c r="H1" s="21" t="s">
        <v>4</v>
      </c>
      <c r="I1" s="22" t="s">
        <v>52</v>
      </c>
      <c r="J1" s="21" t="s">
        <v>5</v>
      </c>
      <c r="K1" s="21" t="s">
        <v>53</v>
      </c>
      <c r="L1" s="21" t="s">
        <v>73</v>
      </c>
      <c r="M1" s="21" t="s">
        <v>54</v>
      </c>
      <c r="N1" s="21" t="s">
        <v>55</v>
      </c>
      <c r="O1" s="22" t="s">
        <v>57</v>
      </c>
      <c r="P1" s="12" t="s">
        <v>6</v>
      </c>
      <c r="Q1" s="12" t="s">
        <v>7</v>
      </c>
      <c r="R1" s="12" t="s">
        <v>8</v>
      </c>
      <c r="S1" s="12" t="s">
        <v>9</v>
      </c>
      <c r="T1" s="13" t="s">
        <v>10</v>
      </c>
      <c r="U1" s="43" t="s">
        <v>11</v>
      </c>
      <c r="V1" s="43" t="s">
        <v>12</v>
      </c>
    </row>
    <row r="2" spans="1:22" s="168" customFormat="1" ht="25.15" customHeight="1" thickBot="1" x14ac:dyDescent="0.3">
      <c r="A2" s="199" t="s">
        <v>14</v>
      </c>
      <c r="B2" s="162" t="s">
        <v>264</v>
      </c>
      <c r="C2" s="185">
        <v>2789</v>
      </c>
      <c r="D2" s="164" t="s">
        <v>14</v>
      </c>
      <c r="E2" s="165" t="str">
        <f>TEXT(F2,"[$-2000000]0")</f>
        <v>٩</v>
      </c>
      <c r="F2" s="165">
        <v>9</v>
      </c>
      <c r="G2" s="165">
        <v>9</v>
      </c>
      <c r="H2" s="165">
        <v>9</v>
      </c>
      <c r="I2" s="165">
        <v>7</v>
      </c>
      <c r="J2" s="165">
        <v>9</v>
      </c>
      <c r="K2" s="165">
        <v>9</v>
      </c>
      <c r="L2" s="165" t="s">
        <v>56</v>
      </c>
      <c r="M2" s="165">
        <v>7</v>
      </c>
      <c r="N2" s="165">
        <v>9</v>
      </c>
      <c r="O2" s="165">
        <v>7</v>
      </c>
      <c r="P2" s="165">
        <v>9</v>
      </c>
      <c r="Q2" s="165">
        <v>9</v>
      </c>
      <c r="R2" s="165">
        <v>8</v>
      </c>
      <c r="S2" s="165">
        <v>8</v>
      </c>
      <c r="T2" s="165">
        <f t="shared" ref="T2:T31" si="0">SUM(E2:S2)</f>
        <v>109</v>
      </c>
      <c r="U2" s="167">
        <v>1</v>
      </c>
      <c r="V2" s="167" t="s">
        <v>56</v>
      </c>
    </row>
    <row r="3" spans="1:22" s="1" customFormat="1" ht="25.15" customHeight="1" thickBot="1" x14ac:dyDescent="0.3">
      <c r="A3" s="71" t="s">
        <v>15</v>
      </c>
      <c r="B3" s="124" t="s">
        <v>265</v>
      </c>
      <c r="C3" s="84">
        <v>2790</v>
      </c>
      <c r="D3" s="19" t="s">
        <v>15</v>
      </c>
      <c r="E3" s="3" t="str">
        <f t="shared" ref="E3:E32" si="1">TEXT(F3,"[$-2000000]0")</f>
        <v>٩</v>
      </c>
      <c r="F3" s="3">
        <v>9</v>
      </c>
      <c r="G3" s="3">
        <v>9</v>
      </c>
      <c r="H3" s="3">
        <v>9</v>
      </c>
      <c r="I3" s="3">
        <v>9</v>
      </c>
      <c r="J3" s="3">
        <v>9</v>
      </c>
      <c r="K3" s="3">
        <v>9</v>
      </c>
      <c r="L3" s="3" t="s">
        <v>56</v>
      </c>
      <c r="M3" s="3">
        <v>6</v>
      </c>
      <c r="N3" s="3">
        <v>9</v>
      </c>
      <c r="O3" s="3">
        <v>9</v>
      </c>
      <c r="P3" s="3">
        <v>7</v>
      </c>
      <c r="Q3" s="3">
        <v>8</v>
      </c>
      <c r="R3" s="3">
        <v>8</v>
      </c>
      <c r="S3" s="3">
        <v>8</v>
      </c>
      <c r="T3" s="4">
        <f t="shared" si="0"/>
        <v>109</v>
      </c>
      <c r="U3" s="44" t="s">
        <v>56</v>
      </c>
      <c r="V3" s="44" t="s">
        <v>56</v>
      </c>
    </row>
    <row r="4" spans="1:22" s="168" customFormat="1" ht="25.15" customHeight="1" thickBot="1" x14ac:dyDescent="0.3">
      <c r="A4" s="199" t="s">
        <v>16</v>
      </c>
      <c r="B4" s="169" t="s">
        <v>266</v>
      </c>
      <c r="C4" s="185">
        <v>2724</v>
      </c>
      <c r="D4" s="164" t="s">
        <v>16</v>
      </c>
      <c r="E4" s="165" t="str">
        <f t="shared" si="1"/>
        <v>٨</v>
      </c>
      <c r="F4" s="165">
        <v>8</v>
      </c>
      <c r="G4" s="165">
        <v>5</v>
      </c>
      <c r="H4" s="165">
        <v>7</v>
      </c>
      <c r="I4" s="165">
        <v>7</v>
      </c>
      <c r="J4" s="165">
        <v>6</v>
      </c>
      <c r="K4" s="165">
        <v>7</v>
      </c>
      <c r="L4" s="165" t="s">
        <v>56</v>
      </c>
      <c r="M4" s="165">
        <v>6</v>
      </c>
      <c r="N4" s="165">
        <v>7</v>
      </c>
      <c r="O4" s="165">
        <v>5</v>
      </c>
      <c r="P4" s="165">
        <v>8</v>
      </c>
      <c r="Q4" s="165">
        <v>7</v>
      </c>
      <c r="R4" s="165">
        <v>7</v>
      </c>
      <c r="S4" s="165">
        <v>8</v>
      </c>
      <c r="T4" s="165">
        <f t="shared" si="0"/>
        <v>88</v>
      </c>
      <c r="U4" s="167">
        <v>1</v>
      </c>
      <c r="V4" s="167" t="s">
        <v>56</v>
      </c>
    </row>
    <row r="5" spans="1:22" s="1" customFormat="1" ht="25.15" customHeight="1" thickBot="1" x14ac:dyDescent="0.3">
      <c r="A5" s="71" t="s">
        <v>17</v>
      </c>
      <c r="B5" s="124" t="s">
        <v>267</v>
      </c>
      <c r="C5" s="67">
        <v>2688</v>
      </c>
      <c r="D5" s="19" t="s">
        <v>17</v>
      </c>
      <c r="E5" s="3" t="str">
        <f t="shared" si="1"/>
        <v>٨</v>
      </c>
      <c r="F5" s="3">
        <v>8</v>
      </c>
      <c r="G5" s="3">
        <v>8</v>
      </c>
      <c r="H5" s="3">
        <v>8</v>
      </c>
      <c r="I5" s="3">
        <v>8</v>
      </c>
      <c r="J5" s="3">
        <v>6</v>
      </c>
      <c r="K5" s="3">
        <v>8</v>
      </c>
      <c r="L5" s="3" t="s">
        <v>56</v>
      </c>
      <c r="M5" s="3">
        <v>9</v>
      </c>
      <c r="N5" s="3">
        <v>8</v>
      </c>
      <c r="O5" s="3">
        <v>8</v>
      </c>
      <c r="P5" s="3">
        <v>8</v>
      </c>
      <c r="Q5" s="3">
        <v>8</v>
      </c>
      <c r="R5" s="3">
        <v>8</v>
      </c>
      <c r="S5" s="3">
        <v>8</v>
      </c>
      <c r="T5" s="4">
        <f t="shared" si="0"/>
        <v>103</v>
      </c>
      <c r="U5" s="44">
        <v>4</v>
      </c>
      <c r="V5" s="44">
        <v>5</v>
      </c>
    </row>
    <row r="6" spans="1:22" s="59" customFormat="1" ht="25.15" customHeight="1" thickBot="1" x14ac:dyDescent="0.3">
      <c r="A6" s="204" t="s">
        <v>18</v>
      </c>
      <c r="B6" s="149" t="s">
        <v>268</v>
      </c>
      <c r="C6" s="205">
        <v>2886</v>
      </c>
      <c r="D6" s="150" t="s">
        <v>18</v>
      </c>
      <c r="E6" s="151" t="str">
        <f t="shared" si="1"/>
        <v>٦</v>
      </c>
      <c r="F6" s="151">
        <v>6</v>
      </c>
      <c r="G6" s="151">
        <v>5</v>
      </c>
      <c r="H6" s="151">
        <v>8</v>
      </c>
      <c r="I6" s="151">
        <v>4</v>
      </c>
      <c r="J6" s="151">
        <v>4</v>
      </c>
      <c r="K6" s="151">
        <v>5</v>
      </c>
      <c r="L6" s="151" t="s">
        <v>56</v>
      </c>
      <c r="M6" s="151">
        <v>7</v>
      </c>
      <c r="N6" s="151">
        <v>6</v>
      </c>
      <c r="O6" s="151">
        <v>5</v>
      </c>
      <c r="P6" s="151">
        <v>7</v>
      </c>
      <c r="Q6" s="151">
        <v>7</v>
      </c>
      <c r="R6" s="151">
        <v>7</v>
      </c>
      <c r="S6" s="151">
        <v>8</v>
      </c>
      <c r="T6" s="151">
        <f t="shared" si="0"/>
        <v>79</v>
      </c>
      <c r="U6" s="152" t="s">
        <v>56</v>
      </c>
      <c r="V6" s="152" t="s">
        <v>56</v>
      </c>
    </row>
    <row r="7" spans="1:22" s="1" customFormat="1" ht="25.15" customHeight="1" thickBot="1" x14ac:dyDescent="0.3">
      <c r="A7" s="71" t="s">
        <v>20</v>
      </c>
      <c r="B7" s="123" t="s">
        <v>269</v>
      </c>
      <c r="C7" s="85">
        <v>2794</v>
      </c>
      <c r="D7" s="19" t="s">
        <v>19</v>
      </c>
      <c r="E7" s="3" t="str">
        <f t="shared" si="1"/>
        <v>٩</v>
      </c>
      <c r="F7" s="3">
        <v>9</v>
      </c>
      <c r="G7" s="3">
        <v>9</v>
      </c>
      <c r="H7" s="3">
        <v>9</v>
      </c>
      <c r="I7" s="3">
        <v>9</v>
      </c>
      <c r="J7" s="3">
        <v>9</v>
      </c>
      <c r="K7" s="3">
        <v>9</v>
      </c>
      <c r="L7" s="3" t="s">
        <v>56</v>
      </c>
      <c r="M7" s="3">
        <v>9</v>
      </c>
      <c r="N7" s="3">
        <v>9</v>
      </c>
      <c r="O7" s="3">
        <v>9</v>
      </c>
      <c r="P7" s="3">
        <v>9</v>
      </c>
      <c r="Q7" s="3">
        <v>8</v>
      </c>
      <c r="R7" s="3">
        <v>8</v>
      </c>
      <c r="S7" s="3">
        <v>8</v>
      </c>
      <c r="T7" s="4">
        <f t="shared" si="0"/>
        <v>114</v>
      </c>
      <c r="U7" s="142" t="s">
        <v>56</v>
      </c>
      <c r="V7" s="44" t="s">
        <v>56</v>
      </c>
    </row>
    <row r="8" spans="1:22" s="1" customFormat="1" ht="25.15" customHeight="1" thickBot="1" x14ac:dyDescent="0.3">
      <c r="A8" s="71" t="s">
        <v>21</v>
      </c>
      <c r="B8" s="124" t="s">
        <v>270</v>
      </c>
      <c r="C8" s="136">
        <v>2753</v>
      </c>
      <c r="D8" s="19" t="s">
        <v>20</v>
      </c>
      <c r="E8" s="3" t="str">
        <f t="shared" si="1"/>
        <v>٨</v>
      </c>
      <c r="F8" s="3">
        <v>8</v>
      </c>
      <c r="G8" s="3">
        <v>7</v>
      </c>
      <c r="H8" s="3">
        <v>4</v>
      </c>
      <c r="I8" s="3">
        <v>8</v>
      </c>
      <c r="J8" s="3">
        <v>5</v>
      </c>
      <c r="K8" s="3">
        <v>9</v>
      </c>
      <c r="L8" s="3" t="s">
        <v>56</v>
      </c>
      <c r="M8" s="3">
        <v>5</v>
      </c>
      <c r="N8" s="3">
        <v>7</v>
      </c>
      <c r="O8" s="3">
        <v>8</v>
      </c>
      <c r="P8" s="3">
        <v>8</v>
      </c>
      <c r="Q8" s="3">
        <v>7</v>
      </c>
      <c r="R8" s="3">
        <v>7</v>
      </c>
      <c r="S8" s="3">
        <v>8</v>
      </c>
      <c r="T8" s="4">
        <f t="shared" si="0"/>
        <v>91</v>
      </c>
      <c r="U8" s="142" t="s">
        <v>56</v>
      </c>
      <c r="V8" s="44" t="s">
        <v>56</v>
      </c>
    </row>
    <row r="9" spans="1:22" s="1" customFormat="1" ht="25.15" customHeight="1" thickBot="1" x14ac:dyDescent="0.3">
      <c r="A9" s="126" t="s">
        <v>23</v>
      </c>
      <c r="B9" s="123" t="s">
        <v>271</v>
      </c>
      <c r="C9" s="85">
        <v>2798</v>
      </c>
      <c r="D9" s="19" t="s">
        <v>21</v>
      </c>
      <c r="E9" s="3" t="str">
        <f t="shared" si="1"/>
        <v>٩</v>
      </c>
      <c r="F9" s="3">
        <v>9</v>
      </c>
      <c r="G9" s="3">
        <v>9</v>
      </c>
      <c r="H9" s="3">
        <v>9</v>
      </c>
      <c r="I9" s="3">
        <v>9</v>
      </c>
      <c r="J9" s="3">
        <v>9</v>
      </c>
      <c r="K9" s="3">
        <v>9</v>
      </c>
      <c r="L9" s="3" t="s">
        <v>56</v>
      </c>
      <c r="M9" s="3">
        <v>9</v>
      </c>
      <c r="N9" s="3">
        <v>9</v>
      </c>
      <c r="O9" s="3">
        <v>6</v>
      </c>
      <c r="P9" s="3">
        <v>8</v>
      </c>
      <c r="Q9" s="3">
        <v>8</v>
      </c>
      <c r="R9" s="3">
        <v>7</v>
      </c>
      <c r="S9" s="3">
        <v>8</v>
      </c>
      <c r="T9" s="4">
        <f t="shared" si="0"/>
        <v>109</v>
      </c>
      <c r="U9" s="142" t="s">
        <v>56</v>
      </c>
      <c r="V9" s="44" t="s">
        <v>56</v>
      </c>
    </row>
    <row r="10" spans="1:22" s="1" customFormat="1" ht="25.15" customHeight="1" thickBot="1" x14ac:dyDescent="0.3">
      <c r="A10" s="127" t="s">
        <v>24</v>
      </c>
      <c r="B10" s="124" t="s">
        <v>272</v>
      </c>
      <c r="C10" s="85">
        <v>2801</v>
      </c>
      <c r="D10" s="19" t="s">
        <v>22</v>
      </c>
      <c r="E10" s="3" t="str">
        <f t="shared" si="1"/>
        <v>٩</v>
      </c>
      <c r="F10" s="3">
        <v>9</v>
      </c>
      <c r="G10" s="3">
        <v>4</v>
      </c>
      <c r="H10" s="3">
        <v>8</v>
      </c>
      <c r="I10" s="3">
        <v>7</v>
      </c>
      <c r="J10" s="3">
        <v>6</v>
      </c>
      <c r="K10" s="3">
        <v>7</v>
      </c>
      <c r="L10" s="3" t="s">
        <v>56</v>
      </c>
      <c r="M10" s="3">
        <v>5</v>
      </c>
      <c r="N10" s="3">
        <v>4</v>
      </c>
      <c r="O10" s="3">
        <v>8</v>
      </c>
      <c r="P10" s="3">
        <v>8</v>
      </c>
      <c r="Q10" s="3">
        <v>7</v>
      </c>
      <c r="R10" s="3">
        <v>7</v>
      </c>
      <c r="S10" s="3">
        <v>8</v>
      </c>
      <c r="T10" s="4">
        <f t="shared" si="0"/>
        <v>88</v>
      </c>
      <c r="U10" s="142" t="s">
        <v>56</v>
      </c>
      <c r="V10" s="44" t="s">
        <v>56</v>
      </c>
    </row>
    <row r="11" spans="1:22" s="1" customFormat="1" ht="25.15" customHeight="1" thickBot="1" x14ac:dyDescent="0.3">
      <c r="A11" s="127" t="s">
        <v>25</v>
      </c>
      <c r="B11" s="124" t="s">
        <v>273</v>
      </c>
      <c r="C11" s="84">
        <v>2860</v>
      </c>
      <c r="D11" s="19" t="s">
        <v>23</v>
      </c>
      <c r="E11" s="3" t="str">
        <f t="shared" si="1"/>
        <v>٩</v>
      </c>
      <c r="F11" s="3">
        <v>9</v>
      </c>
      <c r="G11" s="3">
        <v>9</v>
      </c>
      <c r="H11" s="3">
        <v>9</v>
      </c>
      <c r="I11" s="3">
        <v>9</v>
      </c>
      <c r="J11" s="3">
        <v>9</v>
      </c>
      <c r="K11" s="3">
        <v>9</v>
      </c>
      <c r="L11" s="3" t="s">
        <v>56</v>
      </c>
      <c r="M11" s="3">
        <v>9</v>
      </c>
      <c r="N11" s="3">
        <v>9</v>
      </c>
      <c r="O11" s="3">
        <v>9</v>
      </c>
      <c r="P11" s="3">
        <v>9</v>
      </c>
      <c r="Q11" s="3">
        <v>9</v>
      </c>
      <c r="R11" s="3">
        <v>9</v>
      </c>
      <c r="S11" s="3">
        <v>8</v>
      </c>
      <c r="T11" s="4">
        <f t="shared" si="0"/>
        <v>116</v>
      </c>
      <c r="U11" s="142">
        <v>3</v>
      </c>
      <c r="V11" s="44" t="s">
        <v>56</v>
      </c>
    </row>
    <row r="12" spans="1:22" s="1" customFormat="1" ht="25.15" customHeight="1" thickBot="1" x14ac:dyDescent="0.3">
      <c r="A12" s="127" t="s">
        <v>26</v>
      </c>
      <c r="B12" s="124" t="s">
        <v>274</v>
      </c>
      <c r="C12" s="85">
        <v>2696</v>
      </c>
      <c r="D12" s="19" t="s">
        <v>24</v>
      </c>
      <c r="E12" s="3" t="str">
        <f t="shared" si="1"/>
        <v>٩</v>
      </c>
      <c r="F12" s="3">
        <v>9</v>
      </c>
      <c r="G12" s="3">
        <v>9</v>
      </c>
      <c r="H12" s="3">
        <v>9</v>
      </c>
      <c r="I12" s="3">
        <v>7</v>
      </c>
      <c r="J12" s="3">
        <v>4</v>
      </c>
      <c r="K12" s="3">
        <v>9</v>
      </c>
      <c r="L12" s="3" t="s">
        <v>56</v>
      </c>
      <c r="M12" s="3">
        <v>6</v>
      </c>
      <c r="N12" s="3">
        <v>8</v>
      </c>
      <c r="O12" s="3">
        <v>8</v>
      </c>
      <c r="P12" s="3">
        <v>8</v>
      </c>
      <c r="Q12" s="3">
        <v>7</v>
      </c>
      <c r="R12" s="3">
        <v>8</v>
      </c>
      <c r="S12" s="3">
        <v>8</v>
      </c>
      <c r="T12" s="4">
        <f t="shared" si="0"/>
        <v>100</v>
      </c>
      <c r="U12" s="142" t="s">
        <v>56</v>
      </c>
      <c r="V12" s="44" t="s">
        <v>56</v>
      </c>
    </row>
    <row r="13" spans="1:22" s="1" customFormat="1" ht="25.15" customHeight="1" thickBot="1" x14ac:dyDescent="0.3">
      <c r="A13" s="71" t="s">
        <v>27</v>
      </c>
      <c r="B13" s="128" t="s">
        <v>282</v>
      </c>
      <c r="C13" s="85">
        <v>2864</v>
      </c>
      <c r="D13" s="19" t="s">
        <v>25</v>
      </c>
      <c r="E13" s="3" t="str">
        <f t="shared" si="1"/>
        <v>٩</v>
      </c>
      <c r="F13" s="3">
        <v>9</v>
      </c>
      <c r="G13" s="3">
        <v>9</v>
      </c>
      <c r="H13" s="3">
        <v>9</v>
      </c>
      <c r="I13" s="3">
        <v>9</v>
      </c>
      <c r="J13" s="3">
        <v>9</v>
      </c>
      <c r="K13" s="3">
        <v>9</v>
      </c>
      <c r="L13" s="3" t="s">
        <v>56</v>
      </c>
      <c r="M13" s="3">
        <v>9</v>
      </c>
      <c r="N13" s="3">
        <v>9</v>
      </c>
      <c r="O13" s="3">
        <v>9</v>
      </c>
      <c r="P13" s="3">
        <v>9</v>
      </c>
      <c r="Q13" s="3">
        <v>9</v>
      </c>
      <c r="R13" s="3">
        <v>8</v>
      </c>
      <c r="S13" s="3">
        <v>8</v>
      </c>
      <c r="T13" s="4">
        <f t="shared" si="0"/>
        <v>115</v>
      </c>
      <c r="U13" s="44">
        <v>1</v>
      </c>
      <c r="V13" s="44" t="s">
        <v>56</v>
      </c>
    </row>
    <row r="14" spans="1:22" s="168" customFormat="1" ht="25.15" customHeight="1" thickBot="1" x14ac:dyDescent="0.3">
      <c r="A14" s="199" t="s">
        <v>28</v>
      </c>
      <c r="B14" s="162" t="s">
        <v>275</v>
      </c>
      <c r="C14" s="163">
        <v>2830</v>
      </c>
      <c r="D14" s="164" t="s">
        <v>26</v>
      </c>
      <c r="E14" s="165" t="str">
        <f t="shared" si="1"/>
        <v>٨</v>
      </c>
      <c r="F14" s="165">
        <v>8</v>
      </c>
      <c r="G14" s="165">
        <v>8</v>
      </c>
      <c r="H14" s="165">
        <v>7</v>
      </c>
      <c r="I14" s="165">
        <v>6</v>
      </c>
      <c r="J14" s="165">
        <v>4</v>
      </c>
      <c r="K14" s="165">
        <v>7</v>
      </c>
      <c r="L14" s="165" t="s">
        <v>56</v>
      </c>
      <c r="M14" s="165">
        <v>6</v>
      </c>
      <c r="N14" s="165">
        <v>4</v>
      </c>
      <c r="O14" s="165">
        <v>7</v>
      </c>
      <c r="P14" s="165">
        <v>7</v>
      </c>
      <c r="Q14" s="165">
        <v>8</v>
      </c>
      <c r="R14" s="165">
        <v>8</v>
      </c>
      <c r="S14" s="165">
        <v>8</v>
      </c>
      <c r="T14" s="165">
        <f t="shared" si="0"/>
        <v>88</v>
      </c>
      <c r="U14" s="167">
        <v>2</v>
      </c>
      <c r="V14" s="167" t="s">
        <v>56</v>
      </c>
    </row>
    <row r="15" spans="1:22" s="1" customFormat="1" ht="25.15" customHeight="1" thickBot="1" x14ac:dyDescent="0.3">
      <c r="A15" s="71" t="s">
        <v>29</v>
      </c>
      <c r="B15" s="124" t="s">
        <v>276</v>
      </c>
      <c r="C15" s="134">
        <v>2659</v>
      </c>
      <c r="D15" s="19" t="s">
        <v>27</v>
      </c>
      <c r="E15" s="3" t="str">
        <f t="shared" si="1"/>
        <v>٦</v>
      </c>
      <c r="F15" s="3">
        <v>6</v>
      </c>
      <c r="G15" s="3">
        <v>7</v>
      </c>
      <c r="H15" s="3">
        <v>8</v>
      </c>
      <c r="I15" s="3">
        <v>5</v>
      </c>
      <c r="J15" s="3">
        <v>7</v>
      </c>
      <c r="K15" s="3">
        <v>7</v>
      </c>
      <c r="L15" s="3" t="s">
        <v>56</v>
      </c>
      <c r="M15" s="3">
        <v>8</v>
      </c>
      <c r="N15" s="3">
        <v>5</v>
      </c>
      <c r="O15" s="3">
        <v>8</v>
      </c>
      <c r="P15" s="3">
        <v>7</v>
      </c>
      <c r="Q15" s="3">
        <v>7</v>
      </c>
      <c r="R15" s="3">
        <v>7</v>
      </c>
      <c r="S15" s="3">
        <v>8</v>
      </c>
      <c r="T15" s="4">
        <f t="shared" si="0"/>
        <v>90</v>
      </c>
      <c r="U15" s="44">
        <v>2</v>
      </c>
      <c r="V15" s="44" t="s">
        <v>56</v>
      </c>
    </row>
    <row r="16" spans="1:22" s="1" customFormat="1" ht="25.15" customHeight="1" thickBot="1" x14ac:dyDescent="0.3">
      <c r="A16" s="71" t="s">
        <v>30</v>
      </c>
      <c r="B16" s="124" t="s">
        <v>277</v>
      </c>
      <c r="C16" s="85">
        <v>2736</v>
      </c>
      <c r="D16" s="19" t="s">
        <v>28</v>
      </c>
      <c r="E16" s="3" t="str">
        <f t="shared" si="1"/>
        <v>٨</v>
      </c>
      <c r="F16" s="3">
        <v>8</v>
      </c>
      <c r="G16" s="3">
        <v>9</v>
      </c>
      <c r="H16" s="3">
        <v>9</v>
      </c>
      <c r="I16" s="3">
        <v>7</v>
      </c>
      <c r="J16" s="3">
        <v>5</v>
      </c>
      <c r="K16" s="3">
        <v>7</v>
      </c>
      <c r="L16" s="3" t="s">
        <v>56</v>
      </c>
      <c r="M16" s="3">
        <v>9</v>
      </c>
      <c r="N16" s="3">
        <v>7</v>
      </c>
      <c r="O16" s="3">
        <v>8</v>
      </c>
      <c r="P16" s="3">
        <v>8</v>
      </c>
      <c r="Q16" s="3">
        <v>8</v>
      </c>
      <c r="R16" s="3">
        <v>8</v>
      </c>
      <c r="S16" s="3">
        <v>8</v>
      </c>
      <c r="T16" s="4">
        <f t="shared" si="0"/>
        <v>101</v>
      </c>
      <c r="U16" s="44">
        <v>3</v>
      </c>
      <c r="V16" s="44" t="s">
        <v>56</v>
      </c>
    </row>
    <row r="17" spans="1:22" s="168" customFormat="1" ht="25.15" customHeight="1" thickBot="1" x14ac:dyDescent="0.3">
      <c r="A17" s="199">
        <v>18</v>
      </c>
      <c r="B17" s="169" t="s">
        <v>278</v>
      </c>
      <c r="C17" s="200">
        <v>2873</v>
      </c>
      <c r="D17" s="164" t="s">
        <v>29</v>
      </c>
      <c r="E17" s="165" t="str">
        <f t="shared" si="1"/>
        <v>٨</v>
      </c>
      <c r="F17" s="165">
        <v>8</v>
      </c>
      <c r="G17" s="165">
        <v>7</v>
      </c>
      <c r="H17" s="165">
        <v>9</v>
      </c>
      <c r="I17" s="165">
        <v>5</v>
      </c>
      <c r="J17" s="165">
        <v>7</v>
      </c>
      <c r="K17" s="165">
        <v>9</v>
      </c>
      <c r="L17" s="165" t="s">
        <v>56</v>
      </c>
      <c r="M17" s="165">
        <v>9</v>
      </c>
      <c r="N17" s="165">
        <v>8</v>
      </c>
      <c r="O17" s="165">
        <v>6</v>
      </c>
      <c r="P17" s="165">
        <v>8</v>
      </c>
      <c r="Q17" s="165">
        <v>8</v>
      </c>
      <c r="R17" s="165">
        <v>8</v>
      </c>
      <c r="S17" s="165">
        <v>8</v>
      </c>
      <c r="T17" s="165">
        <f t="shared" si="0"/>
        <v>100</v>
      </c>
      <c r="U17" s="167">
        <v>2</v>
      </c>
      <c r="V17" s="167" t="s">
        <v>56</v>
      </c>
    </row>
    <row r="18" spans="1:22" s="1" customFormat="1" ht="25.15" customHeight="1" thickBot="1" x14ac:dyDescent="0.3">
      <c r="A18" s="71" t="s">
        <v>32</v>
      </c>
      <c r="B18" s="124" t="s">
        <v>279</v>
      </c>
      <c r="C18" s="85">
        <v>2770</v>
      </c>
      <c r="D18" s="19" t="s">
        <v>30</v>
      </c>
      <c r="E18" s="3" t="str">
        <f t="shared" si="1"/>
        <v>٩</v>
      </c>
      <c r="F18" s="3">
        <v>9</v>
      </c>
      <c r="G18" s="3">
        <v>8</v>
      </c>
      <c r="H18" s="3">
        <v>7</v>
      </c>
      <c r="I18" s="3">
        <v>6</v>
      </c>
      <c r="J18" s="3">
        <v>8</v>
      </c>
      <c r="K18" s="3">
        <v>9</v>
      </c>
      <c r="L18" s="3" t="s">
        <v>56</v>
      </c>
      <c r="M18" s="3">
        <v>7</v>
      </c>
      <c r="N18" s="3">
        <v>7</v>
      </c>
      <c r="O18" s="3">
        <v>8</v>
      </c>
      <c r="P18" s="3">
        <v>8</v>
      </c>
      <c r="Q18" s="3">
        <v>8</v>
      </c>
      <c r="R18" s="3">
        <v>8</v>
      </c>
      <c r="S18" s="3">
        <v>8</v>
      </c>
      <c r="T18" s="4">
        <f t="shared" si="0"/>
        <v>101</v>
      </c>
      <c r="U18" s="44" t="s">
        <v>56</v>
      </c>
      <c r="V18" s="44" t="s">
        <v>56</v>
      </c>
    </row>
    <row r="19" spans="1:22" s="1" customFormat="1" ht="25.15" customHeight="1" thickBot="1" x14ac:dyDescent="0.3">
      <c r="A19" s="71">
        <v>20</v>
      </c>
      <c r="B19" s="124" t="s">
        <v>280</v>
      </c>
      <c r="C19" s="134">
        <v>2740</v>
      </c>
      <c r="D19" s="19" t="s">
        <v>31</v>
      </c>
      <c r="E19" s="3" t="str">
        <f t="shared" si="1"/>
        <v>٩</v>
      </c>
      <c r="F19" s="3">
        <v>9</v>
      </c>
      <c r="G19" s="3">
        <v>8</v>
      </c>
      <c r="H19" s="3">
        <v>7</v>
      </c>
      <c r="I19" s="3">
        <v>4</v>
      </c>
      <c r="J19" s="3">
        <v>7</v>
      </c>
      <c r="K19" s="3">
        <v>7</v>
      </c>
      <c r="L19" s="3" t="s">
        <v>56</v>
      </c>
      <c r="M19" s="3">
        <v>7</v>
      </c>
      <c r="N19" s="3">
        <v>6</v>
      </c>
      <c r="O19" s="3">
        <v>9</v>
      </c>
      <c r="P19" s="3">
        <v>7</v>
      </c>
      <c r="Q19" s="3">
        <v>7</v>
      </c>
      <c r="R19" s="3">
        <v>8</v>
      </c>
      <c r="S19" s="3">
        <v>8</v>
      </c>
      <c r="T19" s="4">
        <f t="shared" si="0"/>
        <v>94</v>
      </c>
      <c r="U19" s="44" t="s">
        <v>56</v>
      </c>
      <c r="V19" s="44" t="s">
        <v>56</v>
      </c>
    </row>
    <row r="20" spans="1:22" s="1" customFormat="1" ht="25.15" customHeight="1" thickBot="1" x14ac:dyDescent="0.3">
      <c r="A20" s="71">
        <v>21</v>
      </c>
      <c r="B20" s="124" t="s">
        <v>281</v>
      </c>
      <c r="C20" s="134">
        <v>2667</v>
      </c>
      <c r="D20" s="19" t="s">
        <v>32</v>
      </c>
      <c r="E20" s="3" t="str">
        <f t="shared" si="1"/>
        <v>٩</v>
      </c>
      <c r="F20" s="3">
        <v>9</v>
      </c>
      <c r="G20" s="3">
        <v>9</v>
      </c>
      <c r="H20" s="3">
        <v>9</v>
      </c>
      <c r="I20" s="3">
        <v>8</v>
      </c>
      <c r="J20" s="3">
        <v>6</v>
      </c>
      <c r="K20" s="3">
        <v>9</v>
      </c>
      <c r="L20" s="3" t="s">
        <v>56</v>
      </c>
      <c r="M20" s="3">
        <v>9</v>
      </c>
      <c r="N20" s="3">
        <v>9</v>
      </c>
      <c r="O20" s="3">
        <v>9</v>
      </c>
      <c r="P20" s="3">
        <v>8</v>
      </c>
      <c r="Q20" s="3">
        <v>8</v>
      </c>
      <c r="R20" s="3">
        <v>7</v>
      </c>
      <c r="S20" s="3">
        <v>8</v>
      </c>
      <c r="T20" s="4">
        <f t="shared" si="0"/>
        <v>108</v>
      </c>
      <c r="U20" s="44" t="s">
        <v>56</v>
      </c>
      <c r="V20" s="44" t="s">
        <v>56</v>
      </c>
    </row>
    <row r="21" spans="1:22" s="168" customFormat="1" ht="25.15" customHeight="1" thickBot="1" x14ac:dyDescent="0.3">
      <c r="A21" s="199">
        <v>22</v>
      </c>
      <c r="B21" s="184" t="s">
        <v>283</v>
      </c>
      <c r="C21" s="170">
        <v>2671</v>
      </c>
      <c r="D21" s="164" t="s">
        <v>33</v>
      </c>
      <c r="E21" s="165" t="str">
        <f t="shared" si="1"/>
        <v>٥</v>
      </c>
      <c r="F21" s="165">
        <v>5</v>
      </c>
      <c r="G21" s="165">
        <v>9</v>
      </c>
      <c r="H21" s="165">
        <v>9</v>
      </c>
      <c r="I21" s="165">
        <v>6</v>
      </c>
      <c r="J21" s="165">
        <v>4</v>
      </c>
      <c r="K21" s="165">
        <v>8</v>
      </c>
      <c r="L21" s="165" t="s">
        <v>56</v>
      </c>
      <c r="M21" s="165">
        <v>5</v>
      </c>
      <c r="N21" s="165">
        <v>7</v>
      </c>
      <c r="O21" s="165">
        <v>6</v>
      </c>
      <c r="P21" s="165">
        <v>8</v>
      </c>
      <c r="Q21" s="165">
        <v>7</v>
      </c>
      <c r="R21" s="165">
        <v>8</v>
      </c>
      <c r="S21" s="165">
        <v>8</v>
      </c>
      <c r="T21" s="165">
        <f t="shared" si="0"/>
        <v>90</v>
      </c>
      <c r="U21" s="167">
        <v>2</v>
      </c>
      <c r="V21" s="167"/>
    </row>
    <row r="22" spans="1:22" s="1" customFormat="1" ht="25.15" customHeight="1" thickBot="1" x14ac:dyDescent="0.3">
      <c r="A22" s="71">
        <v>23</v>
      </c>
      <c r="B22" s="123" t="s">
        <v>224</v>
      </c>
      <c r="C22" s="160">
        <v>2842</v>
      </c>
      <c r="D22" s="19" t="s">
        <v>34</v>
      </c>
      <c r="E22" s="3" t="str">
        <f t="shared" si="1"/>
        <v>٩</v>
      </c>
      <c r="F22" s="3">
        <v>9</v>
      </c>
      <c r="G22" s="3">
        <v>9</v>
      </c>
      <c r="H22" s="3">
        <v>9</v>
      </c>
      <c r="I22" s="3">
        <v>6</v>
      </c>
      <c r="J22" s="3">
        <v>6</v>
      </c>
      <c r="K22" s="3">
        <v>9</v>
      </c>
      <c r="L22" s="3" t="s">
        <v>56</v>
      </c>
      <c r="M22" s="3">
        <v>9</v>
      </c>
      <c r="N22" s="3">
        <v>9</v>
      </c>
      <c r="O22" s="3">
        <v>8</v>
      </c>
      <c r="P22" s="3">
        <v>8</v>
      </c>
      <c r="Q22" s="3">
        <v>8</v>
      </c>
      <c r="R22" s="3">
        <v>7</v>
      </c>
      <c r="S22" s="3">
        <v>8</v>
      </c>
      <c r="T22" s="4">
        <f t="shared" si="0"/>
        <v>105</v>
      </c>
      <c r="U22" s="44" t="s">
        <v>56</v>
      </c>
      <c r="V22" s="44" t="s">
        <v>56</v>
      </c>
    </row>
    <row r="23" spans="1:22" s="1" customFormat="1" ht="25.15" customHeight="1" thickBot="1" x14ac:dyDescent="0.3">
      <c r="A23" s="71">
        <v>24</v>
      </c>
      <c r="B23" s="124" t="s">
        <v>284</v>
      </c>
      <c r="C23" s="84">
        <v>2874</v>
      </c>
      <c r="D23" s="19" t="s">
        <v>35</v>
      </c>
      <c r="E23" s="3" t="str">
        <f t="shared" si="1"/>
        <v>٦</v>
      </c>
      <c r="F23" s="3">
        <v>6</v>
      </c>
      <c r="G23" s="3">
        <v>5</v>
      </c>
      <c r="H23" s="3">
        <v>7</v>
      </c>
      <c r="I23" s="3">
        <v>6</v>
      </c>
      <c r="J23" s="3">
        <v>6</v>
      </c>
      <c r="K23" s="3">
        <v>7</v>
      </c>
      <c r="L23" s="3" t="s">
        <v>56</v>
      </c>
      <c r="M23" s="3">
        <v>7</v>
      </c>
      <c r="N23" s="3">
        <v>6</v>
      </c>
      <c r="O23" s="3">
        <v>6</v>
      </c>
      <c r="P23" s="3">
        <v>7</v>
      </c>
      <c r="Q23" s="3">
        <v>8</v>
      </c>
      <c r="R23" s="3">
        <v>8</v>
      </c>
      <c r="S23" s="3">
        <v>8</v>
      </c>
      <c r="T23" s="4">
        <f t="shared" si="0"/>
        <v>87</v>
      </c>
      <c r="U23" s="44" t="s">
        <v>56</v>
      </c>
      <c r="V23" s="44" t="s">
        <v>56</v>
      </c>
    </row>
    <row r="24" spans="1:22" s="1" customFormat="1" ht="25.15" customHeight="1" thickBot="1" x14ac:dyDescent="0.3">
      <c r="A24" s="71">
        <v>25</v>
      </c>
      <c r="B24" s="124" t="s">
        <v>285</v>
      </c>
      <c r="C24" s="136">
        <v>2780</v>
      </c>
      <c r="D24" s="19" t="s">
        <v>36</v>
      </c>
      <c r="E24" s="3" t="str">
        <f t="shared" si="1"/>
        <v>٨</v>
      </c>
      <c r="F24" s="3">
        <v>8</v>
      </c>
      <c r="G24" s="3">
        <v>8</v>
      </c>
      <c r="H24" s="3">
        <v>8</v>
      </c>
      <c r="I24" s="3">
        <v>5</v>
      </c>
      <c r="J24" s="3">
        <v>7</v>
      </c>
      <c r="K24" s="3">
        <v>8</v>
      </c>
      <c r="L24" s="3" t="s">
        <v>56</v>
      </c>
      <c r="M24" s="3">
        <v>7</v>
      </c>
      <c r="N24" s="3">
        <v>7</v>
      </c>
      <c r="O24" s="3">
        <v>5</v>
      </c>
      <c r="P24" s="3">
        <v>8</v>
      </c>
      <c r="Q24" s="3">
        <v>8</v>
      </c>
      <c r="R24" s="3">
        <v>8</v>
      </c>
      <c r="S24" s="3">
        <v>8</v>
      </c>
      <c r="T24" s="4">
        <f t="shared" si="0"/>
        <v>95</v>
      </c>
      <c r="U24" s="44">
        <v>6</v>
      </c>
      <c r="V24" s="44" t="s">
        <v>56</v>
      </c>
    </row>
    <row r="25" spans="1:22" s="168" customFormat="1" ht="25.15" customHeight="1" thickBot="1" x14ac:dyDescent="0.3">
      <c r="A25" s="199">
        <v>26</v>
      </c>
      <c r="B25" s="169" t="s">
        <v>286</v>
      </c>
      <c r="C25" s="197">
        <v>2817</v>
      </c>
      <c r="D25" s="164" t="s">
        <v>37</v>
      </c>
      <c r="E25" s="165" t="str">
        <f t="shared" si="1"/>
        <v>٨</v>
      </c>
      <c r="F25" s="165">
        <v>8</v>
      </c>
      <c r="G25" s="165">
        <v>6</v>
      </c>
      <c r="H25" s="165">
        <v>9</v>
      </c>
      <c r="I25" s="165">
        <v>7</v>
      </c>
      <c r="J25" s="165">
        <v>7</v>
      </c>
      <c r="K25" s="165">
        <v>4</v>
      </c>
      <c r="L25" s="165" t="s">
        <v>56</v>
      </c>
      <c r="M25" s="165">
        <v>7</v>
      </c>
      <c r="N25" s="165">
        <v>9</v>
      </c>
      <c r="O25" s="165">
        <v>6</v>
      </c>
      <c r="P25" s="165">
        <v>8</v>
      </c>
      <c r="Q25" s="165">
        <v>8</v>
      </c>
      <c r="R25" s="165">
        <v>8</v>
      </c>
      <c r="S25" s="165">
        <v>8</v>
      </c>
      <c r="T25" s="165">
        <f t="shared" si="0"/>
        <v>95</v>
      </c>
      <c r="U25" s="167">
        <v>2</v>
      </c>
      <c r="V25" s="167" t="s">
        <v>56</v>
      </c>
    </row>
    <row r="26" spans="1:22" s="1" customFormat="1" ht="25.15" customHeight="1" thickBot="1" x14ac:dyDescent="0.3">
      <c r="A26" s="71">
        <v>27</v>
      </c>
      <c r="B26" s="124" t="s">
        <v>287</v>
      </c>
      <c r="C26" s="135">
        <v>2847</v>
      </c>
      <c r="D26" s="19" t="s">
        <v>38</v>
      </c>
      <c r="E26" s="3" t="str">
        <f t="shared" si="1"/>
        <v>٩</v>
      </c>
      <c r="F26" s="3">
        <v>9</v>
      </c>
      <c r="G26" s="3">
        <v>9</v>
      </c>
      <c r="H26" s="3">
        <v>9</v>
      </c>
      <c r="I26" s="3">
        <v>9</v>
      </c>
      <c r="J26" s="3">
        <v>9</v>
      </c>
      <c r="K26" s="3">
        <v>9</v>
      </c>
      <c r="L26" s="3" t="s">
        <v>56</v>
      </c>
      <c r="M26" s="3">
        <v>9</v>
      </c>
      <c r="N26" s="3">
        <v>8</v>
      </c>
      <c r="O26" s="3">
        <v>7</v>
      </c>
      <c r="P26" s="3">
        <v>8</v>
      </c>
      <c r="Q26" s="3">
        <v>8</v>
      </c>
      <c r="R26" s="3">
        <v>8</v>
      </c>
      <c r="S26" s="3">
        <v>8</v>
      </c>
      <c r="T26" s="4">
        <f t="shared" si="0"/>
        <v>110</v>
      </c>
      <c r="U26" s="44">
        <v>1</v>
      </c>
      <c r="V26" s="44" t="s">
        <v>56</v>
      </c>
    </row>
    <row r="27" spans="1:22" s="2" customFormat="1" ht="25.15" customHeight="1" thickBot="1" x14ac:dyDescent="0.3">
      <c r="A27" s="71">
        <v>28</v>
      </c>
      <c r="B27" s="124" t="s">
        <v>288</v>
      </c>
      <c r="C27" s="84">
        <v>2881</v>
      </c>
      <c r="D27" s="19" t="s">
        <v>39</v>
      </c>
      <c r="E27" s="3" t="str">
        <f t="shared" si="1"/>
        <v>٩</v>
      </c>
      <c r="F27" s="3">
        <v>9</v>
      </c>
      <c r="G27" s="3">
        <v>9</v>
      </c>
      <c r="H27" s="3">
        <v>9</v>
      </c>
      <c r="I27" s="3">
        <v>9</v>
      </c>
      <c r="J27" s="3">
        <v>7</v>
      </c>
      <c r="K27" s="3">
        <v>9</v>
      </c>
      <c r="L27" s="3" t="s">
        <v>56</v>
      </c>
      <c r="M27" s="3">
        <v>7</v>
      </c>
      <c r="N27" s="3">
        <v>7</v>
      </c>
      <c r="O27" s="3">
        <v>7</v>
      </c>
      <c r="P27" s="3">
        <v>8</v>
      </c>
      <c r="Q27" s="3">
        <v>8</v>
      </c>
      <c r="R27" s="3">
        <v>8</v>
      </c>
      <c r="S27" s="3">
        <v>8</v>
      </c>
      <c r="T27" s="4">
        <f t="shared" si="0"/>
        <v>105</v>
      </c>
      <c r="U27" s="44" t="s">
        <v>56</v>
      </c>
      <c r="V27" s="44" t="s">
        <v>56</v>
      </c>
    </row>
    <row r="28" spans="1:22" s="176" customFormat="1" ht="25.15" customHeight="1" thickBot="1" x14ac:dyDescent="0.3">
      <c r="A28" s="199">
        <v>29</v>
      </c>
      <c r="B28" s="169" t="s">
        <v>289</v>
      </c>
      <c r="C28" s="185">
        <v>2905</v>
      </c>
      <c r="D28" s="164" t="s">
        <v>40</v>
      </c>
      <c r="E28" s="165" t="str">
        <f t="shared" si="1"/>
        <v>٩</v>
      </c>
      <c r="F28" s="165">
        <v>9</v>
      </c>
      <c r="G28" s="165">
        <v>9</v>
      </c>
      <c r="H28" s="165">
        <v>9</v>
      </c>
      <c r="I28" s="165">
        <v>9</v>
      </c>
      <c r="J28" s="165">
        <v>9</v>
      </c>
      <c r="K28" s="165">
        <v>9</v>
      </c>
      <c r="L28" s="165" t="s">
        <v>56</v>
      </c>
      <c r="M28" s="165">
        <v>9</v>
      </c>
      <c r="N28" s="165">
        <v>9</v>
      </c>
      <c r="O28" s="165">
        <v>9</v>
      </c>
      <c r="P28" s="165">
        <v>9</v>
      </c>
      <c r="Q28" s="165">
        <v>9</v>
      </c>
      <c r="R28" s="165">
        <v>9</v>
      </c>
      <c r="S28" s="165">
        <v>8</v>
      </c>
      <c r="T28" s="165">
        <f t="shared" si="0"/>
        <v>116</v>
      </c>
      <c r="U28" s="167">
        <v>2</v>
      </c>
      <c r="V28" s="167" t="s">
        <v>56</v>
      </c>
    </row>
    <row r="29" spans="1:22" s="176" customFormat="1" ht="27" customHeight="1" thickBot="1" x14ac:dyDescent="0.3">
      <c r="A29" s="199">
        <v>30</v>
      </c>
      <c r="B29" s="169" t="s">
        <v>290</v>
      </c>
      <c r="C29" s="185">
        <v>2717</v>
      </c>
      <c r="D29" s="164" t="s">
        <v>41</v>
      </c>
      <c r="E29" s="165" t="str">
        <f t="shared" si="1"/>
        <v>٩</v>
      </c>
      <c r="F29" s="165">
        <v>9</v>
      </c>
      <c r="G29" s="165">
        <v>5</v>
      </c>
      <c r="H29" s="165">
        <v>9</v>
      </c>
      <c r="I29" s="165">
        <v>9</v>
      </c>
      <c r="J29" s="165">
        <v>5</v>
      </c>
      <c r="K29" s="165">
        <v>8</v>
      </c>
      <c r="L29" s="165" t="s">
        <v>56</v>
      </c>
      <c r="M29" s="165">
        <v>9</v>
      </c>
      <c r="N29" s="165">
        <v>6</v>
      </c>
      <c r="O29" s="165">
        <v>7</v>
      </c>
      <c r="P29" s="165">
        <v>8</v>
      </c>
      <c r="Q29" s="165">
        <v>8</v>
      </c>
      <c r="R29" s="165">
        <v>8</v>
      </c>
      <c r="S29" s="165">
        <v>8</v>
      </c>
      <c r="T29" s="165">
        <f t="shared" si="0"/>
        <v>99</v>
      </c>
      <c r="U29" s="167">
        <v>4</v>
      </c>
      <c r="V29" s="167" t="s">
        <v>56</v>
      </c>
    </row>
    <row r="30" spans="1:22" s="2" customFormat="1" ht="25.15" customHeight="1" thickBot="1" x14ac:dyDescent="0.3">
      <c r="A30" s="71">
        <v>31</v>
      </c>
      <c r="B30" s="124" t="s">
        <v>291</v>
      </c>
      <c r="C30" s="84">
        <v>2718</v>
      </c>
      <c r="D30" s="19" t="s">
        <v>42</v>
      </c>
      <c r="E30" s="3" t="str">
        <f t="shared" si="1"/>
        <v>٥</v>
      </c>
      <c r="F30" s="3">
        <v>5</v>
      </c>
      <c r="G30" s="3">
        <v>6</v>
      </c>
      <c r="H30" s="3">
        <v>9</v>
      </c>
      <c r="I30" s="3">
        <v>6</v>
      </c>
      <c r="J30" s="3">
        <v>6</v>
      </c>
      <c r="K30" s="3">
        <v>9</v>
      </c>
      <c r="L30" s="3" t="s">
        <v>56</v>
      </c>
      <c r="M30" s="3">
        <v>9</v>
      </c>
      <c r="N30" s="3">
        <v>7</v>
      </c>
      <c r="O30" s="3">
        <v>7</v>
      </c>
      <c r="P30" s="3">
        <v>8</v>
      </c>
      <c r="Q30" s="3">
        <v>8</v>
      </c>
      <c r="R30" s="3">
        <v>8</v>
      </c>
      <c r="S30" s="3">
        <v>8</v>
      </c>
      <c r="T30" s="4">
        <f t="shared" si="0"/>
        <v>96</v>
      </c>
      <c r="U30" s="44">
        <v>1</v>
      </c>
      <c r="V30" s="44" t="s">
        <v>56</v>
      </c>
    </row>
    <row r="31" spans="1:22" s="176" customFormat="1" ht="25.15" customHeight="1" thickBot="1" x14ac:dyDescent="0.3">
      <c r="A31" s="199">
        <v>32</v>
      </c>
      <c r="B31" s="169" t="s">
        <v>292</v>
      </c>
      <c r="C31" s="163">
        <v>2787</v>
      </c>
      <c r="D31" s="164" t="s">
        <v>43</v>
      </c>
      <c r="E31" s="165" t="str">
        <f t="shared" si="1"/>
        <v>٩</v>
      </c>
      <c r="F31" s="165">
        <v>9</v>
      </c>
      <c r="G31" s="165">
        <v>9</v>
      </c>
      <c r="H31" s="165">
        <v>9</v>
      </c>
      <c r="I31" s="165">
        <v>9</v>
      </c>
      <c r="J31" s="165">
        <v>9</v>
      </c>
      <c r="K31" s="165">
        <v>9</v>
      </c>
      <c r="L31" s="165" t="s">
        <v>56</v>
      </c>
      <c r="M31" s="165">
        <v>9</v>
      </c>
      <c r="N31" s="165">
        <v>9</v>
      </c>
      <c r="O31" s="165">
        <v>9</v>
      </c>
      <c r="P31" s="165">
        <v>9</v>
      </c>
      <c r="Q31" s="165">
        <v>9</v>
      </c>
      <c r="R31" s="165">
        <v>9</v>
      </c>
      <c r="S31" s="165">
        <v>8</v>
      </c>
      <c r="T31" s="165">
        <f t="shared" si="0"/>
        <v>116</v>
      </c>
      <c r="U31" s="167">
        <v>2</v>
      </c>
      <c r="V31" s="167" t="s">
        <v>56</v>
      </c>
    </row>
    <row r="32" spans="1:22" s="9" customFormat="1" ht="25.15" customHeight="1" x14ac:dyDescent="0.25">
      <c r="A32" s="35"/>
      <c r="B32" s="87" t="s">
        <v>50</v>
      </c>
      <c r="C32" s="7"/>
      <c r="D32" s="7"/>
      <c r="E32" s="3" t="str">
        <f t="shared" si="1"/>
        <v>٢٤٥</v>
      </c>
      <c r="F32" s="38">
        <f t="shared" ref="F32:S32" si="2">SUM(F2:F31)</f>
        <v>245</v>
      </c>
      <c r="G32" s="8">
        <f t="shared" si="2"/>
        <v>232</v>
      </c>
      <c r="H32" s="8">
        <f t="shared" si="2"/>
        <v>250</v>
      </c>
      <c r="I32" s="24">
        <f t="shared" si="2"/>
        <v>215</v>
      </c>
      <c r="J32" s="8">
        <f t="shared" si="2"/>
        <v>204</v>
      </c>
      <c r="K32" s="8">
        <f t="shared" si="2"/>
        <v>243</v>
      </c>
      <c r="L32" s="8">
        <f t="shared" si="2"/>
        <v>0</v>
      </c>
      <c r="M32" s="8">
        <f t="shared" si="2"/>
        <v>229</v>
      </c>
      <c r="N32" s="8">
        <f t="shared" si="2"/>
        <v>224</v>
      </c>
      <c r="O32" s="24">
        <f t="shared" si="2"/>
        <v>223</v>
      </c>
      <c r="P32" s="8">
        <f t="shared" si="2"/>
        <v>240</v>
      </c>
      <c r="Q32" s="8">
        <f t="shared" si="2"/>
        <v>237</v>
      </c>
      <c r="R32" s="8">
        <f t="shared" si="2"/>
        <v>235</v>
      </c>
      <c r="S32" s="8">
        <f t="shared" si="2"/>
        <v>240</v>
      </c>
      <c r="T32" s="8"/>
      <c r="U32" s="44" t="s">
        <v>56</v>
      </c>
      <c r="V32" s="44" t="s">
        <v>56</v>
      </c>
    </row>
    <row r="33" spans="1:22" ht="15" customHeight="1" x14ac:dyDescent="0.25">
      <c r="A33" s="17"/>
      <c r="B33" s="88"/>
      <c r="C33" s="7"/>
      <c r="D33" s="7"/>
      <c r="E33" s="3"/>
      <c r="F33" s="5"/>
      <c r="G33" s="5"/>
      <c r="H33" s="5"/>
      <c r="I33" s="25"/>
      <c r="J33" s="5"/>
      <c r="K33" s="5"/>
      <c r="L33" s="5"/>
      <c r="M33" s="5"/>
      <c r="N33" s="5"/>
      <c r="O33" s="25"/>
      <c r="P33" s="5"/>
      <c r="Q33" s="5"/>
      <c r="R33" s="5"/>
      <c r="S33" s="5"/>
      <c r="T33" s="6"/>
      <c r="U33" s="44" t="s">
        <v>56</v>
      </c>
      <c r="V33" s="44" t="s">
        <v>56</v>
      </c>
    </row>
    <row r="34" spans="1:22" ht="15" customHeight="1" x14ac:dyDescent="0.25">
      <c r="A34" s="17"/>
      <c r="B34" s="88"/>
      <c r="C34" s="7"/>
      <c r="D34" s="7"/>
      <c r="E34" s="3"/>
      <c r="F34" s="5"/>
      <c r="G34" s="5"/>
      <c r="H34" s="5"/>
      <c r="I34" s="25"/>
      <c r="J34" s="5"/>
      <c r="K34" s="5"/>
      <c r="L34" s="5"/>
      <c r="M34" s="5"/>
      <c r="N34" s="5"/>
      <c r="O34" s="25"/>
      <c r="P34" s="5"/>
      <c r="Q34" s="5"/>
      <c r="R34" s="5"/>
      <c r="S34" s="5"/>
      <c r="T34" s="6"/>
      <c r="U34" s="44" t="s">
        <v>56</v>
      </c>
      <c r="V34" s="44" t="s">
        <v>56</v>
      </c>
    </row>
    <row r="35" spans="1:22" s="18" customFormat="1" ht="15" customHeight="1" x14ac:dyDescent="0.25">
      <c r="A35" s="17"/>
      <c r="B35" s="88"/>
      <c r="C35" s="7"/>
      <c r="D35" s="7"/>
      <c r="E35" s="3"/>
      <c r="F35" s="5"/>
      <c r="G35" s="5"/>
      <c r="H35" s="5"/>
      <c r="I35" s="25"/>
      <c r="J35" s="5"/>
      <c r="K35" s="5"/>
      <c r="L35" s="5"/>
      <c r="M35" s="5"/>
      <c r="N35" s="5"/>
      <c r="O35" s="25"/>
      <c r="P35" s="5"/>
      <c r="Q35" s="5"/>
      <c r="R35" s="5"/>
      <c r="S35" s="5"/>
      <c r="T35" s="6"/>
      <c r="U35" s="9"/>
      <c r="V35" s="9"/>
    </row>
    <row r="36" spans="1:22" s="18" customFormat="1" ht="20.25" customHeight="1" x14ac:dyDescent="0.25">
      <c r="A36" s="17"/>
      <c r="B36" s="88"/>
      <c r="C36" s="7"/>
      <c r="D36" s="7"/>
      <c r="E36" s="3"/>
      <c r="F36" s="5"/>
      <c r="G36" s="4"/>
      <c r="H36" s="14" t="s">
        <v>49</v>
      </c>
      <c r="I36" s="23"/>
      <c r="J36" s="5"/>
      <c r="K36" s="5"/>
      <c r="L36" s="5"/>
      <c r="M36" s="5"/>
      <c r="N36" s="5"/>
      <c r="O36" s="25"/>
      <c r="P36" s="5"/>
      <c r="Q36" s="5"/>
      <c r="R36" s="5"/>
      <c r="S36" s="5"/>
      <c r="T36" s="6"/>
      <c r="U36"/>
      <c r="V36"/>
    </row>
    <row r="37" spans="1:22" s="18" customFormat="1" ht="20.25" customHeight="1" x14ac:dyDescent="0.25">
      <c r="A37" s="17"/>
      <c r="B37" s="88"/>
      <c r="C37" s="7"/>
      <c r="D37" s="7"/>
      <c r="E37" s="3"/>
      <c r="F37" s="5"/>
      <c r="G37" s="5"/>
      <c r="H37" s="16">
        <f>E32/D31</f>
        <v>8</v>
      </c>
      <c r="I37" s="25"/>
      <c r="J37" s="5"/>
      <c r="K37" s="5"/>
      <c r="L37" s="5"/>
      <c r="M37" s="5"/>
      <c r="N37" s="5"/>
      <c r="O37" s="25"/>
      <c r="P37" s="5"/>
      <c r="Q37" s="5"/>
      <c r="R37" s="5"/>
      <c r="S37" s="5"/>
      <c r="T37" s="5"/>
      <c r="U37"/>
      <c r="V37"/>
    </row>
    <row r="38" spans="1:22" s="18" customFormat="1" ht="20.25" customHeight="1" x14ac:dyDescent="0.25">
      <c r="A38" s="17"/>
      <c r="B38" s="88"/>
      <c r="C38" s="7"/>
      <c r="D38" s="7"/>
      <c r="E38" s="3"/>
      <c r="F38" s="5"/>
      <c r="G38" s="5"/>
      <c r="H38" s="16">
        <f>G32/D31</f>
        <v>8</v>
      </c>
      <c r="I38" s="25"/>
      <c r="J38" s="146"/>
      <c r="K38" s="146"/>
      <c r="L38" s="146"/>
      <c r="M38" s="5"/>
      <c r="N38" s="5"/>
      <c r="O38" s="25"/>
      <c r="P38" s="5"/>
      <c r="Q38" s="5"/>
      <c r="R38" s="5"/>
      <c r="S38" s="5"/>
      <c r="T38" s="6"/>
      <c r="U38"/>
      <c r="V38"/>
    </row>
    <row r="39" spans="1:22" s="18" customFormat="1" ht="20.25" customHeight="1" x14ac:dyDescent="0.25">
      <c r="A39" s="17"/>
      <c r="B39" s="88"/>
      <c r="C39" s="7"/>
      <c r="D39" s="7"/>
      <c r="E39" s="3"/>
      <c r="F39" s="5"/>
      <c r="G39" s="5"/>
      <c r="H39" s="16">
        <f>H32/D31</f>
        <v>8</v>
      </c>
      <c r="I39" s="25"/>
      <c r="J39" s="5"/>
      <c r="K39" s="5"/>
      <c r="L39" s="5"/>
      <c r="M39" s="5"/>
      <c r="N39" s="5"/>
      <c r="O39" s="25"/>
      <c r="P39" s="5"/>
      <c r="Q39" s="5"/>
      <c r="R39" s="5"/>
      <c r="S39" s="5"/>
      <c r="T39" s="6"/>
      <c r="U39"/>
      <c r="V39"/>
    </row>
    <row r="40" spans="1:22" s="18" customFormat="1" ht="20.25" customHeight="1" x14ac:dyDescent="0.25">
      <c r="A40" s="17"/>
      <c r="B40" s="88"/>
      <c r="C40" s="7"/>
      <c r="D40" s="7"/>
      <c r="E40" s="3"/>
      <c r="F40" s="5"/>
      <c r="G40" s="5"/>
      <c r="H40" s="16">
        <f>I32/D31</f>
        <v>7</v>
      </c>
      <c r="I40" s="25"/>
      <c r="J40" s="5"/>
      <c r="K40" s="5"/>
      <c r="L40" s="5"/>
      <c r="M40" s="5"/>
      <c r="N40" s="5"/>
      <c r="O40" s="25"/>
      <c r="P40" s="5"/>
      <c r="Q40" s="5"/>
      <c r="R40" s="5"/>
      <c r="S40" s="5"/>
      <c r="T40" s="6"/>
      <c r="U40"/>
      <c r="V40"/>
    </row>
    <row r="41" spans="1:22" s="18" customFormat="1" ht="20.25" customHeight="1" x14ac:dyDescent="0.25">
      <c r="A41" s="17"/>
      <c r="B41" s="88"/>
      <c r="C41" s="7"/>
      <c r="D41" s="7"/>
      <c r="E41" s="3"/>
      <c r="F41" s="5"/>
      <c r="G41" s="5"/>
      <c r="H41" s="16">
        <f>J32/D31</f>
        <v>7</v>
      </c>
      <c r="I41" s="25"/>
      <c r="J41" s="5"/>
      <c r="K41" s="5"/>
      <c r="L41" s="5"/>
      <c r="M41" s="5"/>
      <c r="N41" s="5"/>
      <c r="O41" s="25"/>
      <c r="P41" s="5"/>
      <c r="Q41" s="5"/>
      <c r="R41" s="5"/>
      <c r="S41" s="5"/>
      <c r="T41" s="6"/>
      <c r="U41"/>
      <c r="V41"/>
    </row>
    <row r="42" spans="1:22" s="18" customFormat="1" ht="20.25" customHeight="1" x14ac:dyDescent="0.25">
      <c r="A42" s="17"/>
      <c r="B42" s="88"/>
      <c r="C42" s="7"/>
      <c r="D42" s="7"/>
      <c r="E42" s="3"/>
      <c r="F42" s="5"/>
      <c r="G42" s="5"/>
      <c r="H42" s="16">
        <f>K32/D31</f>
        <v>8</v>
      </c>
      <c r="I42" s="25"/>
      <c r="J42" s="5"/>
      <c r="K42" s="5"/>
      <c r="L42" s="5"/>
      <c r="M42" s="5"/>
      <c r="N42" s="5"/>
      <c r="O42" s="25"/>
      <c r="P42" s="5"/>
      <c r="Q42" s="5"/>
      <c r="R42" s="5"/>
      <c r="S42" s="5"/>
      <c r="T42" s="6"/>
      <c r="U42"/>
      <c r="V42"/>
    </row>
    <row r="43" spans="1:22" s="18" customFormat="1" ht="20.25" customHeight="1" x14ac:dyDescent="0.25">
      <c r="A43" s="17"/>
      <c r="B43" s="88"/>
      <c r="C43" s="7"/>
      <c r="D43" s="7"/>
      <c r="E43" s="3"/>
      <c r="F43" s="5"/>
      <c r="G43" s="5"/>
      <c r="H43" s="33" t="s">
        <v>56</v>
      </c>
      <c r="I43" s="25"/>
      <c r="J43" s="5"/>
      <c r="K43" s="5"/>
      <c r="L43" s="5"/>
      <c r="M43" s="5"/>
      <c r="N43" s="5"/>
      <c r="O43" s="25"/>
      <c r="P43" s="5"/>
      <c r="Q43" s="5"/>
      <c r="R43" s="5"/>
      <c r="S43" s="5"/>
      <c r="T43" s="6"/>
      <c r="U43" s="45"/>
      <c r="V43" s="45"/>
    </row>
    <row r="44" spans="1:22" s="18" customFormat="1" ht="20.25" customHeight="1" x14ac:dyDescent="0.25">
      <c r="A44" s="17"/>
      <c r="B44" s="88"/>
      <c r="C44" s="7"/>
      <c r="D44" s="7"/>
      <c r="E44" s="3"/>
      <c r="F44" s="5"/>
      <c r="G44" s="5"/>
      <c r="H44" s="16">
        <f>M32/D31</f>
        <v>8</v>
      </c>
      <c r="I44" s="25"/>
      <c r="J44" s="5"/>
      <c r="K44" s="5"/>
      <c r="L44" s="5"/>
      <c r="M44" s="5"/>
      <c r="N44" s="5"/>
      <c r="O44" s="25"/>
      <c r="P44" s="5"/>
      <c r="Q44" s="5"/>
      <c r="R44" s="5"/>
      <c r="S44" s="5"/>
      <c r="T44" s="6"/>
      <c r="U44" s="45"/>
      <c r="V44" s="45"/>
    </row>
    <row r="45" spans="1:22" s="18" customFormat="1" ht="20.25" customHeight="1" x14ac:dyDescent="0.25">
      <c r="A45" s="17"/>
      <c r="B45" s="88"/>
      <c r="C45" s="7"/>
      <c r="D45" s="7"/>
      <c r="E45" s="3"/>
      <c r="F45" s="5"/>
      <c r="G45" s="5"/>
      <c r="H45" s="16">
        <f>N32/D31</f>
        <v>7</v>
      </c>
      <c r="I45" s="25"/>
      <c r="J45" s="5"/>
      <c r="K45" s="5"/>
      <c r="L45" s="5"/>
      <c r="M45" s="5"/>
      <c r="N45" s="5"/>
      <c r="O45" s="25"/>
      <c r="P45" s="5"/>
      <c r="Q45" s="5"/>
      <c r="R45" s="5"/>
      <c r="S45" s="5"/>
      <c r="T45" s="6"/>
      <c r="U45" s="45"/>
      <c r="V45" s="45"/>
    </row>
    <row r="46" spans="1:22" s="18" customFormat="1" ht="20.25" customHeight="1" x14ac:dyDescent="0.25">
      <c r="A46" s="17"/>
      <c r="B46" s="88"/>
      <c r="C46" s="7"/>
      <c r="D46" s="7"/>
      <c r="E46" s="3"/>
      <c r="F46" s="5"/>
      <c r="G46" s="5"/>
      <c r="H46" s="16">
        <f>O32/D31</f>
        <v>7</v>
      </c>
      <c r="I46" s="25"/>
      <c r="J46" s="5"/>
      <c r="K46" s="5"/>
      <c r="L46" s="5"/>
      <c r="M46" s="5"/>
      <c r="N46" s="5"/>
      <c r="O46" s="25"/>
      <c r="P46" s="5"/>
      <c r="Q46" s="5"/>
      <c r="R46" s="5"/>
      <c r="S46" s="5"/>
      <c r="T46" s="6"/>
      <c r="U46" s="45"/>
      <c r="V46" s="45"/>
    </row>
    <row r="47" spans="1:22" s="18" customFormat="1" ht="20.25" customHeight="1" x14ac:dyDescent="0.25">
      <c r="A47" s="17"/>
      <c r="B47" s="88"/>
      <c r="C47" s="7"/>
      <c r="D47" s="7"/>
      <c r="E47" s="3"/>
      <c r="F47" s="5"/>
      <c r="G47" s="5"/>
      <c r="H47" s="16">
        <f>P32/D31</f>
        <v>8</v>
      </c>
      <c r="I47" s="25"/>
      <c r="J47" s="5"/>
      <c r="K47" s="5"/>
      <c r="L47" s="5"/>
      <c r="M47" s="5"/>
      <c r="N47" s="5"/>
      <c r="O47" s="25"/>
      <c r="P47" s="5"/>
      <c r="Q47" s="5"/>
      <c r="R47" s="5"/>
      <c r="S47" s="5"/>
      <c r="T47" s="6"/>
      <c r="U47" s="45"/>
      <c r="V47" s="45"/>
    </row>
    <row r="48" spans="1:22" s="18" customFormat="1" ht="20.25" customHeight="1" x14ac:dyDescent="0.25">
      <c r="A48" s="17"/>
      <c r="B48" s="88"/>
      <c r="C48" s="7"/>
      <c r="D48" s="7"/>
      <c r="E48" s="3"/>
      <c r="F48" s="5"/>
      <c r="G48" s="5"/>
      <c r="H48" s="16">
        <f>Q32/D31</f>
        <v>8</v>
      </c>
      <c r="I48" s="25"/>
      <c r="J48" s="5"/>
      <c r="K48" s="5"/>
      <c r="L48" s="5"/>
      <c r="M48" s="5"/>
      <c r="N48" s="5"/>
      <c r="O48" s="25"/>
      <c r="P48" s="5"/>
      <c r="Q48" s="5"/>
      <c r="R48" s="5"/>
      <c r="S48" s="5"/>
      <c r="T48" s="6"/>
      <c r="U48" s="45"/>
      <c r="V48" s="45"/>
    </row>
    <row r="49" spans="1:22" s="18" customFormat="1" ht="20.25" customHeight="1" x14ac:dyDescent="0.25">
      <c r="A49" s="17"/>
      <c r="B49" s="88"/>
      <c r="C49" s="7"/>
      <c r="D49" s="7"/>
      <c r="E49" s="3"/>
      <c r="F49" s="5"/>
      <c r="G49" s="5"/>
      <c r="H49" s="16">
        <f>R32/D31</f>
        <v>8</v>
      </c>
      <c r="I49" s="25"/>
      <c r="J49" s="5"/>
      <c r="K49" s="5"/>
      <c r="L49" s="5"/>
      <c r="M49" s="5"/>
      <c r="N49" s="5"/>
      <c r="O49" s="25"/>
      <c r="P49" s="5"/>
      <c r="Q49" s="5"/>
      <c r="R49" s="5"/>
      <c r="S49" s="5"/>
      <c r="T49" s="6"/>
      <c r="U49" s="45"/>
      <c r="V49" s="45"/>
    </row>
    <row r="50" spans="1:22" s="18" customFormat="1" ht="25.15" customHeight="1" x14ac:dyDescent="0.25">
      <c r="A50" s="17"/>
      <c r="B50" s="88"/>
      <c r="C50" s="7"/>
      <c r="D50" s="7"/>
      <c r="E50" s="3"/>
      <c r="F50" s="5"/>
      <c r="G50" s="5"/>
      <c r="H50" s="16">
        <f>S32/D31</f>
        <v>8</v>
      </c>
      <c r="I50" s="25"/>
      <c r="J50" s="5"/>
      <c r="K50" s="5"/>
      <c r="L50" s="5"/>
      <c r="M50" s="5"/>
      <c r="N50" s="5"/>
      <c r="O50" s="25"/>
      <c r="P50" s="5"/>
      <c r="Q50" s="5"/>
      <c r="R50" s="5"/>
      <c r="S50" s="5"/>
      <c r="T50" s="6"/>
      <c r="U50" s="45"/>
      <c r="V50" s="45"/>
    </row>
    <row r="51" spans="1:22" s="18" customFormat="1" ht="15" customHeight="1" x14ac:dyDescent="0.25">
      <c r="A51" s="17"/>
      <c r="B51" s="88"/>
      <c r="C51" s="7"/>
      <c r="D51" s="7"/>
      <c r="E51" s="3"/>
      <c r="F51" s="5"/>
      <c r="G51" s="5"/>
      <c r="H51" s="15">
        <f>SUM(H37:H50)</f>
        <v>100</v>
      </c>
      <c r="I51" s="25"/>
      <c r="J51" s="5"/>
      <c r="K51" s="5"/>
      <c r="L51" s="5"/>
      <c r="M51" s="5"/>
      <c r="N51" s="5"/>
      <c r="O51" s="25"/>
      <c r="P51" s="5"/>
      <c r="Q51" s="5"/>
      <c r="R51" s="5"/>
      <c r="S51" s="5"/>
      <c r="T51" s="6"/>
      <c r="U51" s="45"/>
      <c r="V51" s="45"/>
    </row>
    <row r="52" spans="1:22" s="18" customFormat="1" ht="15" customHeight="1" x14ac:dyDescent="0.25">
      <c r="A52" s="17"/>
      <c r="B52" s="88"/>
      <c r="C52" s="7"/>
      <c r="D52" s="7"/>
      <c r="E52" s="3"/>
      <c r="F52" s="5"/>
      <c r="G52" s="5"/>
      <c r="H52" s="5"/>
      <c r="I52" s="25"/>
      <c r="J52" s="5"/>
      <c r="K52" s="5"/>
      <c r="L52" s="5"/>
      <c r="M52" s="5"/>
      <c r="N52" s="5"/>
      <c r="O52" s="25"/>
      <c r="P52" s="5"/>
      <c r="Q52" s="5"/>
      <c r="R52" s="5"/>
      <c r="S52" s="5"/>
      <c r="T52" s="6"/>
      <c r="U52" s="45"/>
      <c r="V52" s="45"/>
    </row>
    <row r="53" spans="1:22" s="18" customFormat="1" ht="15" customHeight="1" x14ac:dyDescent="0.25">
      <c r="A53" s="17"/>
      <c r="B53" s="88"/>
      <c r="C53" s="7"/>
      <c r="D53" s="7"/>
      <c r="E53" s="3"/>
      <c r="F53" s="5"/>
      <c r="G53" s="5"/>
      <c r="H53" s="5"/>
      <c r="I53" s="25"/>
      <c r="J53" s="5"/>
      <c r="K53" s="5"/>
      <c r="L53" s="5"/>
      <c r="M53" s="5"/>
      <c r="N53" s="5"/>
      <c r="O53" s="25"/>
      <c r="P53" s="5"/>
      <c r="Q53" s="5"/>
      <c r="R53" s="5"/>
      <c r="S53" s="5"/>
      <c r="T53" s="6"/>
      <c r="U53" s="45"/>
      <c r="V53" s="45"/>
    </row>
    <row r="54" spans="1:22" s="18" customFormat="1" ht="15" customHeight="1" x14ac:dyDescent="0.25">
      <c r="A54" s="17"/>
      <c r="B54" s="88"/>
      <c r="C54" s="7"/>
      <c r="D54" s="7"/>
      <c r="E54" s="3"/>
      <c r="F54" s="5"/>
      <c r="G54" s="5"/>
      <c r="H54" s="5"/>
      <c r="I54" s="25"/>
      <c r="J54" s="5"/>
      <c r="K54" s="5"/>
      <c r="L54" s="5"/>
      <c r="M54" s="5"/>
      <c r="N54" s="5"/>
      <c r="O54" s="25"/>
      <c r="P54" s="5"/>
      <c r="Q54" s="5"/>
      <c r="R54" s="5"/>
      <c r="S54" s="5"/>
      <c r="T54" s="6"/>
      <c r="U54" s="45"/>
      <c r="V54" s="45"/>
    </row>
    <row r="55" spans="1:22" s="18" customFormat="1" ht="15" customHeight="1" x14ac:dyDescent="0.25">
      <c r="A55" s="17"/>
      <c r="B55" s="88"/>
      <c r="C55" s="7"/>
      <c r="D55" s="7"/>
      <c r="E55" s="3"/>
      <c r="F55" s="5"/>
      <c r="G55" s="5"/>
      <c r="H55" s="5"/>
      <c r="I55" s="25"/>
      <c r="J55" s="5"/>
      <c r="K55" s="5"/>
      <c r="L55" s="5"/>
      <c r="M55" s="5"/>
      <c r="N55" s="5"/>
      <c r="O55" s="25"/>
      <c r="P55" s="5"/>
      <c r="Q55" s="5"/>
      <c r="R55" s="5"/>
      <c r="S55" s="5"/>
      <c r="T55" s="6"/>
      <c r="U55" s="45"/>
      <c r="V55" s="45"/>
    </row>
    <row r="56" spans="1:22" s="18" customFormat="1" ht="15" customHeight="1" x14ac:dyDescent="0.25">
      <c r="A56" s="17"/>
      <c r="B56" s="88"/>
      <c r="C56" s="7"/>
      <c r="D56" s="7"/>
      <c r="E56" s="3"/>
      <c r="F56" s="5"/>
      <c r="G56" s="5"/>
      <c r="H56" s="5"/>
      <c r="I56" s="25"/>
      <c r="J56" s="5"/>
      <c r="K56" s="5"/>
      <c r="L56" s="5"/>
      <c r="M56" s="5"/>
      <c r="N56" s="5"/>
      <c r="O56" s="25"/>
      <c r="P56" s="5"/>
      <c r="Q56" s="5"/>
      <c r="R56" s="5"/>
      <c r="S56" s="5"/>
      <c r="T56" s="6"/>
      <c r="U56" s="45"/>
      <c r="V56" s="45"/>
    </row>
    <row r="57" spans="1:22" s="18" customFormat="1" ht="15" customHeight="1" x14ac:dyDescent="0.25">
      <c r="A57" s="17"/>
      <c r="B57" s="88"/>
      <c r="C57" s="7"/>
      <c r="D57" s="7"/>
      <c r="E57" s="3"/>
      <c r="F57" s="5"/>
      <c r="G57" s="5"/>
      <c r="H57" s="5"/>
      <c r="I57" s="25"/>
      <c r="J57" s="5"/>
      <c r="K57" s="5"/>
      <c r="L57" s="5"/>
      <c r="M57" s="5"/>
      <c r="N57" s="5"/>
      <c r="O57" s="25"/>
      <c r="P57" s="5"/>
      <c r="Q57" s="5"/>
      <c r="R57" s="5"/>
      <c r="S57" s="5"/>
      <c r="T57" s="6"/>
      <c r="U57" s="45"/>
      <c r="V57" s="45"/>
    </row>
    <row r="58" spans="1:22" s="18" customFormat="1" ht="15" customHeight="1" x14ac:dyDescent="0.25">
      <c r="A58" s="17"/>
      <c r="B58" s="88"/>
      <c r="C58" s="7"/>
      <c r="D58" s="7"/>
      <c r="E58" s="3"/>
      <c r="F58" s="5"/>
      <c r="G58" s="5"/>
      <c r="H58" s="5"/>
      <c r="I58" s="25"/>
      <c r="J58" s="5"/>
      <c r="K58" s="5"/>
      <c r="L58" s="5"/>
      <c r="M58" s="5"/>
      <c r="N58" s="5"/>
      <c r="O58" s="25"/>
      <c r="P58" s="5"/>
      <c r="Q58" s="5"/>
      <c r="R58" s="5"/>
      <c r="S58" s="5"/>
      <c r="T58" s="6"/>
      <c r="U58" s="45"/>
      <c r="V58" s="45"/>
    </row>
    <row r="59" spans="1:22" s="18" customFormat="1" ht="15" customHeight="1" x14ac:dyDescent="0.25">
      <c r="A59" s="17"/>
      <c r="B59" s="88"/>
      <c r="C59" s="7"/>
      <c r="D59" s="7"/>
      <c r="E59" s="3"/>
      <c r="F59" s="5"/>
      <c r="G59" s="5"/>
      <c r="H59" s="5"/>
      <c r="I59" s="25"/>
      <c r="J59" s="5"/>
      <c r="K59" s="5"/>
      <c r="L59" s="5"/>
      <c r="M59" s="5"/>
      <c r="N59" s="5"/>
      <c r="O59" s="25"/>
      <c r="P59" s="5"/>
      <c r="Q59" s="5"/>
      <c r="R59" s="5"/>
      <c r="S59" s="5"/>
      <c r="T59" s="6"/>
      <c r="U59" s="45"/>
      <c r="V59" s="45"/>
    </row>
    <row r="60" spans="1:22" s="18" customFormat="1" ht="15" customHeight="1" x14ac:dyDescent="0.25">
      <c r="A60" s="17"/>
      <c r="B60" s="88"/>
      <c r="C60" s="7"/>
      <c r="D60" s="7"/>
      <c r="E60" s="3"/>
      <c r="F60" s="5"/>
      <c r="G60" s="5"/>
      <c r="H60" s="5"/>
      <c r="I60" s="25"/>
      <c r="J60" s="5"/>
      <c r="K60" s="5"/>
      <c r="L60" s="5"/>
      <c r="M60" s="5"/>
      <c r="N60" s="5"/>
      <c r="O60" s="25"/>
      <c r="P60" s="5"/>
      <c r="Q60" s="5"/>
      <c r="R60" s="5"/>
      <c r="S60" s="5"/>
      <c r="T60" s="6"/>
      <c r="U60" s="45"/>
      <c r="V60" s="45"/>
    </row>
    <row r="61" spans="1:22" s="18" customFormat="1" ht="15" customHeight="1" x14ac:dyDescent="0.25">
      <c r="A61" s="17"/>
      <c r="B61" s="88"/>
      <c r="C61" s="7"/>
      <c r="D61" s="7"/>
      <c r="E61" s="3"/>
      <c r="F61" s="5"/>
      <c r="G61" s="5"/>
      <c r="H61" s="5"/>
      <c r="I61" s="25"/>
      <c r="J61" s="5"/>
      <c r="K61" s="5"/>
      <c r="L61" s="5"/>
      <c r="M61" s="5"/>
      <c r="N61" s="5"/>
      <c r="O61" s="25"/>
      <c r="P61" s="5"/>
      <c r="Q61" s="5"/>
      <c r="R61" s="5"/>
      <c r="S61" s="5"/>
      <c r="T61" s="6"/>
      <c r="U61" s="45"/>
      <c r="V61" s="45"/>
    </row>
    <row r="62" spans="1:22" s="18" customFormat="1" ht="15" customHeight="1" x14ac:dyDescent="0.25">
      <c r="A62" s="17"/>
      <c r="B62" s="88"/>
      <c r="C62" s="7"/>
      <c r="D62" s="7"/>
      <c r="E62" s="3"/>
      <c r="F62" s="5"/>
      <c r="G62" s="5"/>
      <c r="H62" s="5"/>
      <c r="I62" s="25"/>
      <c r="J62" s="5"/>
      <c r="K62" s="5"/>
      <c r="L62" s="5"/>
      <c r="M62" s="5"/>
      <c r="N62" s="5"/>
      <c r="O62" s="25"/>
      <c r="P62" s="5"/>
      <c r="Q62" s="5"/>
      <c r="R62" s="5"/>
      <c r="S62" s="5"/>
      <c r="T62" s="6"/>
      <c r="U62" s="45"/>
      <c r="V62" s="45"/>
    </row>
    <row r="63" spans="1:22" s="18" customFormat="1" ht="15" customHeight="1" thickBot="1" x14ac:dyDescent="0.3">
      <c r="A63" s="69"/>
      <c r="B63" s="88"/>
      <c r="C63" s="7"/>
      <c r="D63" s="7"/>
      <c r="E63" s="3"/>
      <c r="F63" s="5"/>
      <c r="G63" s="5"/>
      <c r="H63" s="5"/>
      <c r="I63" s="25"/>
      <c r="J63" s="5"/>
      <c r="K63" s="5"/>
      <c r="L63" s="5"/>
      <c r="M63" s="5"/>
      <c r="N63" s="5"/>
      <c r="O63" s="25"/>
      <c r="P63" s="5"/>
      <c r="Q63" s="5"/>
      <c r="R63" s="5"/>
      <c r="S63" s="5"/>
      <c r="T63" s="6"/>
      <c r="U63" s="45"/>
      <c r="V63" s="45"/>
    </row>
    <row r="64" spans="1:22" s="18" customFormat="1" ht="15" customHeight="1" thickBot="1" x14ac:dyDescent="0.3">
      <c r="A64" s="69"/>
      <c r="B64" s="88"/>
      <c r="C64" s="7"/>
      <c r="D64" s="7"/>
      <c r="E64" s="3"/>
      <c r="F64" s="5"/>
      <c r="G64" s="5"/>
      <c r="H64" s="5"/>
      <c r="I64" s="25"/>
      <c r="J64" s="5"/>
      <c r="K64" s="5"/>
      <c r="L64" s="5"/>
      <c r="M64" s="5"/>
      <c r="N64" s="5"/>
      <c r="O64" s="25"/>
      <c r="P64" s="5"/>
      <c r="Q64" s="5"/>
      <c r="R64" s="5"/>
      <c r="S64" s="5"/>
      <c r="T64" s="6"/>
      <c r="U64" s="45"/>
      <c r="V64" s="45"/>
    </row>
    <row r="65" spans="1:22" s="18" customFormat="1" ht="15" customHeight="1" thickBot="1" x14ac:dyDescent="0.3">
      <c r="A65" s="69"/>
      <c r="B65" s="88"/>
      <c r="C65" s="7"/>
      <c r="D65" s="7"/>
      <c r="E65" s="3"/>
      <c r="F65" s="5"/>
      <c r="G65" s="5"/>
      <c r="H65" s="5"/>
      <c r="I65" s="25"/>
      <c r="J65" s="5"/>
      <c r="K65" s="5"/>
      <c r="L65" s="5"/>
      <c r="M65" s="5"/>
      <c r="N65" s="5"/>
      <c r="O65" s="25"/>
      <c r="P65" s="5"/>
      <c r="Q65" s="5"/>
      <c r="R65" s="5"/>
      <c r="S65" s="5"/>
      <c r="T65" s="6"/>
      <c r="U65" s="45"/>
      <c r="V65" s="45"/>
    </row>
    <row r="66" spans="1:22" s="18" customFormat="1" ht="15" customHeight="1" thickBot="1" x14ac:dyDescent="0.3">
      <c r="A66" s="69"/>
      <c r="B66" s="88"/>
      <c r="C66" s="7"/>
      <c r="D66" s="7"/>
      <c r="E66" s="3"/>
      <c r="F66" s="5"/>
      <c r="G66" s="5"/>
      <c r="H66" s="5"/>
      <c r="I66" s="25"/>
      <c r="J66" s="5"/>
      <c r="K66" s="5"/>
      <c r="L66" s="5"/>
      <c r="M66" s="5"/>
      <c r="N66" s="5"/>
      <c r="O66" s="25"/>
      <c r="P66" s="5"/>
      <c r="Q66" s="5"/>
      <c r="R66" s="5"/>
      <c r="S66" s="5"/>
      <c r="T66" s="6"/>
      <c r="U66" s="45"/>
      <c r="V66" s="45"/>
    </row>
    <row r="67" spans="1:22" s="18" customFormat="1" ht="15" customHeight="1" thickBot="1" x14ac:dyDescent="0.3">
      <c r="A67" s="69"/>
      <c r="B67" s="88"/>
      <c r="C67" s="7"/>
      <c r="D67" s="7"/>
      <c r="E67" s="3"/>
      <c r="F67" s="5"/>
      <c r="G67" s="5"/>
      <c r="H67" s="5"/>
      <c r="I67" s="25"/>
      <c r="J67" s="5"/>
      <c r="K67" s="5"/>
      <c r="L67" s="5"/>
      <c r="M67" s="5"/>
      <c r="N67" s="5"/>
      <c r="O67" s="25"/>
      <c r="P67" s="5"/>
      <c r="Q67" s="5"/>
      <c r="R67" s="5"/>
      <c r="S67" s="5"/>
      <c r="T67" s="6"/>
      <c r="U67" s="45"/>
      <c r="V67" s="45"/>
    </row>
    <row r="68" spans="1:22" s="18" customFormat="1" ht="15" customHeight="1" thickBot="1" x14ac:dyDescent="0.3">
      <c r="A68" s="75"/>
      <c r="B68" s="88"/>
      <c r="C68" s="7"/>
      <c r="D68" s="7"/>
      <c r="E68" s="3"/>
      <c r="F68" s="5"/>
      <c r="G68" s="5"/>
      <c r="H68" s="5"/>
      <c r="I68" s="25"/>
      <c r="J68" s="5"/>
      <c r="K68" s="5"/>
      <c r="L68" s="5"/>
      <c r="M68" s="5"/>
      <c r="N68" s="5"/>
      <c r="O68" s="25"/>
      <c r="P68" s="5"/>
      <c r="Q68" s="5"/>
      <c r="R68" s="5"/>
      <c r="S68" s="5"/>
      <c r="T68" s="6"/>
      <c r="U68" s="45"/>
      <c r="V68" s="45"/>
    </row>
    <row r="69" spans="1:22" s="18" customFormat="1" ht="15" customHeight="1" thickBot="1" x14ac:dyDescent="0.3">
      <c r="A69" s="70"/>
      <c r="B69" s="88"/>
      <c r="C69" s="7"/>
      <c r="D69" s="7"/>
      <c r="E69" s="3"/>
      <c r="F69" s="5"/>
      <c r="G69" s="5"/>
      <c r="H69" s="5"/>
      <c r="I69" s="25"/>
      <c r="J69" s="5"/>
      <c r="K69" s="5"/>
      <c r="L69" s="5"/>
      <c r="M69" s="5"/>
      <c r="N69" s="5"/>
      <c r="O69" s="25"/>
      <c r="P69" s="5"/>
      <c r="Q69" s="5"/>
      <c r="R69" s="5"/>
      <c r="S69" s="5"/>
      <c r="T69" s="6"/>
      <c r="U69" s="45"/>
      <c r="V69" s="45"/>
    </row>
    <row r="70" spans="1:22" s="18" customFormat="1" ht="15" customHeight="1" thickBot="1" x14ac:dyDescent="0.3">
      <c r="A70" s="69"/>
      <c r="B70" s="88"/>
      <c r="C70" s="7"/>
      <c r="D70" s="7"/>
      <c r="E70" s="3"/>
      <c r="F70" s="5"/>
      <c r="G70" s="5"/>
      <c r="H70" s="5"/>
      <c r="I70" s="25"/>
      <c r="J70" s="5"/>
      <c r="K70" s="5"/>
      <c r="L70" s="5"/>
      <c r="M70" s="5"/>
      <c r="N70" s="5"/>
      <c r="O70" s="25"/>
      <c r="P70" s="5"/>
      <c r="Q70" s="5"/>
      <c r="R70" s="5"/>
      <c r="S70" s="5"/>
      <c r="T70" s="6"/>
      <c r="U70" s="45"/>
      <c r="V70" s="45"/>
    </row>
    <row r="71" spans="1:22" s="18" customFormat="1" ht="15" customHeight="1" thickBot="1" x14ac:dyDescent="0.3">
      <c r="A71" s="69"/>
      <c r="B71" s="88"/>
      <c r="C71" s="7"/>
      <c r="D71" s="7"/>
      <c r="E71" s="3"/>
      <c r="F71" s="5"/>
      <c r="G71" s="5"/>
      <c r="H71" s="5"/>
      <c r="I71" s="25"/>
      <c r="J71" s="5"/>
      <c r="K71" s="5"/>
      <c r="L71" s="5"/>
      <c r="M71" s="5"/>
      <c r="N71" s="5"/>
      <c r="O71" s="25"/>
      <c r="P71" s="5"/>
      <c r="Q71" s="5"/>
      <c r="R71" s="5"/>
      <c r="S71" s="5"/>
      <c r="T71" s="6"/>
      <c r="U71" s="45"/>
      <c r="V71" s="45"/>
    </row>
    <row r="72" spans="1:22" s="18" customFormat="1" ht="15" customHeight="1" thickBot="1" x14ac:dyDescent="0.3">
      <c r="A72" s="69"/>
      <c r="B72" s="88"/>
      <c r="C72" s="7"/>
      <c r="D72" s="7"/>
      <c r="E72" s="3"/>
      <c r="F72" s="5"/>
      <c r="G72" s="5"/>
      <c r="H72" s="5"/>
      <c r="I72" s="25"/>
      <c r="J72" s="5"/>
      <c r="K72" s="5"/>
      <c r="L72" s="5"/>
      <c r="M72" s="5"/>
      <c r="N72" s="5"/>
      <c r="O72" s="25"/>
      <c r="P72" s="5"/>
      <c r="Q72" s="5"/>
      <c r="R72" s="5"/>
      <c r="S72" s="5"/>
      <c r="T72" s="6"/>
      <c r="U72" s="45"/>
      <c r="V72" s="45"/>
    </row>
    <row r="73" spans="1:22" s="18" customFormat="1" ht="15" customHeight="1" thickBot="1" x14ac:dyDescent="0.3">
      <c r="A73" s="69"/>
      <c r="B73" s="88"/>
      <c r="C73" s="7"/>
      <c r="D73" s="7"/>
      <c r="E73" s="3"/>
      <c r="F73" s="5"/>
      <c r="G73" s="5"/>
      <c r="H73" s="5"/>
      <c r="I73" s="25"/>
      <c r="J73" s="5"/>
      <c r="K73" s="5"/>
      <c r="L73" s="5"/>
      <c r="M73" s="5"/>
      <c r="N73" s="5"/>
      <c r="O73" s="25"/>
      <c r="P73" s="5"/>
      <c r="Q73" s="5"/>
      <c r="R73" s="5"/>
      <c r="S73" s="5"/>
      <c r="T73" s="6"/>
      <c r="U73" s="45"/>
      <c r="V73" s="45"/>
    </row>
    <row r="74" spans="1:22" s="18" customFormat="1" ht="15" customHeight="1" thickBot="1" x14ac:dyDescent="0.3">
      <c r="A74" s="69"/>
      <c r="B74" s="88"/>
      <c r="C74" s="7"/>
      <c r="D74" s="7"/>
      <c r="E74" s="3"/>
      <c r="F74" s="5"/>
      <c r="G74" s="5"/>
      <c r="H74" s="5"/>
      <c r="I74" s="25"/>
      <c r="J74" s="5"/>
      <c r="K74" s="5"/>
      <c r="L74" s="5"/>
      <c r="M74" s="5"/>
      <c r="N74" s="5"/>
      <c r="O74" s="25"/>
      <c r="P74" s="5"/>
      <c r="Q74" s="5"/>
      <c r="R74" s="5"/>
      <c r="S74" s="5"/>
      <c r="T74" s="6"/>
      <c r="U74" s="45"/>
      <c r="V74" s="45"/>
    </row>
    <row r="75" spans="1:22" s="18" customFormat="1" ht="15" customHeight="1" thickBot="1" x14ac:dyDescent="0.3">
      <c r="A75" s="69"/>
      <c r="B75" s="88"/>
      <c r="C75" s="7"/>
      <c r="D75" s="7"/>
      <c r="E75" s="3"/>
      <c r="F75" s="5"/>
      <c r="G75" s="5"/>
      <c r="H75" s="5"/>
      <c r="I75" s="25"/>
      <c r="J75" s="5"/>
      <c r="K75" s="5"/>
      <c r="L75" s="5"/>
      <c r="M75" s="5"/>
      <c r="N75" s="5"/>
      <c r="O75" s="25"/>
      <c r="P75" s="5"/>
      <c r="Q75" s="5"/>
      <c r="R75" s="5"/>
      <c r="S75" s="5"/>
      <c r="T75" s="6"/>
      <c r="U75" s="45"/>
      <c r="V75" s="45"/>
    </row>
    <row r="76" spans="1:22" s="18" customFormat="1" ht="15" customHeight="1" thickBot="1" x14ac:dyDescent="0.3">
      <c r="A76" s="69"/>
      <c r="B76" s="88"/>
      <c r="C76" s="7"/>
      <c r="D76" s="7"/>
      <c r="E76" s="3"/>
      <c r="F76" s="5"/>
      <c r="G76" s="5"/>
      <c r="H76" s="5"/>
      <c r="I76" s="25"/>
      <c r="J76" s="5"/>
      <c r="K76" s="5"/>
      <c r="L76" s="5"/>
      <c r="M76" s="5"/>
      <c r="N76" s="5"/>
      <c r="O76" s="25"/>
      <c r="P76" s="5"/>
      <c r="Q76" s="5"/>
      <c r="R76" s="5"/>
      <c r="S76" s="5"/>
      <c r="T76" s="6"/>
      <c r="U76" s="45"/>
      <c r="V76" s="45"/>
    </row>
    <row r="77" spans="1:22" ht="15" customHeight="1" thickBot="1" x14ac:dyDescent="0.3">
      <c r="A77" s="69"/>
      <c r="B77" s="88"/>
      <c r="C77" s="7"/>
      <c r="D77" s="7"/>
      <c r="E77" s="3"/>
      <c r="F77" s="5"/>
      <c r="G77" s="5"/>
      <c r="H77" s="5"/>
      <c r="I77" s="25"/>
      <c r="J77" s="5"/>
      <c r="K77" s="5"/>
      <c r="L77" s="5"/>
      <c r="M77" s="5"/>
      <c r="N77" s="5"/>
      <c r="O77" s="25"/>
      <c r="P77" s="5"/>
      <c r="Q77" s="5"/>
      <c r="R77" s="5"/>
      <c r="S77" s="5"/>
      <c r="T77" s="6"/>
      <c r="U77" s="45"/>
      <c r="V77" s="45"/>
    </row>
    <row r="78" spans="1:22" ht="15" customHeight="1" thickBot="1" x14ac:dyDescent="0.3">
      <c r="A78" s="69"/>
      <c r="B78" s="88"/>
      <c r="C78" s="7"/>
      <c r="D78" s="7"/>
      <c r="E78" s="3"/>
      <c r="F78" s="5"/>
      <c r="G78" s="5"/>
      <c r="H78" s="5"/>
      <c r="I78" s="25"/>
      <c r="J78" s="5"/>
      <c r="K78" s="5"/>
      <c r="L78" s="5"/>
      <c r="M78" s="5"/>
      <c r="N78" s="5"/>
      <c r="O78" s="25"/>
      <c r="P78" s="5"/>
      <c r="Q78" s="5"/>
      <c r="R78" s="5"/>
      <c r="S78" s="5"/>
      <c r="T78" s="6"/>
      <c r="U78" s="45"/>
      <c r="V78" s="45"/>
    </row>
    <row r="79" spans="1:22" ht="15" customHeight="1" thickBot="1" x14ac:dyDescent="0.3">
      <c r="A79" s="69"/>
      <c r="B79" s="88"/>
      <c r="C79" s="7"/>
      <c r="D79" s="7"/>
      <c r="E79" s="3"/>
      <c r="F79" s="5"/>
      <c r="G79" s="5"/>
      <c r="H79" s="5"/>
      <c r="I79" s="25"/>
      <c r="J79" s="5"/>
      <c r="K79" s="5"/>
      <c r="L79" s="5"/>
      <c r="M79" s="5"/>
      <c r="N79" s="5"/>
      <c r="O79" s="25"/>
      <c r="P79" s="5"/>
      <c r="Q79" s="5"/>
      <c r="R79" s="5"/>
      <c r="S79" s="5"/>
      <c r="T79" s="6"/>
      <c r="U79" s="45"/>
      <c r="V79" s="45"/>
    </row>
    <row r="80" spans="1:22" ht="15" customHeight="1" thickBot="1" x14ac:dyDescent="0.3">
      <c r="A80" s="69"/>
      <c r="B80" s="88"/>
      <c r="C80" s="7"/>
      <c r="D80" s="7"/>
      <c r="E80" s="3"/>
      <c r="F80" s="5"/>
      <c r="G80" s="5"/>
      <c r="H80" s="5"/>
      <c r="I80" s="25"/>
      <c r="J80" s="5"/>
      <c r="K80" s="5"/>
      <c r="L80" s="5"/>
      <c r="M80" s="5"/>
      <c r="N80" s="5"/>
      <c r="O80" s="25"/>
      <c r="P80" s="5"/>
      <c r="Q80" s="5"/>
      <c r="R80" s="5"/>
      <c r="S80" s="5"/>
      <c r="T80" s="6"/>
      <c r="U80" s="45"/>
      <c r="V80" s="45"/>
    </row>
    <row r="81" spans="1:22" ht="15" customHeight="1" thickBot="1" x14ac:dyDescent="0.3">
      <c r="A81" s="69"/>
      <c r="B81" s="88"/>
      <c r="C81" s="7"/>
      <c r="D81" s="7"/>
      <c r="E81" s="3"/>
      <c r="F81" s="5"/>
      <c r="G81" s="5"/>
      <c r="H81" s="5"/>
      <c r="I81" s="25"/>
      <c r="J81" s="5"/>
      <c r="K81" s="5"/>
      <c r="L81" s="5"/>
      <c r="M81" s="5"/>
      <c r="N81" s="5"/>
      <c r="O81" s="25"/>
      <c r="P81" s="5"/>
      <c r="Q81" s="5"/>
      <c r="R81" s="5"/>
      <c r="S81" s="5"/>
      <c r="T81" s="6"/>
      <c r="U81" s="45"/>
      <c r="V81" s="45"/>
    </row>
    <row r="82" spans="1:22" ht="15" customHeight="1" thickBot="1" x14ac:dyDescent="0.3">
      <c r="A82" s="69"/>
      <c r="B82" s="88"/>
      <c r="C82" s="7"/>
      <c r="D82" s="7"/>
      <c r="E82" s="3"/>
      <c r="F82" s="5"/>
      <c r="G82" s="5"/>
      <c r="H82" s="5"/>
      <c r="I82" s="25"/>
      <c r="J82" s="5"/>
      <c r="K82" s="5"/>
      <c r="L82" s="5"/>
      <c r="M82" s="5"/>
      <c r="N82" s="5"/>
      <c r="O82" s="25"/>
      <c r="P82" s="5"/>
      <c r="Q82" s="5"/>
      <c r="R82" s="5"/>
      <c r="S82" s="5"/>
      <c r="T82" s="6"/>
      <c r="U82" s="45"/>
      <c r="V82" s="45"/>
    </row>
    <row r="83" spans="1:22" ht="15" customHeight="1" thickBot="1" x14ac:dyDescent="0.3">
      <c r="A83" s="69"/>
      <c r="B83" s="88"/>
      <c r="C83" s="7"/>
      <c r="D83" s="7"/>
      <c r="E83" s="3"/>
      <c r="F83" s="5"/>
      <c r="G83" s="5"/>
      <c r="H83" s="5"/>
      <c r="I83" s="25"/>
      <c r="J83" s="5"/>
      <c r="K83" s="5"/>
      <c r="L83" s="5"/>
      <c r="M83" s="5"/>
      <c r="N83" s="5"/>
      <c r="O83" s="25"/>
      <c r="P83" s="5"/>
      <c r="Q83" s="5"/>
      <c r="R83" s="5"/>
      <c r="S83" s="5"/>
      <c r="T83" s="6"/>
      <c r="U83" s="45"/>
      <c r="V83" s="45"/>
    </row>
    <row r="84" spans="1:22" ht="15" customHeight="1" thickBot="1" x14ac:dyDescent="0.3">
      <c r="A84" s="69"/>
      <c r="B84" s="88"/>
      <c r="C84" s="7"/>
      <c r="D84" s="7"/>
      <c r="E84" s="3"/>
      <c r="F84" s="5"/>
      <c r="G84" s="5"/>
      <c r="H84" s="5"/>
      <c r="I84" s="25"/>
      <c r="J84" s="5"/>
      <c r="K84" s="5"/>
      <c r="L84" s="5"/>
      <c r="M84" s="5"/>
      <c r="N84" s="5"/>
      <c r="O84" s="25"/>
      <c r="P84" s="5"/>
      <c r="Q84" s="5"/>
      <c r="R84" s="5"/>
      <c r="S84" s="5"/>
      <c r="T84" s="6"/>
      <c r="U84" s="45"/>
      <c r="V84" s="45"/>
    </row>
    <row r="85" spans="1:22" ht="15" customHeight="1" thickBot="1" x14ac:dyDescent="0.3">
      <c r="A85" s="70"/>
      <c r="B85" s="88"/>
      <c r="C85" s="7"/>
      <c r="D85" s="7"/>
      <c r="E85" s="3"/>
      <c r="F85" s="5"/>
      <c r="G85" s="5"/>
      <c r="H85" s="5"/>
      <c r="I85" s="25"/>
      <c r="J85" s="5"/>
      <c r="K85" s="5"/>
      <c r="L85" s="5"/>
      <c r="M85" s="5"/>
      <c r="N85" s="5"/>
      <c r="O85" s="25"/>
      <c r="P85" s="5"/>
      <c r="Q85" s="5"/>
      <c r="R85" s="5"/>
      <c r="S85" s="5"/>
      <c r="T85" s="6"/>
      <c r="U85" s="45"/>
      <c r="V85" s="45"/>
    </row>
    <row r="86" spans="1:22" ht="15" customHeight="1" thickBot="1" x14ac:dyDescent="0.3">
      <c r="A86" s="72"/>
      <c r="B86" s="88"/>
      <c r="C86" s="7"/>
      <c r="D86" s="7"/>
      <c r="E86" s="3"/>
      <c r="F86" s="5"/>
      <c r="H86" s="5"/>
      <c r="I86" s="25"/>
      <c r="O86" s="25"/>
      <c r="U86" s="45"/>
      <c r="V86" s="45"/>
    </row>
    <row r="87" spans="1:22" ht="15" customHeight="1" thickBot="1" x14ac:dyDescent="0.3">
      <c r="A87" s="69"/>
      <c r="B87" s="88"/>
      <c r="C87" s="7"/>
      <c r="D87" s="7"/>
      <c r="E87" s="3"/>
      <c r="F87" s="5"/>
      <c r="I87" s="25"/>
      <c r="O87" s="25"/>
      <c r="U87" s="45"/>
      <c r="V87" s="45"/>
    </row>
    <row r="88" spans="1:22" ht="15" customHeight="1" thickBot="1" x14ac:dyDescent="0.3">
      <c r="A88" s="69"/>
      <c r="B88" s="88"/>
      <c r="C88" s="7"/>
      <c r="D88" s="7"/>
      <c r="E88" s="3"/>
      <c r="F88" s="5"/>
      <c r="I88" s="25"/>
      <c r="O88" s="25"/>
      <c r="U88" s="45"/>
      <c r="V88" s="45"/>
    </row>
    <row r="89" spans="1:22" ht="15" customHeight="1" thickBot="1" x14ac:dyDescent="0.3">
      <c r="A89" s="69"/>
      <c r="B89" s="88"/>
      <c r="C89" s="7"/>
      <c r="D89" s="7"/>
      <c r="E89" s="3"/>
      <c r="F89" s="5"/>
      <c r="I89" s="25"/>
      <c r="O89" s="25"/>
      <c r="U89" s="45"/>
      <c r="V89" s="45"/>
    </row>
    <row r="90" spans="1:22" ht="15" customHeight="1" thickBot="1" x14ac:dyDescent="0.3">
      <c r="A90" s="69"/>
      <c r="B90" s="88"/>
      <c r="C90" s="7"/>
      <c r="D90" s="7"/>
      <c r="E90" s="3"/>
      <c r="F90" s="5"/>
      <c r="I90" s="25"/>
      <c r="O90" s="25"/>
      <c r="U90" s="45"/>
      <c r="V90" s="45"/>
    </row>
    <row r="91" spans="1:22" ht="15" customHeight="1" thickBot="1" x14ac:dyDescent="0.3">
      <c r="A91" s="69"/>
      <c r="B91" s="88"/>
      <c r="C91" s="7"/>
      <c r="D91" s="7"/>
      <c r="E91" s="3"/>
      <c r="F91" s="5"/>
      <c r="I91" s="25"/>
      <c r="O91" s="25"/>
      <c r="U91" s="45"/>
      <c r="V91" s="45"/>
    </row>
    <row r="92" spans="1:22" ht="15" customHeight="1" thickBot="1" x14ac:dyDescent="0.3">
      <c r="A92" s="69"/>
      <c r="B92" s="88"/>
      <c r="C92" s="7"/>
      <c r="D92" s="7"/>
      <c r="E92" s="3"/>
      <c r="F92" s="5"/>
      <c r="I92" s="25"/>
      <c r="O92" s="25"/>
      <c r="U92" s="45"/>
      <c r="V92" s="45"/>
    </row>
    <row r="93" spans="1:22" ht="15" customHeight="1" thickBot="1" x14ac:dyDescent="0.3">
      <c r="A93" s="69"/>
      <c r="B93" s="88"/>
      <c r="C93" s="7"/>
      <c r="D93" s="7"/>
      <c r="E93" s="3"/>
      <c r="F93" s="5"/>
      <c r="I93" s="25"/>
      <c r="O93" s="25"/>
      <c r="U93" s="45"/>
      <c r="V93" s="45"/>
    </row>
    <row r="94" spans="1:22" ht="15" customHeight="1" thickBot="1" x14ac:dyDescent="0.3">
      <c r="A94" s="69"/>
      <c r="B94" s="88"/>
      <c r="C94" s="7"/>
      <c r="D94" s="7"/>
      <c r="E94" s="3"/>
      <c r="F94" s="5"/>
      <c r="I94" s="25"/>
      <c r="O94" s="25"/>
      <c r="U94" s="45"/>
      <c r="V94" s="45"/>
    </row>
    <row r="95" spans="1:22" ht="15" customHeight="1" thickBot="1" x14ac:dyDescent="0.3">
      <c r="A95" s="69"/>
      <c r="B95" s="88"/>
      <c r="C95" s="7"/>
      <c r="D95" s="7"/>
      <c r="E95" s="3"/>
      <c r="F95" s="5"/>
      <c r="I95" s="25"/>
      <c r="O95" s="25"/>
      <c r="U95" s="45"/>
      <c r="V95" s="45"/>
    </row>
    <row r="96" spans="1:22" ht="15" customHeight="1" thickBot="1" x14ac:dyDescent="0.3">
      <c r="A96" s="69"/>
      <c r="B96" s="88"/>
      <c r="C96" s="7"/>
      <c r="D96" s="7"/>
      <c r="E96" s="3"/>
      <c r="F96" s="5"/>
      <c r="I96" s="25"/>
      <c r="O96" s="25"/>
      <c r="U96" s="46"/>
      <c r="V96" s="46"/>
    </row>
    <row r="97" spans="1:22" ht="15" customHeight="1" thickBot="1" x14ac:dyDescent="0.3">
      <c r="A97" s="69"/>
      <c r="B97" s="88"/>
      <c r="C97" s="7"/>
      <c r="D97" s="7"/>
      <c r="E97" s="3"/>
      <c r="F97" s="5"/>
      <c r="I97" s="25"/>
      <c r="O97" s="25"/>
      <c r="U97" s="46"/>
      <c r="V97" s="46"/>
    </row>
    <row r="98" spans="1:22" ht="15" customHeight="1" thickBot="1" x14ac:dyDescent="0.3">
      <c r="A98" s="69"/>
      <c r="B98" s="88"/>
      <c r="C98" s="7"/>
      <c r="D98" s="7"/>
      <c r="E98" s="3"/>
      <c r="F98" s="5"/>
      <c r="I98" s="25"/>
      <c r="O98" s="25"/>
      <c r="U98" s="46"/>
      <c r="V98" s="46"/>
    </row>
    <row r="99" spans="1:22" ht="15" customHeight="1" thickBot="1" x14ac:dyDescent="0.3">
      <c r="A99" s="69"/>
      <c r="B99" s="88"/>
      <c r="C99" s="7"/>
      <c r="D99" s="7"/>
      <c r="E99" s="3"/>
      <c r="F99" s="5"/>
      <c r="I99" s="25"/>
      <c r="O99" s="25"/>
      <c r="U99" s="46"/>
      <c r="V99" s="46"/>
    </row>
    <row r="100" spans="1:22" ht="15" customHeight="1" thickBot="1" x14ac:dyDescent="0.3">
      <c r="A100" s="73"/>
      <c r="B100" s="88"/>
      <c r="C100" s="7"/>
      <c r="D100" s="7"/>
      <c r="E100" s="3"/>
      <c r="F100" s="5"/>
      <c r="I100" s="25"/>
      <c r="O100" s="25"/>
      <c r="U100" s="46"/>
      <c r="V100" s="46"/>
    </row>
    <row r="101" spans="1:22" ht="15" customHeight="1" thickBot="1" x14ac:dyDescent="0.3">
      <c r="A101" s="69"/>
      <c r="B101" s="88"/>
      <c r="C101" s="7"/>
      <c r="D101" s="7"/>
      <c r="E101" s="3"/>
      <c r="F101" s="5"/>
      <c r="I101" s="25"/>
      <c r="O101" s="25"/>
      <c r="U101" s="46"/>
      <c r="V101" s="46"/>
    </row>
    <row r="102" spans="1:22" ht="15" customHeight="1" thickBot="1" x14ac:dyDescent="0.3">
      <c r="A102" s="69"/>
      <c r="B102" s="88"/>
      <c r="C102" s="7"/>
      <c r="D102" s="7"/>
      <c r="E102" s="3"/>
      <c r="F102" s="5"/>
      <c r="I102" s="25"/>
      <c r="O102" s="25"/>
      <c r="U102" s="46"/>
      <c r="V102" s="46"/>
    </row>
    <row r="103" spans="1:22" ht="15" customHeight="1" thickBot="1" x14ac:dyDescent="0.3">
      <c r="A103" s="69"/>
      <c r="B103" s="88"/>
      <c r="C103" s="7"/>
      <c r="D103" s="7"/>
      <c r="E103" s="3"/>
      <c r="F103" s="5"/>
      <c r="I103" s="25"/>
      <c r="O103" s="25"/>
      <c r="U103" s="46"/>
      <c r="V103" s="46"/>
    </row>
    <row r="104" spans="1:22" ht="15" customHeight="1" thickBot="1" x14ac:dyDescent="0.3">
      <c r="A104" s="69"/>
      <c r="B104" s="88"/>
      <c r="C104" s="7"/>
      <c r="D104" s="7"/>
      <c r="E104" s="3"/>
      <c r="F104" s="5"/>
      <c r="I104" s="25"/>
      <c r="O104" s="25"/>
      <c r="U104" s="46"/>
      <c r="V104" s="46"/>
    </row>
    <row r="105" spans="1:22" ht="15" customHeight="1" thickBot="1" x14ac:dyDescent="0.3">
      <c r="A105" s="69"/>
      <c r="B105" s="88"/>
      <c r="C105" s="7"/>
      <c r="D105" s="7"/>
      <c r="E105" s="3"/>
      <c r="F105" s="5"/>
      <c r="I105" s="25"/>
      <c r="O105" s="25"/>
      <c r="U105" s="46"/>
      <c r="V105" s="46"/>
    </row>
    <row r="106" spans="1:22" ht="15" customHeight="1" thickBot="1" x14ac:dyDescent="0.3">
      <c r="A106" s="69"/>
      <c r="B106" s="88"/>
      <c r="C106" s="7"/>
      <c r="D106" s="7"/>
      <c r="E106" s="3"/>
      <c r="F106" s="5"/>
      <c r="I106" s="25"/>
      <c r="O106" s="25"/>
      <c r="U106" s="46"/>
      <c r="V106" s="46"/>
    </row>
    <row r="107" spans="1:22" ht="15" customHeight="1" thickBot="1" x14ac:dyDescent="0.3">
      <c r="A107" s="69"/>
      <c r="B107" s="88"/>
      <c r="C107" s="7"/>
      <c r="D107" s="7"/>
      <c r="E107" s="3"/>
      <c r="F107" s="5"/>
      <c r="I107" s="25"/>
      <c r="O107" s="25"/>
      <c r="U107" s="46"/>
      <c r="V107" s="46"/>
    </row>
    <row r="108" spans="1:22" ht="15" customHeight="1" thickBot="1" x14ac:dyDescent="0.3">
      <c r="A108" s="74"/>
      <c r="B108" s="88"/>
      <c r="C108" s="7"/>
      <c r="D108" s="7"/>
      <c r="E108" s="3"/>
      <c r="F108" s="5"/>
      <c r="I108" s="25"/>
      <c r="O108" s="25"/>
      <c r="U108" s="46"/>
      <c r="V108" s="46"/>
    </row>
    <row r="109" spans="1:22" ht="15" customHeight="1" x14ac:dyDescent="0.25">
      <c r="A109" s="76"/>
      <c r="B109" s="88"/>
      <c r="C109" s="7"/>
      <c r="D109" s="7"/>
      <c r="E109" s="3"/>
      <c r="F109" s="5"/>
      <c r="I109" s="25"/>
      <c r="O109" s="25"/>
      <c r="U109" s="46"/>
      <c r="V109" s="46"/>
    </row>
    <row r="110" spans="1:22" ht="15" customHeight="1" x14ac:dyDescent="0.25">
      <c r="A110" s="17"/>
      <c r="B110" s="88"/>
      <c r="C110" s="7"/>
      <c r="D110" s="7"/>
      <c r="E110" s="3"/>
      <c r="F110" s="5"/>
      <c r="I110" s="25"/>
      <c r="O110" s="25"/>
      <c r="U110" s="46"/>
      <c r="V110" s="46"/>
    </row>
    <row r="111" spans="1:22" ht="15" customHeight="1" x14ac:dyDescent="0.25">
      <c r="A111" s="17"/>
      <c r="B111" s="88"/>
      <c r="C111" s="7"/>
      <c r="D111" s="7"/>
      <c r="E111" s="3"/>
      <c r="F111" s="5"/>
      <c r="I111" s="25"/>
      <c r="O111" s="25"/>
      <c r="U111" s="46"/>
      <c r="V111" s="46"/>
    </row>
    <row r="112" spans="1:22" ht="15" customHeight="1" x14ac:dyDescent="0.25">
      <c r="A112" s="17"/>
      <c r="B112" s="88"/>
      <c r="C112" s="7"/>
      <c r="D112" s="7"/>
      <c r="E112" s="3"/>
      <c r="F112" s="5"/>
      <c r="I112" s="25"/>
      <c r="O112" s="25"/>
      <c r="U112" s="46"/>
      <c r="V112" s="46"/>
    </row>
    <row r="113" spans="1:22" ht="15" customHeight="1" x14ac:dyDescent="0.25">
      <c r="A113" s="17"/>
      <c r="B113" s="88"/>
      <c r="C113" s="7"/>
      <c r="D113" s="7"/>
      <c r="E113" s="3"/>
      <c r="F113" s="5"/>
      <c r="I113" s="25"/>
      <c r="O113" s="25"/>
      <c r="U113" s="46"/>
      <c r="V113" s="46"/>
    </row>
    <row r="114" spans="1:22" ht="15" customHeight="1" x14ac:dyDescent="0.25">
      <c r="A114" s="17"/>
      <c r="B114" s="88"/>
      <c r="C114" s="7"/>
      <c r="D114" s="7"/>
      <c r="E114" s="3"/>
      <c r="F114" s="5"/>
      <c r="I114" s="25"/>
      <c r="O114" s="25"/>
      <c r="U114" s="46"/>
      <c r="V114" s="46"/>
    </row>
    <row r="115" spans="1:22" ht="15" customHeight="1" x14ac:dyDescent="0.25">
      <c r="A115" s="17"/>
      <c r="B115" s="88"/>
      <c r="C115" s="7"/>
      <c r="D115" s="7"/>
      <c r="E115" s="3"/>
      <c r="F115" s="5"/>
      <c r="I115" s="25"/>
      <c r="O115" s="25"/>
      <c r="U115" s="46"/>
      <c r="V115" s="46"/>
    </row>
    <row r="116" spans="1:22" ht="15" customHeight="1" x14ac:dyDescent="0.25">
      <c r="A116" s="17"/>
      <c r="B116" s="88"/>
      <c r="C116" s="7"/>
      <c r="D116" s="7"/>
      <c r="E116" s="3"/>
      <c r="F116" s="5"/>
      <c r="I116" s="25"/>
      <c r="O116" s="25"/>
      <c r="U116" s="46"/>
      <c r="V116" s="46"/>
    </row>
    <row r="117" spans="1:22" ht="15" customHeight="1" x14ac:dyDescent="0.25">
      <c r="A117" s="17"/>
      <c r="B117" s="88"/>
      <c r="C117" s="7"/>
      <c r="D117" s="7"/>
      <c r="E117" s="3"/>
      <c r="F117" s="5"/>
      <c r="I117" s="25"/>
      <c r="O117" s="25"/>
      <c r="U117" s="46"/>
      <c r="V117" s="46"/>
    </row>
    <row r="118" spans="1:22" ht="15" customHeight="1" x14ac:dyDescent="0.25">
      <c r="A118" s="17"/>
      <c r="B118" s="88"/>
      <c r="C118" s="7"/>
      <c r="D118" s="7"/>
      <c r="E118" s="3"/>
      <c r="F118" s="5"/>
      <c r="I118" s="25"/>
      <c r="O118" s="25"/>
      <c r="U118" s="46"/>
      <c r="V118" s="46"/>
    </row>
    <row r="119" spans="1:22" ht="15" customHeight="1" x14ac:dyDescent="0.25">
      <c r="A119" s="17"/>
      <c r="B119" s="88"/>
      <c r="C119" s="7"/>
      <c r="D119" s="7"/>
      <c r="E119" s="3"/>
      <c r="F119" s="5"/>
      <c r="I119" s="25"/>
      <c r="O119" s="25"/>
      <c r="U119" s="46"/>
      <c r="V119" s="46"/>
    </row>
    <row r="120" spans="1:22" ht="15" customHeight="1" x14ac:dyDescent="0.25">
      <c r="A120" s="17"/>
      <c r="B120" s="88"/>
      <c r="C120" s="7"/>
      <c r="D120" s="7"/>
      <c r="E120" s="3"/>
      <c r="F120" s="5"/>
      <c r="I120" s="25"/>
      <c r="O120" s="25"/>
      <c r="U120" s="46"/>
      <c r="V120" s="46"/>
    </row>
    <row r="121" spans="1:22" ht="15" customHeight="1" x14ac:dyDescent="0.25">
      <c r="A121" s="17"/>
      <c r="B121" s="88"/>
      <c r="C121" s="7"/>
      <c r="D121" s="7"/>
      <c r="E121" s="3"/>
      <c r="F121" s="5"/>
      <c r="I121" s="25"/>
      <c r="O121" s="25"/>
      <c r="U121" s="46"/>
      <c r="V121" s="46"/>
    </row>
    <row r="122" spans="1:22" ht="15" customHeight="1" x14ac:dyDescent="0.25">
      <c r="A122" s="17"/>
      <c r="B122" s="88"/>
      <c r="C122" s="7"/>
      <c r="D122" s="7"/>
      <c r="E122" s="3"/>
      <c r="F122" s="5"/>
      <c r="I122" s="25"/>
      <c r="O122" s="25"/>
      <c r="U122" s="46"/>
      <c r="V122" s="46"/>
    </row>
    <row r="123" spans="1:22" ht="15" customHeight="1" x14ac:dyDescent="0.25">
      <c r="A123" s="17"/>
      <c r="B123" s="88"/>
      <c r="C123" s="7"/>
      <c r="D123" s="7"/>
      <c r="E123" s="3"/>
      <c r="F123" s="5"/>
      <c r="I123" s="25"/>
      <c r="O123" s="25"/>
      <c r="U123" s="46"/>
      <c r="V123" s="46"/>
    </row>
    <row r="124" spans="1:22" ht="15" customHeight="1" x14ac:dyDescent="0.25">
      <c r="A124" s="17"/>
      <c r="B124" s="88"/>
      <c r="C124" s="7"/>
      <c r="D124" s="7"/>
      <c r="E124" s="3"/>
      <c r="F124" s="5"/>
      <c r="I124" s="25"/>
      <c r="O124" s="25"/>
      <c r="U124" s="46"/>
      <c r="V124" s="46"/>
    </row>
    <row r="125" spans="1:22" ht="15" customHeight="1" x14ac:dyDescent="0.25">
      <c r="A125" s="17"/>
      <c r="B125" s="88"/>
      <c r="C125" s="7"/>
      <c r="D125" s="7"/>
      <c r="E125" s="3"/>
      <c r="F125" s="5"/>
      <c r="I125" s="25"/>
      <c r="O125" s="25"/>
      <c r="U125" s="46"/>
      <c r="V125" s="46"/>
    </row>
    <row r="126" spans="1:22" ht="15" customHeight="1" x14ac:dyDescent="0.25">
      <c r="A126" s="17"/>
      <c r="B126" s="88"/>
      <c r="C126" s="7"/>
      <c r="D126" s="7"/>
      <c r="E126" s="3"/>
      <c r="F126" s="5"/>
      <c r="I126" s="25"/>
      <c r="O126" s="25"/>
      <c r="U126" s="46"/>
      <c r="V126" s="46"/>
    </row>
    <row r="127" spans="1:22" ht="15" customHeight="1" x14ac:dyDescent="0.25">
      <c r="A127" s="17"/>
      <c r="B127" s="88"/>
      <c r="C127" s="7"/>
      <c r="D127" s="7"/>
      <c r="E127" s="3"/>
      <c r="F127" s="5"/>
      <c r="I127" s="25"/>
      <c r="O127" s="25"/>
      <c r="U127" s="46"/>
      <c r="V127" s="46"/>
    </row>
    <row r="128" spans="1:22" ht="15" customHeight="1" x14ac:dyDescent="0.25">
      <c r="A128" s="17"/>
      <c r="B128" s="88"/>
      <c r="C128" s="7"/>
      <c r="D128" s="7"/>
      <c r="E128" s="3"/>
      <c r="F128" s="5"/>
      <c r="I128" s="25"/>
      <c r="O128" s="25"/>
      <c r="U128" s="46"/>
      <c r="V128" s="46"/>
    </row>
  </sheetData>
  <phoneticPr fontId="8" type="noConversion"/>
  <conditionalFormatting sqref="E2:T42 E43:G128 I43:T128 H43:H129">
    <cfRule type="cellIs" dxfId="61" priority="4" operator="lessThan">
      <formula>6</formula>
    </cfRule>
  </conditionalFormatting>
  <conditionalFormatting sqref="P1:T1">
    <cfRule type="cellIs" dxfId="60" priority="3" operator="lessThan">
      <formula>6</formula>
    </cfRule>
  </conditionalFormatting>
  <conditionalFormatting sqref="U1:U34 U43:U128">
    <cfRule type="cellIs" dxfId="59" priority="2" operator="greaterThan">
      <formula>19</formula>
    </cfRule>
  </conditionalFormatting>
  <conditionalFormatting sqref="V1:V34 V43:V128">
    <cfRule type="cellIs" dxfId="58" priority="1" operator="greaterThan">
      <formula>5</formula>
    </cfRule>
  </conditionalFormatting>
  <dataValidations count="4">
    <dataValidation allowBlank="1" showInputMessage="1" showErrorMessage="1" prompt="jumlah nilai pelajaran seluruh siswi dibagi Jumlah siswi _x000a_- tanpa mengikutkan yang boyong/ cuty _x000a_- siswi yang her/ tanpa keterangan dikira kirakan 4 nilainya" sqref="H37:H50" xr:uid="{C6F4B7B6-2574-4709-A83E-A38B6D70EA19}"/>
    <dataValidation operator="equal"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Pondok Pesantren." sqref="A109" xr:uid="{9C5FD123-02C0-4679-B2CF-E5719582792C}"/>
    <dataValidation allowBlank="1" showInputMessage="1" showErrorMessage="1" promptTitle="Petunjuk Pengisian" prompt="Tidak Izin 6 Hari dalam 1 Semester dapat menurunkan satu nilai akhlaq" sqref="V43:V128 V1:V34" xr:uid="{D41A6421-4965-49B1-8439-BAB58A324E0C}"/>
    <dataValidation allowBlank="1" showInputMessage="1" showErrorMessage="1" promptTitle="petunjuk Pengisian " prompt="Izin 20 Hari dalam 1 Semester dapat menurunkan satu nilai akhlaq" sqref="U43:U128 U1:U34" xr:uid="{77D5321E-0998-4792-B9F7-CD54A3413E4F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3B67-C2DD-4633-9BAA-3FD6B1461FE1}">
  <dimension ref="A1:V129"/>
  <sheetViews>
    <sheetView zoomScale="70" zoomScaleNormal="70" workbookViewId="0">
      <selection activeCell="S2" sqref="S2"/>
    </sheetView>
  </sheetViews>
  <sheetFormatPr defaultRowHeight="21" x14ac:dyDescent="0.35"/>
  <cols>
    <col min="1" max="1" width="16.28515625" customWidth="1"/>
    <col min="2" max="2" width="30.85546875" style="91" customWidth="1"/>
    <col min="3" max="3" width="16.7109375" customWidth="1"/>
    <col min="4" max="4" width="15.5703125" customWidth="1"/>
    <col min="5" max="5" width="19.140625" customWidth="1"/>
    <col min="7" max="7" width="18.42578125" customWidth="1"/>
    <col min="8" max="8" width="16.42578125" customWidth="1"/>
    <col min="9" max="9" width="22.7109375" customWidth="1"/>
    <col min="10" max="10" width="15.42578125" customWidth="1"/>
    <col min="11" max="12" width="16.85546875" customWidth="1"/>
    <col min="13" max="13" width="18.85546875" customWidth="1"/>
    <col min="14" max="14" width="16.140625" customWidth="1"/>
    <col min="15" max="15" width="17" customWidth="1"/>
    <col min="16" max="16" width="20.7109375" customWidth="1"/>
    <col min="17" max="17" width="23.7109375" customWidth="1"/>
    <col min="20" max="20" width="29.28515625" customWidth="1"/>
  </cols>
  <sheetData>
    <row r="1" spans="1:22" s="20" customFormat="1" ht="25.15" customHeight="1" thickBot="1" x14ac:dyDescent="0.3">
      <c r="A1" s="34" t="s">
        <v>1</v>
      </c>
      <c r="B1" s="86" t="s">
        <v>0</v>
      </c>
      <c r="C1" s="11" t="s">
        <v>2</v>
      </c>
      <c r="D1" s="11" t="s">
        <v>13</v>
      </c>
      <c r="E1" s="39" t="s">
        <v>3</v>
      </c>
      <c r="F1" s="36"/>
      <c r="G1" s="21" t="s">
        <v>51</v>
      </c>
      <c r="H1" s="21" t="s">
        <v>4</v>
      </c>
      <c r="I1" s="22" t="s">
        <v>52</v>
      </c>
      <c r="J1" s="21" t="s">
        <v>5</v>
      </c>
      <c r="K1" s="21" t="s">
        <v>53</v>
      </c>
      <c r="L1" s="21" t="s">
        <v>73</v>
      </c>
      <c r="M1" s="21" t="s">
        <v>54</v>
      </c>
      <c r="N1" s="21" t="s">
        <v>55</v>
      </c>
      <c r="O1" s="22" t="s">
        <v>57</v>
      </c>
      <c r="P1" s="12" t="s">
        <v>6</v>
      </c>
      <c r="Q1" s="12" t="s">
        <v>7</v>
      </c>
      <c r="R1" s="12" t="s">
        <v>8</v>
      </c>
      <c r="S1" s="12" t="s">
        <v>9</v>
      </c>
      <c r="T1" s="13" t="s">
        <v>10</v>
      </c>
      <c r="U1" s="43" t="s">
        <v>11</v>
      </c>
      <c r="V1" s="43" t="s">
        <v>12</v>
      </c>
    </row>
    <row r="2" spans="1:22" s="1" customFormat="1" ht="25.15" customHeight="1" thickBot="1" x14ac:dyDescent="0.3">
      <c r="A2" s="71" t="s">
        <v>14</v>
      </c>
      <c r="B2" s="123" t="s">
        <v>293</v>
      </c>
      <c r="C2" s="84">
        <v>2727</v>
      </c>
      <c r="D2" s="19" t="s">
        <v>14</v>
      </c>
      <c r="E2" s="3" t="str">
        <f>TEXT(F2,"[$-2000000]0")</f>
        <v>٩</v>
      </c>
      <c r="F2" s="3">
        <v>9</v>
      </c>
      <c r="G2" s="3">
        <v>8</v>
      </c>
      <c r="H2" s="3">
        <v>8</v>
      </c>
      <c r="I2" s="3">
        <v>8</v>
      </c>
      <c r="J2" s="3">
        <v>8</v>
      </c>
      <c r="K2" s="3">
        <v>8</v>
      </c>
      <c r="L2" s="3" t="s">
        <v>56</v>
      </c>
      <c r="M2" s="3">
        <v>9</v>
      </c>
      <c r="N2" s="3">
        <v>7</v>
      </c>
      <c r="O2" s="3">
        <v>7</v>
      </c>
      <c r="P2" s="3">
        <v>7</v>
      </c>
      <c r="Q2" s="3">
        <v>7</v>
      </c>
      <c r="R2" s="3">
        <v>8</v>
      </c>
      <c r="S2" s="3">
        <v>8</v>
      </c>
      <c r="T2" s="4">
        <f t="shared" ref="T2:T32" si="0">SUM(E2:S2)</f>
        <v>102</v>
      </c>
      <c r="U2" s="44" t="s">
        <v>56</v>
      </c>
      <c r="V2" s="44" t="s">
        <v>56</v>
      </c>
    </row>
    <row r="3" spans="1:22" s="1" customFormat="1" ht="25.15" customHeight="1" thickBot="1" x14ac:dyDescent="0.3">
      <c r="A3" s="71" t="s">
        <v>15</v>
      </c>
      <c r="B3" s="124" t="s">
        <v>294</v>
      </c>
      <c r="C3" s="84">
        <v>2792</v>
      </c>
      <c r="D3" s="19" t="s">
        <v>15</v>
      </c>
      <c r="E3" s="3" t="str">
        <f t="shared" ref="E3:E33" si="1">TEXT(F3,"[$-2000000]0")</f>
        <v>٦</v>
      </c>
      <c r="F3" s="3">
        <v>6</v>
      </c>
      <c r="G3" s="3">
        <v>6</v>
      </c>
      <c r="H3" s="3">
        <v>6</v>
      </c>
      <c r="I3" s="3">
        <v>6</v>
      </c>
      <c r="J3" s="3">
        <v>5</v>
      </c>
      <c r="K3" s="3">
        <v>4</v>
      </c>
      <c r="L3" s="3" t="s">
        <v>56</v>
      </c>
      <c r="M3" s="3">
        <v>5</v>
      </c>
      <c r="N3" s="3">
        <v>6</v>
      </c>
      <c r="O3" s="3">
        <v>5</v>
      </c>
      <c r="P3" s="3">
        <v>7</v>
      </c>
      <c r="Q3" s="3">
        <v>7</v>
      </c>
      <c r="R3" s="3">
        <v>8</v>
      </c>
      <c r="S3" s="3">
        <v>8</v>
      </c>
      <c r="T3" s="4">
        <f t="shared" si="0"/>
        <v>79</v>
      </c>
      <c r="U3" s="44" t="s">
        <v>56</v>
      </c>
      <c r="V3" s="44" t="s">
        <v>56</v>
      </c>
    </row>
    <row r="4" spans="1:22" s="168" customFormat="1" ht="25.15" customHeight="1" thickBot="1" x14ac:dyDescent="0.3">
      <c r="A4" s="199" t="s">
        <v>16</v>
      </c>
      <c r="B4" s="169" t="s">
        <v>295</v>
      </c>
      <c r="C4" s="185">
        <v>2888</v>
      </c>
      <c r="D4" s="164" t="s">
        <v>16</v>
      </c>
      <c r="E4" s="165" t="str">
        <f t="shared" si="1"/>
        <v>٨</v>
      </c>
      <c r="F4" s="165">
        <v>8</v>
      </c>
      <c r="G4" s="165">
        <v>8</v>
      </c>
      <c r="H4" s="165">
        <v>9</v>
      </c>
      <c r="I4" s="165">
        <v>8</v>
      </c>
      <c r="J4" s="165">
        <v>8</v>
      </c>
      <c r="K4" s="165">
        <v>7</v>
      </c>
      <c r="L4" s="165" t="s">
        <v>56</v>
      </c>
      <c r="M4" s="165">
        <v>8</v>
      </c>
      <c r="N4" s="165">
        <v>9</v>
      </c>
      <c r="O4" s="165">
        <v>8</v>
      </c>
      <c r="P4" s="165">
        <v>8</v>
      </c>
      <c r="Q4" s="165">
        <v>8</v>
      </c>
      <c r="R4" s="165">
        <v>8</v>
      </c>
      <c r="S4" s="165">
        <v>8</v>
      </c>
      <c r="T4" s="165">
        <f t="shared" si="0"/>
        <v>105</v>
      </c>
      <c r="U4" s="167">
        <v>5</v>
      </c>
      <c r="V4" s="167" t="s">
        <v>56</v>
      </c>
    </row>
    <row r="5" spans="1:22" s="1" customFormat="1" ht="25.15" customHeight="1" thickBot="1" x14ac:dyDescent="0.3">
      <c r="A5" s="71" t="s">
        <v>17</v>
      </c>
      <c r="B5" s="124" t="s">
        <v>296</v>
      </c>
      <c r="C5" s="135">
        <v>2854</v>
      </c>
      <c r="D5" s="19" t="s">
        <v>17</v>
      </c>
      <c r="E5" s="3" t="str">
        <f t="shared" si="1"/>
        <v>٩</v>
      </c>
      <c r="F5" s="3">
        <v>9</v>
      </c>
      <c r="G5" s="3">
        <v>8</v>
      </c>
      <c r="H5" s="3">
        <v>9</v>
      </c>
      <c r="I5" s="3">
        <v>8</v>
      </c>
      <c r="J5" s="3">
        <v>7</v>
      </c>
      <c r="K5" s="3">
        <v>7</v>
      </c>
      <c r="L5" s="3" t="s">
        <v>56</v>
      </c>
      <c r="M5" s="3">
        <v>7</v>
      </c>
      <c r="N5" s="3">
        <v>8</v>
      </c>
      <c r="O5" s="3">
        <v>7</v>
      </c>
      <c r="P5" s="3">
        <v>7</v>
      </c>
      <c r="Q5" s="3">
        <v>8</v>
      </c>
      <c r="R5" s="3">
        <v>7</v>
      </c>
      <c r="S5" s="3">
        <v>8</v>
      </c>
      <c r="T5" s="4">
        <f t="shared" si="0"/>
        <v>100</v>
      </c>
      <c r="U5" s="44">
        <v>1</v>
      </c>
      <c r="V5" s="44" t="s">
        <v>56</v>
      </c>
    </row>
    <row r="6" spans="1:22" s="168" customFormat="1" ht="25.15" customHeight="1" thickBot="1" x14ac:dyDescent="0.3">
      <c r="A6" s="199" t="s">
        <v>18</v>
      </c>
      <c r="B6" s="169" t="s">
        <v>297</v>
      </c>
      <c r="C6" s="198">
        <v>2759</v>
      </c>
      <c r="D6" s="164" t="s">
        <v>18</v>
      </c>
      <c r="E6" s="165" t="str">
        <f t="shared" si="1"/>
        <v>٧</v>
      </c>
      <c r="F6" s="165">
        <v>7</v>
      </c>
      <c r="G6" s="165">
        <v>8</v>
      </c>
      <c r="H6" s="165">
        <v>8</v>
      </c>
      <c r="I6" s="165">
        <v>6</v>
      </c>
      <c r="J6" s="165">
        <v>7</v>
      </c>
      <c r="K6" s="165">
        <v>6</v>
      </c>
      <c r="L6" s="165" t="s">
        <v>56</v>
      </c>
      <c r="M6" s="165">
        <v>7</v>
      </c>
      <c r="N6" s="165">
        <v>5</v>
      </c>
      <c r="O6" s="165">
        <v>6</v>
      </c>
      <c r="P6" s="165">
        <v>7</v>
      </c>
      <c r="Q6" s="165">
        <v>8</v>
      </c>
      <c r="R6" s="165">
        <v>8</v>
      </c>
      <c r="S6" s="165">
        <v>7</v>
      </c>
      <c r="T6" s="165">
        <f t="shared" si="0"/>
        <v>90</v>
      </c>
      <c r="U6" s="167">
        <v>2</v>
      </c>
      <c r="V6" s="167" t="s">
        <v>56</v>
      </c>
    </row>
    <row r="7" spans="1:22" s="168" customFormat="1" ht="25.15" customHeight="1" thickBot="1" x14ac:dyDescent="0.3">
      <c r="A7" s="199" t="s">
        <v>19</v>
      </c>
      <c r="B7" s="169" t="s">
        <v>298</v>
      </c>
      <c r="C7" s="185">
        <v>2689</v>
      </c>
      <c r="D7" s="164" t="s">
        <v>19</v>
      </c>
      <c r="E7" s="165" t="str">
        <f t="shared" si="1"/>
        <v>٩</v>
      </c>
      <c r="F7" s="165">
        <v>9</v>
      </c>
      <c r="G7" s="165">
        <v>7</v>
      </c>
      <c r="H7" s="165">
        <v>8</v>
      </c>
      <c r="I7" s="165">
        <v>7</v>
      </c>
      <c r="J7" s="165">
        <v>7</v>
      </c>
      <c r="K7" s="165">
        <v>7</v>
      </c>
      <c r="L7" s="165" t="s">
        <v>56</v>
      </c>
      <c r="M7" s="165">
        <v>8</v>
      </c>
      <c r="N7" s="165">
        <v>9</v>
      </c>
      <c r="O7" s="165">
        <v>7</v>
      </c>
      <c r="P7" s="165">
        <v>7</v>
      </c>
      <c r="Q7" s="165">
        <v>7</v>
      </c>
      <c r="R7" s="165">
        <v>7</v>
      </c>
      <c r="S7" s="165">
        <v>8</v>
      </c>
      <c r="T7" s="165">
        <f t="shared" si="0"/>
        <v>98</v>
      </c>
      <c r="U7" s="167">
        <v>1</v>
      </c>
      <c r="V7" s="167" t="s">
        <v>56</v>
      </c>
    </row>
    <row r="8" spans="1:22" s="1" customFormat="1" ht="25.15" customHeight="1" thickBot="1" x14ac:dyDescent="0.3">
      <c r="A8" s="71" t="s">
        <v>20</v>
      </c>
      <c r="B8" s="124" t="s">
        <v>299</v>
      </c>
      <c r="C8" s="84">
        <v>2760</v>
      </c>
      <c r="D8" s="19" t="s">
        <v>20</v>
      </c>
      <c r="E8" s="3" t="str">
        <f t="shared" si="1"/>
        <v>٩</v>
      </c>
      <c r="F8" s="3">
        <v>9</v>
      </c>
      <c r="G8" s="3">
        <v>9</v>
      </c>
      <c r="H8" s="3">
        <v>9</v>
      </c>
      <c r="I8" s="3">
        <v>9</v>
      </c>
      <c r="J8" s="3">
        <v>9</v>
      </c>
      <c r="K8" s="3">
        <v>9</v>
      </c>
      <c r="L8" s="3" t="s">
        <v>56</v>
      </c>
      <c r="M8" s="3">
        <v>9</v>
      </c>
      <c r="N8" s="3">
        <v>9</v>
      </c>
      <c r="O8" s="3">
        <v>9</v>
      </c>
      <c r="P8" s="3">
        <v>9</v>
      </c>
      <c r="Q8" s="3">
        <v>8</v>
      </c>
      <c r="R8" s="3">
        <v>8</v>
      </c>
      <c r="S8" s="3">
        <v>8</v>
      </c>
      <c r="T8" s="4">
        <f t="shared" si="0"/>
        <v>114</v>
      </c>
      <c r="U8" s="44" t="s">
        <v>56</v>
      </c>
      <c r="V8" s="44" t="s">
        <v>56</v>
      </c>
    </row>
    <row r="9" spans="1:22" s="1" customFormat="1" ht="25.15" customHeight="1" thickBot="1" x14ac:dyDescent="0.3">
      <c r="A9" s="126" t="s">
        <v>21</v>
      </c>
      <c r="B9" s="124" t="s">
        <v>300</v>
      </c>
      <c r="C9" s="85">
        <v>2734</v>
      </c>
      <c r="D9" s="19" t="s">
        <v>21</v>
      </c>
      <c r="E9" s="3" t="str">
        <f t="shared" si="1"/>
        <v>٥</v>
      </c>
      <c r="F9" s="3">
        <v>5</v>
      </c>
      <c r="G9" s="3">
        <v>4</v>
      </c>
      <c r="H9" s="3">
        <v>7</v>
      </c>
      <c r="I9" s="3">
        <v>5</v>
      </c>
      <c r="J9" s="3">
        <v>4</v>
      </c>
      <c r="K9" s="3">
        <v>6</v>
      </c>
      <c r="L9" s="3" t="s">
        <v>56</v>
      </c>
      <c r="M9" s="3">
        <v>7</v>
      </c>
      <c r="N9" s="3">
        <v>4</v>
      </c>
      <c r="O9" s="3">
        <v>6</v>
      </c>
      <c r="P9" s="3">
        <v>7</v>
      </c>
      <c r="Q9" s="3">
        <v>7</v>
      </c>
      <c r="R9" s="3">
        <v>6</v>
      </c>
      <c r="S9" s="3">
        <v>8</v>
      </c>
      <c r="T9" s="4">
        <f t="shared" si="0"/>
        <v>76</v>
      </c>
      <c r="U9" s="44">
        <v>1</v>
      </c>
      <c r="V9" s="44" t="s">
        <v>56</v>
      </c>
    </row>
    <row r="10" spans="1:22" s="1" customFormat="1" ht="25.15" customHeight="1" thickBot="1" x14ac:dyDescent="0.3">
      <c r="A10" s="127" t="s">
        <v>22</v>
      </c>
      <c r="B10" s="124" t="s">
        <v>301</v>
      </c>
      <c r="C10" s="85">
        <v>2866</v>
      </c>
      <c r="D10" s="19" t="s">
        <v>22</v>
      </c>
      <c r="E10" s="3" t="str">
        <f t="shared" si="1"/>
        <v>٦</v>
      </c>
      <c r="F10" s="3">
        <v>6</v>
      </c>
      <c r="G10" s="3">
        <v>7</v>
      </c>
      <c r="H10" s="3">
        <v>7</v>
      </c>
      <c r="I10" s="3">
        <v>4</v>
      </c>
      <c r="J10" s="3">
        <v>7</v>
      </c>
      <c r="K10" s="3">
        <v>5</v>
      </c>
      <c r="L10" s="3" t="s">
        <v>56</v>
      </c>
      <c r="M10" s="3">
        <v>6</v>
      </c>
      <c r="N10" s="3">
        <v>6</v>
      </c>
      <c r="O10" s="3">
        <v>6</v>
      </c>
      <c r="P10" s="3">
        <v>7</v>
      </c>
      <c r="Q10" s="3">
        <v>7</v>
      </c>
      <c r="R10" s="3">
        <v>7</v>
      </c>
      <c r="S10" s="3">
        <v>7</v>
      </c>
      <c r="T10" s="4">
        <f t="shared" si="0"/>
        <v>82</v>
      </c>
      <c r="U10" s="44" t="s">
        <v>56</v>
      </c>
      <c r="V10" s="44" t="s">
        <v>56</v>
      </c>
    </row>
    <row r="11" spans="1:22" s="168" customFormat="1" ht="25.15" customHeight="1" thickBot="1" x14ac:dyDescent="0.3">
      <c r="A11" s="201" t="s">
        <v>24</v>
      </c>
      <c r="B11" s="162" t="s">
        <v>302</v>
      </c>
      <c r="C11" s="163">
        <v>2697</v>
      </c>
      <c r="D11" s="164" t="s">
        <v>23</v>
      </c>
      <c r="E11" s="165" t="str">
        <f t="shared" si="1"/>
        <v>٧</v>
      </c>
      <c r="F11" s="165">
        <v>7</v>
      </c>
      <c r="G11" s="165">
        <v>8</v>
      </c>
      <c r="H11" s="165">
        <v>9</v>
      </c>
      <c r="I11" s="165">
        <v>6</v>
      </c>
      <c r="J11" s="165">
        <v>8</v>
      </c>
      <c r="K11" s="165">
        <v>7</v>
      </c>
      <c r="L11" s="165" t="s">
        <v>56</v>
      </c>
      <c r="M11" s="165">
        <v>7</v>
      </c>
      <c r="N11" s="165">
        <v>9</v>
      </c>
      <c r="O11" s="165">
        <v>6</v>
      </c>
      <c r="P11" s="165">
        <v>7</v>
      </c>
      <c r="Q11" s="165">
        <v>8</v>
      </c>
      <c r="R11" s="165">
        <v>8</v>
      </c>
      <c r="S11" s="165">
        <v>7</v>
      </c>
      <c r="T11" s="165">
        <f t="shared" si="0"/>
        <v>97</v>
      </c>
      <c r="U11" s="167">
        <v>1</v>
      </c>
      <c r="V11" s="167" t="s">
        <v>56</v>
      </c>
    </row>
    <row r="12" spans="1:22" s="1" customFormat="1" ht="25.15" customHeight="1" thickBot="1" x14ac:dyDescent="0.3">
      <c r="A12" s="127" t="s">
        <v>25</v>
      </c>
      <c r="B12" s="124" t="s">
        <v>303</v>
      </c>
      <c r="C12" s="85">
        <v>2867</v>
      </c>
      <c r="D12" s="19" t="s">
        <v>24</v>
      </c>
      <c r="E12" s="3" t="str">
        <f t="shared" si="1"/>
        <v>٧</v>
      </c>
      <c r="F12" s="3">
        <v>7</v>
      </c>
      <c r="G12" s="3">
        <v>7</v>
      </c>
      <c r="H12" s="3">
        <v>7</v>
      </c>
      <c r="I12" s="3">
        <v>4</v>
      </c>
      <c r="J12" s="3">
        <v>7</v>
      </c>
      <c r="K12" s="3">
        <v>8</v>
      </c>
      <c r="L12" s="3" t="s">
        <v>56</v>
      </c>
      <c r="M12" s="3">
        <v>6</v>
      </c>
      <c r="N12" s="3">
        <v>4</v>
      </c>
      <c r="O12" s="3">
        <v>7</v>
      </c>
      <c r="P12" s="3">
        <v>7</v>
      </c>
      <c r="Q12" s="3">
        <v>7</v>
      </c>
      <c r="R12" s="3">
        <v>7</v>
      </c>
      <c r="S12" s="3">
        <v>8</v>
      </c>
      <c r="T12" s="4">
        <f t="shared" si="0"/>
        <v>86</v>
      </c>
      <c r="U12" s="44">
        <v>1</v>
      </c>
      <c r="V12" s="44" t="s">
        <v>56</v>
      </c>
    </row>
    <row r="13" spans="1:22" s="1" customFormat="1" ht="25.15" customHeight="1" thickBot="1" x14ac:dyDescent="0.3">
      <c r="A13" s="71" t="s">
        <v>26</v>
      </c>
      <c r="B13" s="124" t="s">
        <v>304</v>
      </c>
      <c r="C13" s="85">
        <v>2896</v>
      </c>
      <c r="D13" s="19" t="s">
        <v>25</v>
      </c>
      <c r="E13" s="3" t="str">
        <f t="shared" si="1"/>
        <v>٨</v>
      </c>
      <c r="F13" s="3">
        <v>8</v>
      </c>
      <c r="G13" s="3">
        <v>7</v>
      </c>
      <c r="H13" s="3">
        <v>8</v>
      </c>
      <c r="I13" s="3">
        <v>6</v>
      </c>
      <c r="J13" s="3">
        <v>7</v>
      </c>
      <c r="K13" s="3">
        <v>7</v>
      </c>
      <c r="L13" s="3" t="s">
        <v>56</v>
      </c>
      <c r="M13" s="3">
        <v>7</v>
      </c>
      <c r="N13" s="3">
        <v>6</v>
      </c>
      <c r="O13" s="3">
        <v>9</v>
      </c>
      <c r="P13" s="3">
        <v>8</v>
      </c>
      <c r="Q13" s="3">
        <v>7</v>
      </c>
      <c r="R13" s="3">
        <v>8</v>
      </c>
      <c r="S13" s="3">
        <v>8</v>
      </c>
      <c r="T13" s="4">
        <f t="shared" si="0"/>
        <v>96</v>
      </c>
      <c r="U13" s="44">
        <v>1</v>
      </c>
      <c r="V13" s="44" t="s">
        <v>56</v>
      </c>
    </row>
    <row r="14" spans="1:22" s="1" customFormat="1" ht="25.15" customHeight="1" thickBot="1" x14ac:dyDescent="0.3">
      <c r="A14" s="71" t="s">
        <v>27</v>
      </c>
      <c r="B14" s="124" t="s">
        <v>305</v>
      </c>
      <c r="C14" s="84">
        <v>2661</v>
      </c>
      <c r="D14" s="19" t="s">
        <v>26</v>
      </c>
      <c r="E14" s="3" t="str">
        <f t="shared" si="1"/>
        <v>٧</v>
      </c>
      <c r="F14" s="3">
        <v>7</v>
      </c>
      <c r="G14" s="3">
        <v>7</v>
      </c>
      <c r="H14" s="3">
        <v>9</v>
      </c>
      <c r="I14" s="3">
        <v>4</v>
      </c>
      <c r="J14" s="3">
        <v>5</v>
      </c>
      <c r="K14" s="3">
        <v>5</v>
      </c>
      <c r="L14" s="3" t="s">
        <v>56</v>
      </c>
      <c r="M14" s="3">
        <v>6</v>
      </c>
      <c r="N14" s="3">
        <v>5</v>
      </c>
      <c r="O14" s="3">
        <v>7</v>
      </c>
      <c r="P14" s="3">
        <v>8</v>
      </c>
      <c r="Q14" s="3">
        <v>8</v>
      </c>
      <c r="R14" s="3">
        <v>7</v>
      </c>
      <c r="S14" s="3">
        <v>7</v>
      </c>
      <c r="T14" s="4">
        <f t="shared" si="0"/>
        <v>85</v>
      </c>
      <c r="U14" s="44" t="s">
        <v>56</v>
      </c>
      <c r="V14" s="44" t="s">
        <v>56</v>
      </c>
    </row>
    <row r="15" spans="1:22" s="1" customFormat="1" ht="25.15" customHeight="1" thickBot="1" x14ac:dyDescent="0.3">
      <c r="A15" s="71" t="s">
        <v>28</v>
      </c>
      <c r="B15" s="124" t="s">
        <v>306</v>
      </c>
      <c r="C15" s="85">
        <v>2833</v>
      </c>
      <c r="D15" s="19" t="s">
        <v>27</v>
      </c>
      <c r="E15" s="3" t="str">
        <f t="shared" si="1"/>
        <v>٨</v>
      </c>
      <c r="F15" s="3">
        <v>8</v>
      </c>
      <c r="G15" s="3">
        <v>9</v>
      </c>
      <c r="H15" s="3">
        <v>9</v>
      </c>
      <c r="I15" s="3">
        <v>8</v>
      </c>
      <c r="J15" s="3">
        <v>9</v>
      </c>
      <c r="K15" s="3">
        <v>9</v>
      </c>
      <c r="L15" s="3" t="s">
        <v>56</v>
      </c>
      <c r="M15" s="3">
        <v>9</v>
      </c>
      <c r="N15" s="3">
        <v>9</v>
      </c>
      <c r="O15" s="3">
        <v>9</v>
      </c>
      <c r="P15" s="3">
        <v>9</v>
      </c>
      <c r="Q15" s="3">
        <v>8</v>
      </c>
      <c r="R15" s="3">
        <v>8</v>
      </c>
      <c r="S15" s="3">
        <v>8</v>
      </c>
      <c r="T15" s="4">
        <f t="shared" si="0"/>
        <v>112</v>
      </c>
      <c r="U15" s="44" t="s">
        <v>56</v>
      </c>
      <c r="V15" s="44" t="s">
        <v>56</v>
      </c>
    </row>
    <row r="16" spans="1:22" s="1" customFormat="1" ht="25.15" customHeight="1" thickBot="1" x14ac:dyDescent="0.3">
      <c r="A16" s="71" t="s">
        <v>29</v>
      </c>
      <c r="B16" s="124" t="s">
        <v>307</v>
      </c>
      <c r="C16" s="85">
        <v>2703</v>
      </c>
      <c r="D16" s="19" t="s">
        <v>28</v>
      </c>
      <c r="E16" s="3" t="str">
        <f t="shared" si="1"/>
        <v>٦</v>
      </c>
      <c r="F16" s="3">
        <v>6</v>
      </c>
      <c r="G16" s="3">
        <v>4</v>
      </c>
      <c r="H16" s="3">
        <v>8</v>
      </c>
      <c r="I16" s="3">
        <v>4</v>
      </c>
      <c r="J16" s="3">
        <v>7</v>
      </c>
      <c r="K16" s="3">
        <v>4</v>
      </c>
      <c r="L16" s="3" t="s">
        <v>56</v>
      </c>
      <c r="M16" s="3">
        <v>5</v>
      </c>
      <c r="N16" s="3">
        <v>4</v>
      </c>
      <c r="O16" s="3">
        <v>6</v>
      </c>
      <c r="P16" s="3">
        <v>8</v>
      </c>
      <c r="Q16" s="3">
        <v>7</v>
      </c>
      <c r="R16" s="3">
        <v>8</v>
      </c>
      <c r="S16" s="3">
        <v>8</v>
      </c>
      <c r="T16" s="4">
        <f t="shared" si="0"/>
        <v>79</v>
      </c>
      <c r="U16" s="44">
        <v>1</v>
      </c>
      <c r="V16" s="44">
        <v>1</v>
      </c>
    </row>
    <row r="17" spans="1:22" s="168" customFormat="1" ht="25.15" customHeight="1" thickBot="1" x14ac:dyDescent="0.3">
      <c r="A17" s="199" t="s">
        <v>30</v>
      </c>
      <c r="B17" s="169" t="s">
        <v>308</v>
      </c>
      <c r="C17" s="163">
        <v>2836</v>
      </c>
      <c r="D17" s="164" t="s">
        <v>29</v>
      </c>
      <c r="E17" s="165" t="str">
        <f t="shared" si="1"/>
        <v>٤</v>
      </c>
      <c r="F17" s="165">
        <v>4</v>
      </c>
      <c r="G17" s="165">
        <v>7</v>
      </c>
      <c r="H17" s="165">
        <v>6</v>
      </c>
      <c r="I17" s="165">
        <v>4</v>
      </c>
      <c r="J17" s="165">
        <v>5</v>
      </c>
      <c r="K17" s="165">
        <v>4</v>
      </c>
      <c r="L17" s="165" t="s">
        <v>56</v>
      </c>
      <c r="M17" s="165">
        <v>5</v>
      </c>
      <c r="N17" s="165">
        <v>6</v>
      </c>
      <c r="O17" s="165">
        <v>5</v>
      </c>
      <c r="P17" s="165">
        <v>8</v>
      </c>
      <c r="Q17" s="165">
        <v>7</v>
      </c>
      <c r="R17" s="165">
        <v>7</v>
      </c>
      <c r="S17" s="165">
        <v>7</v>
      </c>
      <c r="T17" s="165">
        <f t="shared" si="0"/>
        <v>75</v>
      </c>
      <c r="U17" s="167">
        <v>1</v>
      </c>
      <c r="V17" s="167" t="s">
        <v>56</v>
      </c>
    </row>
    <row r="18" spans="1:22" s="1" customFormat="1" ht="25.15" customHeight="1" thickBot="1" x14ac:dyDescent="0.3">
      <c r="A18" s="71" t="s">
        <v>31</v>
      </c>
      <c r="B18" s="124" t="s">
        <v>309</v>
      </c>
      <c r="C18" s="85">
        <v>2773</v>
      </c>
      <c r="D18" s="19" t="s">
        <v>30</v>
      </c>
      <c r="E18" s="3" t="str">
        <f t="shared" si="1"/>
        <v>٩</v>
      </c>
      <c r="F18" s="3">
        <v>9</v>
      </c>
      <c r="G18" s="3">
        <v>9</v>
      </c>
      <c r="H18" s="3">
        <v>9</v>
      </c>
      <c r="I18" s="3">
        <v>9</v>
      </c>
      <c r="J18" s="3">
        <v>9</v>
      </c>
      <c r="K18" s="3">
        <v>9</v>
      </c>
      <c r="L18" s="3" t="s">
        <v>56</v>
      </c>
      <c r="M18" s="3">
        <v>9</v>
      </c>
      <c r="N18" s="3">
        <v>9</v>
      </c>
      <c r="O18" s="3">
        <v>9</v>
      </c>
      <c r="P18" s="3">
        <v>9</v>
      </c>
      <c r="Q18" s="3">
        <v>8</v>
      </c>
      <c r="R18" s="3">
        <v>8</v>
      </c>
      <c r="S18" s="3">
        <v>8</v>
      </c>
      <c r="T18" s="4">
        <f t="shared" si="0"/>
        <v>114</v>
      </c>
      <c r="U18" s="44" t="s">
        <v>56</v>
      </c>
      <c r="V18" s="44" t="s">
        <v>56</v>
      </c>
    </row>
    <row r="19" spans="1:22" s="1" customFormat="1" ht="25.15" customHeight="1" thickBot="1" x14ac:dyDescent="0.3">
      <c r="A19" s="71" t="s">
        <v>32</v>
      </c>
      <c r="B19" s="124" t="s">
        <v>310</v>
      </c>
      <c r="C19" s="134">
        <v>2669</v>
      </c>
      <c r="D19" s="19" t="s">
        <v>31</v>
      </c>
      <c r="E19" s="3" t="str">
        <f t="shared" si="1"/>
        <v>٧</v>
      </c>
      <c r="F19" s="3">
        <v>7</v>
      </c>
      <c r="G19" s="3">
        <v>6</v>
      </c>
      <c r="H19" s="3">
        <v>9</v>
      </c>
      <c r="I19" s="3">
        <v>5</v>
      </c>
      <c r="J19" s="3">
        <v>5</v>
      </c>
      <c r="K19" s="3">
        <v>6</v>
      </c>
      <c r="L19" s="3" t="s">
        <v>56</v>
      </c>
      <c r="M19" s="3">
        <v>5</v>
      </c>
      <c r="N19" s="3">
        <v>5</v>
      </c>
      <c r="O19" s="3">
        <v>7</v>
      </c>
      <c r="P19" s="3">
        <v>7</v>
      </c>
      <c r="Q19" s="3">
        <v>7</v>
      </c>
      <c r="R19" s="3">
        <v>7</v>
      </c>
      <c r="S19" s="3">
        <v>8</v>
      </c>
      <c r="T19" s="4">
        <f t="shared" si="0"/>
        <v>84</v>
      </c>
      <c r="U19" s="44">
        <v>1</v>
      </c>
      <c r="V19" s="44" t="s">
        <v>56</v>
      </c>
    </row>
    <row r="20" spans="1:22" s="1" customFormat="1" ht="25.15" customHeight="1" thickBot="1" x14ac:dyDescent="0.3">
      <c r="A20" s="71" t="s">
        <v>33</v>
      </c>
      <c r="B20" s="124" t="s">
        <v>311</v>
      </c>
      <c r="C20" s="84">
        <v>2744</v>
      </c>
      <c r="D20" s="19" t="s">
        <v>32</v>
      </c>
      <c r="E20" s="3" t="str">
        <f t="shared" si="1"/>
        <v>٩</v>
      </c>
      <c r="F20" s="3">
        <v>9</v>
      </c>
      <c r="G20" s="3">
        <v>9</v>
      </c>
      <c r="H20" s="3">
        <v>9</v>
      </c>
      <c r="I20" s="3">
        <v>9</v>
      </c>
      <c r="J20" s="3">
        <v>8</v>
      </c>
      <c r="K20" s="3">
        <v>8</v>
      </c>
      <c r="L20" s="3" t="s">
        <v>56</v>
      </c>
      <c r="M20" s="3">
        <v>8</v>
      </c>
      <c r="N20" s="3">
        <v>9</v>
      </c>
      <c r="O20" s="3">
        <v>9</v>
      </c>
      <c r="P20" s="3">
        <v>9</v>
      </c>
      <c r="Q20" s="3">
        <v>8</v>
      </c>
      <c r="R20" s="3">
        <v>8</v>
      </c>
      <c r="S20" s="3">
        <v>8</v>
      </c>
      <c r="T20" s="4">
        <f t="shared" si="0"/>
        <v>111</v>
      </c>
      <c r="U20" s="44" t="s">
        <v>56</v>
      </c>
      <c r="V20" s="44" t="s">
        <v>56</v>
      </c>
    </row>
    <row r="21" spans="1:22" s="108" customFormat="1" ht="25.15" customHeight="1" thickBot="1" x14ac:dyDescent="0.3">
      <c r="A21" s="104" t="s">
        <v>34</v>
      </c>
      <c r="B21" s="137" t="s">
        <v>312</v>
      </c>
      <c r="C21" s="143">
        <v>2776</v>
      </c>
      <c r="D21" s="105" t="s">
        <v>33</v>
      </c>
      <c r="E21" s="106" t="str">
        <f t="shared" si="1"/>
        <v>٨</v>
      </c>
      <c r="F21" s="106">
        <v>8</v>
      </c>
      <c r="G21" s="106">
        <v>7</v>
      </c>
      <c r="H21" s="106">
        <v>9</v>
      </c>
      <c r="I21" s="106">
        <v>4</v>
      </c>
      <c r="J21" s="106">
        <v>5</v>
      </c>
      <c r="K21" s="106">
        <v>9</v>
      </c>
      <c r="L21" s="3" t="s">
        <v>56</v>
      </c>
      <c r="M21" s="106">
        <v>8</v>
      </c>
      <c r="N21" s="106">
        <v>8</v>
      </c>
      <c r="O21" s="106">
        <v>6</v>
      </c>
      <c r="P21" s="106">
        <v>8</v>
      </c>
      <c r="Q21" s="106">
        <v>8</v>
      </c>
      <c r="R21" s="106">
        <v>7</v>
      </c>
      <c r="S21" s="106">
        <v>8</v>
      </c>
      <c r="T21" s="106">
        <f t="shared" si="0"/>
        <v>95</v>
      </c>
      <c r="U21" s="107" t="s">
        <v>56</v>
      </c>
      <c r="V21" s="44" t="s">
        <v>56</v>
      </c>
    </row>
    <row r="22" spans="1:22" s="1" customFormat="1" ht="25.15" customHeight="1" thickBot="1" x14ac:dyDescent="0.3">
      <c r="A22" s="71" t="s">
        <v>35</v>
      </c>
      <c r="B22" s="124" t="s">
        <v>313</v>
      </c>
      <c r="C22" s="85">
        <v>2840</v>
      </c>
      <c r="D22" s="19" t="s">
        <v>34</v>
      </c>
      <c r="E22" s="3" t="str">
        <f t="shared" si="1"/>
        <v>٩</v>
      </c>
      <c r="F22" s="3">
        <v>9</v>
      </c>
      <c r="G22" s="3">
        <v>9</v>
      </c>
      <c r="H22" s="3">
        <v>9</v>
      </c>
      <c r="I22" s="3">
        <v>9</v>
      </c>
      <c r="J22" s="3">
        <v>9</v>
      </c>
      <c r="K22" s="3">
        <v>9</v>
      </c>
      <c r="L22" s="3" t="s">
        <v>56</v>
      </c>
      <c r="M22" s="3">
        <v>9</v>
      </c>
      <c r="N22" s="3">
        <v>9</v>
      </c>
      <c r="O22" s="3">
        <v>9</v>
      </c>
      <c r="P22" s="3">
        <v>8</v>
      </c>
      <c r="Q22" s="3">
        <v>8</v>
      </c>
      <c r="R22" s="3">
        <v>8</v>
      </c>
      <c r="S22" s="3">
        <v>8</v>
      </c>
      <c r="T22" s="4">
        <f t="shared" si="0"/>
        <v>113</v>
      </c>
      <c r="U22" s="44">
        <v>1</v>
      </c>
      <c r="V22" s="44" t="s">
        <v>56</v>
      </c>
    </row>
    <row r="23" spans="1:22" s="1" customFormat="1" ht="25.15" customHeight="1" thickBot="1" x14ac:dyDescent="0.3">
      <c r="A23" s="71">
        <v>23</v>
      </c>
      <c r="B23" s="125" t="s">
        <v>314</v>
      </c>
      <c r="C23" s="85">
        <v>2902</v>
      </c>
      <c r="D23" s="19" t="s">
        <v>35</v>
      </c>
      <c r="E23" s="3" t="str">
        <f t="shared" si="1"/>
        <v>٧</v>
      </c>
      <c r="F23" s="3">
        <v>7</v>
      </c>
      <c r="G23" s="3">
        <v>5</v>
      </c>
      <c r="H23" s="3">
        <v>7</v>
      </c>
      <c r="I23" s="3">
        <v>4</v>
      </c>
      <c r="J23" s="3">
        <v>4</v>
      </c>
      <c r="K23" s="3">
        <v>6</v>
      </c>
      <c r="L23" s="3" t="s">
        <v>56</v>
      </c>
      <c r="M23" s="3">
        <v>7</v>
      </c>
      <c r="N23" s="3">
        <v>5</v>
      </c>
      <c r="O23" s="3">
        <v>6</v>
      </c>
      <c r="P23" s="3">
        <v>7</v>
      </c>
      <c r="Q23" s="3">
        <v>7</v>
      </c>
      <c r="R23" s="3">
        <v>8</v>
      </c>
      <c r="S23" s="3">
        <v>7</v>
      </c>
      <c r="T23" s="4">
        <f t="shared" si="0"/>
        <v>80</v>
      </c>
      <c r="U23" s="44">
        <v>1</v>
      </c>
      <c r="V23" s="44" t="s">
        <v>56</v>
      </c>
    </row>
    <row r="24" spans="1:22" s="1" customFormat="1" ht="25.15" customHeight="1" thickBot="1" x14ac:dyDescent="0.3">
      <c r="A24" s="71">
        <v>24</v>
      </c>
      <c r="B24" s="123" t="s">
        <v>315</v>
      </c>
      <c r="C24" s="84">
        <v>2673</v>
      </c>
      <c r="D24" s="19" t="s">
        <v>36</v>
      </c>
      <c r="E24" s="3" t="str">
        <f t="shared" si="1"/>
        <v>٧</v>
      </c>
      <c r="F24" s="3">
        <v>7</v>
      </c>
      <c r="G24" s="3">
        <v>5</v>
      </c>
      <c r="H24" s="3">
        <v>9</v>
      </c>
      <c r="I24" s="3">
        <v>5</v>
      </c>
      <c r="J24" s="3">
        <v>6</v>
      </c>
      <c r="K24" s="3">
        <v>4</v>
      </c>
      <c r="L24" s="3" t="s">
        <v>56</v>
      </c>
      <c r="M24" s="3">
        <v>8</v>
      </c>
      <c r="N24" s="3">
        <v>6</v>
      </c>
      <c r="O24" s="3">
        <v>7</v>
      </c>
      <c r="P24" s="3">
        <v>8</v>
      </c>
      <c r="Q24" s="3">
        <v>8</v>
      </c>
      <c r="R24" s="3">
        <v>8</v>
      </c>
      <c r="S24" s="3">
        <v>7</v>
      </c>
      <c r="T24" s="4">
        <f t="shared" si="0"/>
        <v>88</v>
      </c>
      <c r="U24" s="44">
        <v>2</v>
      </c>
      <c r="V24" s="44" t="s">
        <v>56</v>
      </c>
    </row>
    <row r="25" spans="1:22" s="1" customFormat="1" ht="25.15" customHeight="1" thickBot="1" x14ac:dyDescent="0.3">
      <c r="A25" s="71">
        <v>25</v>
      </c>
      <c r="B25" s="124" t="s">
        <v>316</v>
      </c>
      <c r="C25" s="84">
        <v>2844</v>
      </c>
      <c r="D25" s="19" t="s">
        <v>37</v>
      </c>
      <c r="E25" s="3" t="str">
        <f t="shared" si="1"/>
        <v>٤</v>
      </c>
      <c r="F25" s="3">
        <v>4</v>
      </c>
      <c r="G25" s="3">
        <v>6</v>
      </c>
      <c r="H25" s="3">
        <v>7</v>
      </c>
      <c r="I25" s="3">
        <v>4</v>
      </c>
      <c r="J25" s="3">
        <v>6</v>
      </c>
      <c r="K25" s="3">
        <v>7</v>
      </c>
      <c r="L25" s="3" t="s">
        <v>56</v>
      </c>
      <c r="M25" s="3">
        <v>7</v>
      </c>
      <c r="N25" s="3">
        <v>7</v>
      </c>
      <c r="O25" s="3">
        <v>6</v>
      </c>
      <c r="P25" s="3">
        <v>7</v>
      </c>
      <c r="Q25" s="3">
        <v>7</v>
      </c>
      <c r="R25" s="3">
        <v>8</v>
      </c>
      <c r="S25" s="3">
        <v>8</v>
      </c>
      <c r="T25" s="4">
        <f t="shared" si="0"/>
        <v>84</v>
      </c>
      <c r="U25" s="44" t="s">
        <v>56</v>
      </c>
      <c r="V25" s="44" t="s">
        <v>56</v>
      </c>
    </row>
    <row r="26" spans="1:22" s="1" customFormat="1" ht="25.15" customHeight="1" thickBot="1" x14ac:dyDescent="0.3">
      <c r="A26" s="71">
        <v>26</v>
      </c>
      <c r="B26" s="124" t="s">
        <v>317</v>
      </c>
      <c r="C26" s="134">
        <v>2816</v>
      </c>
      <c r="D26" s="19" t="s">
        <v>38</v>
      </c>
      <c r="E26" s="3" t="str">
        <f t="shared" si="1"/>
        <v>٩</v>
      </c>
      <c r="F26" s="3">
        <v>9</v>
      </c>
      <c r="G26" s="3">
        <v>8</v>
      </c>
      <c r="H26" s="3">
        <v>7</v>
      </c>
      <c r="I26" s="3">
        <v>9</v>
      </c>
      <c r="J26" s="3">
        <v>9</v>
      </c>
      <c r="K26" s="3">
        <v>8</v>
      </c>
      <c r="L26" s="3" t="s">
        <v>56</v>
      </c>
      <c r="M26" s="3">
        <v>8</v>
      </c>
      <c r="N26" s="3">
        <v>9</v>
      </c>
      <c r="O26" s="3">
        <v>8</v>
      </c>
      <c r="P26" s="3">
        <v>8</v>
      </c>
      <c r="Q26" s="3">
        <v>8</v>
      </c>
      <c r="R26" s="3">
        <v>8</v>
      </c>
      <c r="S26" s="3">
        <v>8</v>
      </c>
      <c r="T26" s="4">
        <f t="shared" si="0"/>
        <v>107</v>
      </c>
      <c r="U26" s="44" t="s">
        <v>56</v>
      </c>
      <c r="V26" s="44" t="s">
        <v>56</v>
      </c>
    </row>
    <row r="27" spans="1:22" s="2" customFormat="1" ht="25.15" customHeight="1" thickBot="1" x14ac:dyDescent="0.3">
      <c r="A27" s="71">
        <v>27</v>
      </c>
      <c r="B27" s="124" t="s">
        <v>318</v>
      </c>
      <c r="C27" s="84">
        <v>2846</v>
      </c>
      <c r="D27" s="19" t="s">
        <v>39</v>
      </c>
      <c r="E27" s="3" t="str">
        <f t="shared" si="1"/>
        <v>٦</v>
      </c>
      <c r="F27" s="3">
        <v>6</v>
      </c>
      <c r="G27" s="3">
        <v>6</v>
      </c>
      <c r="H27" s="3">
        <v>8</v>
      </c>
      <c r="I27" s="3">
        <v>6</v>
      </c>
      <c r="J27" s="3">
        <v>5</v>
      </c>
      <c r="K27" s="3">
        <v>5</v>
      </c>
      <c r="L27" s="3" t="s">
        <v>56</v>
      </c>
      <c r="M27" s="3">
        <v>5</v>
      </c>
      <c r="N27" s="3">
        <v>5</v>
      </c>
      <c r="O27" s="3">
        <v>8</v>
      </c>
      <c r="P27" s="3">
        <v>7</v>
      </c>
      <c r="Q27" s="3">
        <v>7</v>
      </c>
      <c r="R27" s="3">
        <v>8</v>
      </c>
      <c r="S27" s="3">
        <v>8</v>
      </c>
      <c r="T27" s="4">
        <f t="shared" si="0"/>
        <v>84</v>
      </c>
      <c r="U27" s="44" t="s">
        <v>56</v>
      </c>
      <c r="V27" s="44" t="s">
        <v>56</v>
      </c>
    </row>
    <row r="28" spans="1:22" s="2" customFormat="1" ht="25.15" customHeight="1" thickBot="1" x14ac:dyDescent="0.3">
      <c r="A28" s="71">
        <v>28</v>
      </c>
      <c r="B28" s="124" t="s">
        <v>319</v>
      </c>
      <c r="C28" s="84">
        <v>2783</v>
      </c>
      <c r="D28" s="19" t="s">
        <v>40</v>
      </c>
      <c r="E28" s="3" t="str">
        <f t="shared" si="1"/>
        <v>٨</v>
      </c>
      <c r="F28" s="3">
        <v>8</v>
      </c>
      <c r="G28" s="3">
        <v>9</v>
      </c>
      <c r="H28" s="3">
        <v>9</v>
      </c>
      <c r="I28" s="3">
        <v>7</v>
      </c>
      <c r="J28" s="3">
        <v>8</v>
      </c>
      <c r="K28" s="3">
        <v>8</v>
      </c>
      <c r="L28" s="3" t="s">
        <v>56</v>
      </c>
      <c r="M28" s="3">
        <v>9</v>
      </c>
      <c r="N28" s="3">
        <v>9</v>
      </c>
      <c r="O28" s="3">
        <v>8</v>
      </c>
      <c r="P28" s="3">
        <v>8</v>
      </c>
      <c r="Q28" s="3">
        <v>8</v>
      </c>
      <c r="R28" s="3">
        <v>8</v>
      </c>
      <c r="S28" s="3">
        <v>8</v>
      </c>
      <c r="T28" s="4">
        <f t="shared" si="0"/>
        <v>107</v>
      </c>
      <c r="U28" s="44">
        <v>1</v>
      </c>
      <c r="V28" s="44" t="s">
        <v>56</v>
      </c>
    </row>
    <row r="29" spans="1:22" s="2" customFormat="1" ht="27" customHeight="1" thickBot="1" x14ac:dyDescent="0.3">
      <c r="A29" s="71">
        <v>29</v>
      </c>
      <c r="B29" s="124" t="s">
        <v>320</v>
      </c>
      <c r="C29" s="135">
        <v>2908</v>
      </c>
      <c r="D29" s="19" t="s">
        <v>41</v>
      </c>
      <c r="E29" s="3" t="str">
        <f t="shared" si="1"/>
        <v>٨</v>
      </c>
      <c r="F29" s="3">
        <v>8</v>
      </c>
      <c r="G29" s="3">
        <v>6</v>
      </c>
      <c r="H29" s="3">
        <v>7</v>
      </c>
      <c r="I29" s="3">
        <v>6</v>
      </c>
      <c r="J29" s="3">
        <v>6</v>
      </c>
      <c r="K29" s="3">
        <v>7</v>
      </c>
      <c r="L29" s="3" t="s">
        <v>56</v>
      </c>
      <c r="M29" s="3">
        <v>8</v>
      </c>
      <c r="N29" s="3">
        <v>6</v>
      </c>
      <c r="O29" s="3">
        <v>5</v>
      </c>
      <c r="P29" s="3">
        <v>8</v>
      </c>
      <c r="Q29" s="3">
        <v>8</v>
      </c>
      <c r="R29" s="3">
        <v>7</v>
      </c>
      <c r="S29" s="3">
        <v>7</v>
      </c>
      <c r="T29" s="4">
        <f t="shared" si="0"/>
        <v>89</v>
      </c>
      <c r="U29" s="44" t="s">
        <v>56</v>
      </c>
      <c r="V29" s="44" t="s">
        <v>56</v>
      </c>
    </row>
    <row r="30" spans="1:22" s="2" customFormat="1" ht="25.15" customHeight="1" thickBot="1" x14ac:dyDescent="0.3">
      <c r="A30" s="71">
        <v>30</v>
      </c>
      <c r="B30" s="124" t="s">
        <v>321</v>
      </c>
      <c r="C30" s="84">
        <v>2713</v>
      </c>
      <c r="D30" s="19" t="s">
        <v>42</v>
      </c>
      <c r="E30" s="3" t="str">
        <f t="shared" si="1"/>
        <v>٩</v>
      </c>
      <c r="F30" s="3">
        <v>9</v>
      </c>
      <c r="G30" s="3">
        <v>9</v>
      </c>
      <c r="H30" s="3">
        <v>9</v>
      </c>
      <c r="I30" s="3">
        <v>9</v>
      </c>
      <c r="J30" s="3">
        <v>9</v>
      </c>
      <c r="K30" s="3">
        <v>9</v>
      </c>
      <c r="L30" s="3" t="s">
        <v>56</v>
      </c>
      <c r="M30" s="3">
        <v>8</v>
      </c>
      <c r="N30" s="3">
        <v>9</v>
      </c>
      <c r="O30" s="3">
        <v>9</v>
      </c>
      <c r="P30" s="3">
        <v>8</v>
      </c>
      <c r="Q30" s="3">
        <v>8</v>
      </c>
      <c r="R30" s="3">
        <v>7</v>
      </c>
      <c r="S30" s="3">
        <v>8</v>
      </c>
      <c r="T30" s="4">
        <f t="shared" si="0"/>
        <v>111</v>
      </c>
      <c r="U30" s="44" t="s">
        <v>56</v>
      </c>
      <c r="V30" s="44" t="s">
        <v>56</v>
      </c>
    </row>
    <row r="31" spans="1:22" s="2" customFormat="1" ht="25.15" customHeight="1" thickBot="1" x14ac:dyDescent="0.3">
      <c r="A31" s="71">
        <v>31</v>
      </c>
      <c r="B31" s="124" t="s">
        <v>322</v>
      </c>
      <c r="C31" s="84">
        <v>2818</v>
      </c>
      <c r="D31" s="19" t="s">
        <v>43</v>
      </c>
      <c r="E31" s="3" t="str">
        <f t="shared" si="1"/>
        <v>٨</v>
      </c>
      <c r="F31" s="3">
        <v>8</v>
      </c>
      <c r="G31" s="3">
        <v>7</v>
      </c>
      <c r="H31" s="3">
        <v>8</v>
      </c>
      <c r="I31" s="3">
        <v>7</v>
      </c>
      <c r="J31" s="3">
        <v>6</v>
      </c>
      <c r="K31" s="3">
        <v>7</v>
      </c>
      <c r="L31" s="3" t="s">
        <v>56</v>
      </c>
      <c r="M31" s="3">
        <v>6</v>
      </c>
      <c r="N31" s="3">
        <v>6</v>
      </c>
      <c r="O31" s="3">
        <v>6</v>
      </c>
      <c r="P31" s="3">
        <v>7</v>
      </c>
      <c r="Q31" s="3">
        <v>7</v>
      </c>
      <c r="R31" s="3">
        <v>8</v>
      </c>
      <c r="S31" s="3">
        <v>8</v>
      </c>
      <c r="T31" s="4">
        <f t="shared" si="0"/>
        <v>91</v>
      </c>
      <c r="U31" s="44">
        <v>1</v>
      </c>
      <c r="V31" s="44" t="s">
        <v>56</v>
      </c>
    </row>
    <row r="32" spans="1:22" s="2" customFormat="1" ht="25.15" customHeight="1" thickBot="1" x14ac:dyDescent="0.3">
      <c r="A32" s="71">
        <v>32</v>
      </c>
      <c r="B32" s="124" t="s">
        <v>323</v>
      </c>
      <c r="C32" s="84">
        <v>2715</v>
      </c>
      <c r="D32" s="19" t="s">
        <v>44</v>
      </c>
      <c r="E32" s="3" t="str">
        <f t="shared" si="1"/>
        <v>٩</v>
      </c>
      <c r="F32" s="3">
        <v>9</v>
      </c>
      <c r="G32" s="3">
        <v>9</v>
      </c>
      <c r="H32" s="3">
        <v>9</v>
      </c>
      <c r="I32" s="3">
        <v>9</v>
      </c>
      <c r="J32" s="3">
        <v>9</v>
      </c>
      <c r="K32" s="3">
        <v>8</v>
      </c>
      <c r="L32" s="3" t="s">
        <v>56</v>
      </c>
      <c r="M32" s="3">
        <v>7</v>
      </c>
      <c r="N32" s="3">
        <v>7</v>
      </c>
      <c r="O32" s="3">
        <v>8</v>
      </c>
      <c r="P32" s="3">
        <v>8</v>
      </c>
      <c r="Q32" s="3">
        <v>8</v>
      </c>
      <c r="R32" s="3">
        <v>8</v>
      </c>
      <c r="S32" s="3">
        <v>8</v>
      </c>
      <c r="T32" s="4">
        <f t="shared" si="0"/>
        <v>107</v>
      </c>
      <c r="U32" s="44" t="s">
        <v>56</v>
      </c>
      <c r="V32" s="44" t="s">
        <v>56</v>
      </c>
    </row>
    <row r="33" spans="1:22" s="9" customFormat="1" ht="25.15" customHeight="1" thickBot="1" x14ac:dyDescent="0.3">
      <c r="A33" s="35"/>
      <c r="B33" s="144" t="s">
        <v>326</v>
      </c>
      <c r="C33" s="7"/>
      <c r="D33" s="7"/>
      <c r="E33" s="3" t="str">
        <f t="shared" si="1"/>
        <v>٢٣٢</v>
      </c>
      <c r="F33" s="38">
        <f t="shared" ref="F33:S33" si="2">SUM(F2:F32)</f>
        <v>232</v>
      </c>
      <c r="G33" s="8">
        <f t="shared" si="2"/>
        <v>224</v>
      </c>
      <c r="H33" s="8">
        <f t="shared" si="2"/>
        <v>252</v>
      </c>
      <c r="I33" s="24">
        <f t="shared" si="2"/>
        <v>199</v>
      </c>
      <c r="J33" s="8">
        <f t="shared" si="2"/>
        <v>214</v>
      </c>
      <c r="K33" s="8">
        <f t="shared" si="2"/>
        <v>213</v>
      </c>
      <c r="L33" s="8">
        <f t="shared" si="2"/>
        <v>0</v>
      </c>
      <c r="M33" s="8">
        <f t="shared" si="2"/>
        <v>223</v>
      </c>
      <c r="N33" s="8">
        <f t="shared" si="2"/>
        <v>215</v>
      </c>
      <c r="O33" s="24">
        <f t="shared" si="2"/>
        <v>221</v>
      </c>
      <c r="P33" s="8">
        <f t="shared" si="2"/>
        <v>238</v>
      </c>
      <c r="Q33" s="8">
        <f t="shared" si="2"/>
        <v>234</v>
      </c>
      <c r="R33" s="8">
        <f t="shared" si="2"/>
        <v>236</v>
      </c>
      <c r="S33" s="8">
        <f t="shared" si="2"/>
        <v>240</v>
      </c>
      <c r="T33" s="8"/>
      <c r="U33" s="44" t="s">
        <v>56</v>
      </c>
      <c r="V33" s="44" t="s">
        <v>56</v>
      </c>
    </row>
    <row r="34" spans="1:22" ht="15" customHeight="1" thickBot="1" x14ac:dyDescent="0.3">
      <c r="A34" s="17"/>
      <c r="B34" s="124"/>
      <c r="C34" s="7"/>
      <c r="D34" s="7"/>
      <c r="E34" s="3"/>
      <c r="F34" s="5"/>
      <c r="G34" s="5"/>
      <c r="H34" s="5"/>
      <c r="I34" s="25"/>
      <c r="J34" s="5"/>
      <c r="K34" s="5"/>
      <c r="L34" s="5"/>
      <c r="M34" s="5"/>
      <c r="N34" s="5"/>
      <c r="O34" s="25"/>
      <c r="P34" s="5"/>
      <c r="Q34" s="5"/>
      <c r="R34" s="5"/>
      <c r="S34" s="5"/>
      <c r="T34" s="6"/>
      <c r="U34" s="44" t="s">
        <v>56</v>
      </c>
      <c r="V34" s="44" t="s">
        <v>56</v>
      </c>
    </row>
    <row r="35" spans="1:22" ht="15" customHeight="1" thickBot="1" x14ac:dyDescent="0.3">
      <c r="A35" s="17"/>
      <c r="B35" s="124"/>
      <c r="C35" s="7"/>
      <c r="D35" s="7"/>
      <c r="E35" s="3"/>
      <c r="F35" s="5"/>
      <c r="G35" s="5"/>
      <c r="H35" s="5"/>
      <c r="I35" s="25"/>
      <c r="J35" s="5"/>
      <c r="K35" s="5"/>
      <c r="L35" s="5"/>
      <c r="M35" s="5"/>
      <c r="N35" s="5"/>
      <c r="O35" s="25"/>
      <c r="P35" s="5"/>
      <c r="Q35" s="5"/>
      <c r="R35" s="5"/>
      <c r="S35" s="5"/>
      <c r="T35" s="6"/>
      <c r="U35" s="44" t="s">
        <v>56</v>
      </c>
      <c r="V35" s="44" t="s">
        <v>56</v>
      </c>
    </row>
    <row r="36" spans="1:22" s="18" customFormat="1" ht="15" customHeight="1" x14ac:dyDescent="0.25">
      <c r="A36" s="17"/>
      <c r="B36" s="88"/>
      <c r="C36" s="7"/>
      <c r="D36" s="7"/>
      <c r="E36" s="3"/>
      <c r="F36" s="5"/>
      <c r="G36" s="5"/>
      <c r="H36" s="5"/>
      <c r="I36" s="25"/>
      <c r="J36" s="5"/>
      <c r="K36" s="5"/>
      <c r="L36" s="5"/>
      <c r="M36" s="5"/>
      <c r="N36" s="5"/>
      <c r="O36" s="25"/>
      <c r="P36" s="5"/>
      <c r="Q36" s="5"/>
      <c r="R36" s="5"/>
      <c r="S36" s="5"/>
      <c r="T36" s="6"/>
      <c r="U36" s="9"/>
      <c r="V36" s="9"/>
    </row>
    <row r="37" spans="1:22" s="18" customFormat="1" ht="20.25" customHeight="1" x14ac:dyDescent="0.25">
      <c r="A37" s="17"/>
      <c r="B37" s="88"/>
      <c r="C37" s="7"/>
      <c r="D37" s="7"/>
      <c r="E37" s="3"/>
      <c r="F37" s="5"/>
      <c r="G37" s="4"/>
      <c r="H37" s="14" t="s">
        <v>49</v>
      </c>
      <c r="I37" s="23"/>
      <c r="J37" s="5"/>
      <c r="K37" s="5"/>
      <c r="L37" s="5"/>
      <c r="M37" s="5"/>
      <c r="N37" s="5"/>
      <c r="O37" s="25"/>
      <c r="P37" s="5"/>
      <c r="Q37" s="5"/>
      <c r="R37" s="5"/>
      <c r="S37" s="5"/>
      <c r="T37" s="6"/>
      <c r="U37"/>
      <c r="V37"/>
    </row>
    <row r="38" spans="1:22" s="18" customFormat="1" ht="20.25" customHeight="1" x14ac:dyDescent="0.25">
      <c r="A38" s="17"/>
      <c r="B38" s="88"/>
      <c r="C38" s="7"/>
      <c r="D38" s="7"/>
      <c r="E38" s="3"/>
      <c r="F38" s="5"/>
      <c r="G38" s="5"/>
      <c r="H38" s="16">
        <f>E33/D32</f>
        <v>7</v>
      </c>
      <c r="I38" s="25"/>
      <c r="J38" s="5"/>
      <c r="K38" s="5"/>
      <c r="L38" s="5"/>
      <c r="M38" s="5"/>
      <c r="N38" s="5"/>
      <c r="O38" s="25"/>
      <c r="P38" s="5"/>
      <c r="Q38" s="5"/>
      <c r="R38" s="5"/>
      <c r="S38" s="5"/>
      <c r="T38" s="5"/>
      <c r="U38"/>
      <c r="V38"/>
    </row>
    <row r="39" spans="1:22" s="18" customFormat="1" ht="20.25" customHeight="1" x14ac:dyDescent="0.25">
      <c r="A39" s="17"/>
      <c r="B39" s="88"/>
      <c r="C39" s="7"/>
      <c r="D39" s="7"/>
      <c r="E39" s="3"/>
      <c r="F39" s="5"/>
      <c r="G39" s="5"/>
      <c r="H39" s="16">
        <f>G33/D32</f>
        <v>7</v>
      </c>
      <c r="I39" s="25"/>
      <c r="J39" s="5"/>
      <c r="K39" s="5"/>
      <c r="L39" s="5"/>
      <c r="M39" s="5"/>
      <c r="N39" s="5"/>
      <c r="O39" s="25"/>
      <c r="P39" s="5"/>
      <c r="Q39" s="5"/>
      <c r="R39" s="5"/>
      <c r="S39" s="5"/>
      <c r="T39" s="6"/>
      <c r="U39"/>
      <c r="V39"/>
    </row>
    <row r="40" spans="1:22" s="18" customFormat="1" ht="20.25" customHeight="1" x14ac:dyDescent="0.25">
      <c r="A40" s="17"/>
      <c r="B40" s="88"/>
      <c r="C40" s="7"/>
      <c r="D40" s="7"/>
      <c r="E40" s="3"/>
      <c r="F40" s="5"/>
      <c r="G40" s="5"/>
      <c r="H40" s="16">
        <f>H33/D32</f>
        <v>8</v>
      </c>
      <c r="I40" s="25"/>
      <c r="J40" s="5"/>
      <c r="K40" s="5"/>
      <c r="L40" s="5"/>
      <c r="M40" s="5"/>
      <c r="N40" s="5"/>
      <c r="O40" s="25"/>
      <c r="P40" s="5"/>
      <c r="Q40" s="5"/>
      <c r="R40" s="5"/>
      <c r="S40" s="5"/>
      <c r="T40" s="6"/>
      <c r="U40"/>
      <c r="V40"/>
    </row>
    <row r="41" spans="1:22" s="18" customFormat="1" ht="20.25" customHeight="1" x14ac:dyDescent="0.25">
      <c r="A41" s="17"/>
      <c r="B41" s="88"/>
      <c r="C41" s="7"/>
      <c r="D41" s="7"/>
      <c r="E41" s="3"/>
      <c r="F41" s="5"/>
      <c r="G41" s="5"/>
      <c r="H41" s="16">
        <f>I33/D32</f>
        <v>6</v>
      </c>
      <c r="I41" s="25"/>
      <c r="J41" s="5"/>
      <c r="K41" s="5"/>
      <c r="L41" s="5"/>
      <c r="M41" s="5"/>
      <c r="N41" s="5"/>
      <c r="O41" s="25"/>
      <c r="P41" s="5"/>
      <c r="Q41" s="5"/>
      <c r="R41" s="5"/>
      <c r="S41" s="5"/>
      <c r="T41" s="6"/>
      <c r="U41"/>
      <c r="V41"/>
    </row>
    <row r="42" spans="1:22" s="18" customFormat="1" ht="20.25" customHeight="1" x14ac:dyDescent="0.25">
      <c r="A42" s="17"/>
      <c r="B42" s="88"/>
      <c r="C42" s="7"/>
      <c r="D42" s="7"/>
      <c r="E42" s="3"/>
      <c r="F42" s="5"/>
      <c r="G42" s="5"/>
      <c r="H42" s="16">
        <f>J33/D32</f>
        <v>7</v>
      </c>
      <c r="I42" s="25"/>
      <c r="J42" s="5"/>
      <c r="K42" s="5"/>
      <c r="L42" s="5"/>
      <c r="M42" s="5"/>
      <c r="N42" s="5"/>
      <c r="O42" s="25"/>
      <c r="P42" s="5"/>
      <c r="Q42" s="5"/>
      <c r="R42" s="5"/>
      <c r="S42" s="5"/>
      <c r="T42" s="6"/>
      <c r="U42"/>
      <c r="V42"/>
    </row>
    <row r="43" spans="1:22" s="18" customFormat="1" ht="20.25" customHeight="1" x14ac:dyDescent="0.25">
      <c r="A43" s="17"/>
      <c r="B43" s="88"/>
      <c r="C43" s="7"/>
      <c r="D43" s="7"/>
      <c r="E43" s="3"/>
      <c r="F43" s="5"/>
      <c r="G43" s="5"/>
      <c r="H43" s="16">
        <f>K33/D32</f>
        <v>7</v>
      </c>
      <c r="I43" s="25"/>
      <c r="J43" s="5"/>
      <c r="K43" s="5"/>
      <c r="L43" s="5"/>
      <c r="M43" s="5"/>
      <c r="N43" s="5"/>
      <c r="O43" s="25"/>
      <c r="P43" s="5"/>
      <c r="Q43" s="5"/>
      <c r="R43" s="5"/>
      <c r="S43" s="5"/>
      <c r="T43" s="6"/>
      <c r="U43"/>
      <c r="V43"/>
    </row>
    <row r="44" spans="1:22" s="18" customFormat="1" ht="20.25" customHeight="1" x14ac:dyDescent="0.25">
      <c r="A44" s="17"/>
      <c r="B44" s="88"/>
      <c r="C44" s="7"/>
      <c r="D44" s="7"/>
      <c r="E44" s="3"/>
      <c r="F44" s="5"/>
      <c r="G44" s="5"/>
      <c r="H44" s="33" t="s">
        <v>56</v>
      </c>
      <c r="I44" s="25"/>
      <c r="J44" s="5"/>
      <c r="K44" s="5"/>
      <c r="L44" s="5"/>
      <c r="M44" s="5"/>
      <c r="N44" s="5"/>
      <c r="O44" s="25"/>
      <c r="P44" s="5"/>
      <c r="Q44" s="5"/>
      <c r="R44" s="5"/>
      <c r="S44" s="5"/>
      <c r="T44" s="6"/>
      <c r="U44" s="45"/>
      <c r="V44" s="45"/>
    </row>
    <row r="45" spans="1:22" s="18" customFormat="1" ht="20.25" customHeight="1" x14ac:dyDescent="0.25">
      <c r="A45" s="17"/>
      <c r="B45" s="88"/>
      <c r="C45" s="7"/>
      <c r="D45" s="7"/>
      <c r="E45" s="3"/>
      <c r="F45" s="5"/>
      <c r="G45" s="5"/>
      <c r="H45" s="16">
        <f>M33/D32</f>
        <v>7</v>
      </c>
      <c r="I45" s="25"/>
      <c r="J45" s="5"/>
      <c r="K45" s="5"/>
      <c r="L45" s="5"/>
      <c r="M45" s="5"/>
      <c r="N45" s="5"/>
      <c r="O45" s="25"/>
      <c r="P45" s="5"/>
      <c r="Q45" s="5"/>
      <c r="R45" s="5"/>
      <c r="S45" s="5"/>
      <c r="T45" s="6"/>
      <c r="U45" s="45"/>
      <c r="V45" s="45"/>
    </row>
    <row r="46" spans="1:22" s="18" customFormat="1" ht="20.25" customHeight="1" x14ac:dyDescent="0.25">
      <c r="A46" s="17"/>
      <c r="B46" s="88"/>
      <c r="C46" s="7"/>
      <c r="D46" s="7"/>
      <c r="E46" s="3"/>
      <c r="F46" s="5"/>
      <c r="G46" s="5"/>
      <c r="H46" s="16">
        <f>N33/D32</f>
        <v>7</v>
      </c>
      <c r="I46" s="25"/>
      <c r="J46" s="5"/>
      <c r="K46" s="5"/>
      <c r="L46" s="5"/>
      <c r="M46" s="5"/>
      <c r="N46" s="5"/>
      <c r="O46" s="25"/>
      <c r="P46" s="5"/>
      <c r="Q46" s="5"/>
      <c r="R46" s="5"/>
      <c r="S46" s="5"/>
      <c r="T46" s="6"/>
      <c r="U46" s="45"/>
      <c r="V46" s="45"/>
    </row>
    <row r="47" spans="1:22" s="18" customFormat="1" ht="20.25" customHeight="1" x14ac:dyDescent="0.25">
      <c r="A47" s="17"/>
      <c r="B47" s="88"/>
      <c r="C47" s="7"/>
      <c r="D47" s="7"/>
      <c r="E47" s="3"/>
      <c r="F47" s="5"/>
      <c r="G47" s="5"/>
      <c r="H47" s="16">
        <f>O33/D32</f>
        <v>7</v>
      </c>
      <c r="I47" s="25"/>
      <c r="J47" s="5"/>
      <c r="K47" s="5"/>
      <c r="L47" s="5"/>
      <c r="M47" s="5"/>
      <c r="N47" s="5"/>
      <c r="O47" s="25"/>
      <c r="P47" s="5"/>
      <c r="Q47" s="5"/>
      <c r="R47" s="5"/>
      <c r="S47" s="5"/>
      <c r="T47" s="6"/>
      <c r="U47" s="45"/>
      <c r="V47" s="45"/>
    </row>
    <row r="48" spans="1:22" s="18" customFormat="1" ht="20.25" customHeight="1" x14ac:dyDescent="0.25">
      <c r="A48" s="17"/>
      <c r="B48" s="88"/>
      <c r="C48" s="7"/>
      <c r="D48" s="7"/>
      <c r="E48" s="3"/>
      <c r="F48" s="5"/>
      <c r="G48" s="5"/>
      <c r="H48" s="16">
        <f>P33/D32</f>
        <v>8</v>
      </c>
      <c r="I48" s="25"/>
      <c r="J48" s="5"/>
      <c r="K48" s="5"/>
      <c r="L48" s="5"/>
      <c r="M48" s="5"/>
      <c r="N48" s="5"/>
      <c r="O48" s="25"/>
      <c r="P48" s="5"/>
      <c r="Q48" s="5"/>
      <c r="R48" s="5"/>
      <c r="S48" s="5"/>
      <c r="T48" s="6"/>
      <c r="U48" s="45"/>
      <c r="V48" s="45"/>
    </row>
    <row r="49" spans="1:22" s="18" customFormat="1" ht="20.25" customHeight="1" x14ac:dyDescent="0.25">
      <c r="A49" s="17"/>
      <c r="B49" s="88"/>
      <c r="C49" s="7"/>
      <c r="D49" s="7"/>
      <c r="E49" s="3"/>
      <c r="F49" s="5"/>
      <c r="G49" s="5"/>
      <c r="H49" s="16">
        <f>Q33/D32</f>
        <v>8</v>
      </c>
      <c r="I49" s="25"/>
      <c r="J49" s="5"/>
      <c r="K49" s="5"/>
      <c r="L49" s="5"/>
      <c r="M49" s="5"/>
      <c r="N49" s="5"/>
      <c r="O49" s="25"/>
      <c r="P49" s="5"/>
      <c r="Q49" s="5"/>
      <c r="R49" s="5"/>
      <c r="S49" s="5"/>
      <c r="T49" s="6"/>
      <c r="U49" s="45"/>
      <c r="V49" s="45"/>
    </row>
    <row r="50" spans="1:22" s="18" customFormat="1" ht="20.25" customHeight="1" x14ac:dyDescent="0.25">
      <c r="A50" s="17"/>
      <c r="B50" s="88"/>
      <c r="C50" s="7"/>
      <c r="D50" s="7"/>
      <c r="E50" s="3"/>
      <c r="F50" s="5"/>
      <c r="G50" s="5"/>
      <c r="H50" s="16">
        <f>R33/D32</f>
        <v>8</v>
      </c>
      <c r="I50" s="25"/>
      <c r="J50" s="5"/>
      <c r="K50" s="5"/>
      <c r="L50" s="5"/>
      <c r="M50" s="5"/>
      <c r="N50" s="5"/>
      <c r="O50" s="25"/>
      <c r="P50" s="5"/>
      <c r="Q50" s="5"/>
      <c r="R50" s="5"/>
      <c r="S50" s="5"/>
      <c r="T50" s="6"/>
      <c r="U50" s="45"/>
      <c r="V50" s="45"/>
    </row>
    <row r="51" spans="1:22" s="18" customFormat="1" ht="25.15" customHeight="1" x14ac:dyDescent="0.25">
      <c r="A51" s="17"/>
      <c r="B51" s="88"/>
      <c r="C51" s="7"/>
      <c r="D51" s="7"/>
      <c r="E51" s="3"/>
      <c r="F51" s="5"/>
      <c r="G51" s="5"/>
      <c r="H51" s="16">
        <f>S33/D32</f>
        <v>8</v>
      </c>
      <c r="I51" s="25"/>
      <c r="J51" s="5"/>
      <c r="K51" s="5"/>
      <c r="L51" s="5"/>
      <c r="M51" s="5"/>
      <c r="N51" s="5"/>
      <c r="O51" s="25"/>
      <c r="P51" s="5"/>
      <c r="Q51" s="5"/>
      <c r="R51" s="5"/>
      <c r="S51" s="5"/>
      <c r="T51" s="6"/>
      <c r="U51" s="45"/>
      <c r="V51" s="45"/>
    </row>
    <row r="52" spans="1:22" s="18" customFormat="1" ht="15" customHeight="1" x14ac:dyDescent="0.25">
      <c r="A52" s="17"/>
      <c r="B52" s="88"/>
      <c r="C52" s="7"/>
      <c r="D52" s="7"/>
      <c r="E52" s="3"/>
      <c r="F52" s="5"/>
      <c r="G52" s="5"/>
      <c r="H52" s="15">
        <f>SUM(H38:H51)</f>
        <v>95</v>
      </c>
      <c r="I52" s="25"/>
      <c r="J52" s="5"/>
      <c r="K52" s="5"/>
      <c r="L52" s="5"/>
      <c r="M52" s="5"/>
      <c r="N52" s="5"/>
      <c r="O52" s="25"/>
      <c r="P52" s="5"/>
      <c r="Q52" s="5"/>
      <c r="R52" s="5"/>
      <c r="S52" s="5"/>
      <c r="T52" s="6"/>
      <c r="U52" s="45"/>
      <c r="V52" s="45"/>
    </row>
    <row r="53" spans="1:22" s="18" customFormat="1" ht="15" customHeight="1" x14ac:dyDescent="0.25">
      <c r="A53" s="17"/>
      <c r="B53" s="88"/>
      <c r="C53" s="7"/>
      <c r="D53" s="7"/>
      <c r="E53" s="3"/>
      <c r="F53" s="5"/>
      <c r="G53" s="5"/>
      <c r="H53" s="5"/>
      <c r="I53" s="25"/>
      <c r="J53" s="5"/>
      <c r="K53" s="5"/>
      <c r="L53" s="5"/>
      <c r="M53" s="5"/>
      <c r="N53" s="5"/>
      <c r="O53" s="25"/>
      <c r="P53" s="5"/>
      <c r="Q53" s="5"/>
      <c r="R53" s="5"/>
      <c r="S53" s="5"/>
      <c r="T53" s="6"/>
      <c r="U53" s="45"/>
      <c r="V53" s="45"/>
    </row>
    <row r="54" spans="1:22" s="18" customFormat="1" ht="15" customHeight="1" x14ac:dyDescent="0.25">
      <c r="A54" s="17"/>
      <c r="B54" s="88"/>
      <c r="C54" s="7"/>
      <c r="D54" s="7"/>
      <c r="E54" s="3"/>
      <c r="F54" s="5"/>
      <c r="G54" s="5"/>
      <c r="H54" s="5"/>
      <c r="I54" s="25"/>
      <c r="J54" s="5"/>
      <c r="K54" s="5"/>
      <c r="L54" s="5"/>
      <c r="M54" s="5"/>
      <c r="N54" s="5"/>
      <c r="O54" s="25"/>
      <c r="P54" s="5"/>
      <c r="Q54" s="5"/>
      <c r="R54" s="5"/>
      <c r="S54" s="5"/>
      <c r="T54" s="6"/>
      <c r="U54" s="45"/>
      <c r="V54" s="45"/>
    </row>
    <row r="55" spans="1:22" s="18" customFormat="1" ht="15" customHeight="1" x14ac:dyDescent="0.25">
      <c r="A55" s="17"/>
      <c r="B55" s="88"/>
      <c r="C55" s="7"/>
      <c r="D55" s="7"/>
      <c r="E55" s="3"/>
      <c r="F55" s="5"/>
      <c r="G55" s="5"/>
      <c r="H55" s="5"/>
      <c r="I55" s="25"/>
      <c r="J55" s="5"/>
      <c r="K55" s="5"/>
      <c r="L55" s="5"/>
      <c r="M55" s="5"/>
      <c r="N55" s="5"/>
      <c r="O55" s="25"/>
      <c r="P55" s="5"/>
      <c r="Q55" s="5"/>
      <c r="R55" s="5"/>
      <c r="S55" s="5"/>
      <c r="T55" s="6"/>
      <c r="U55" s="45"/>
      <c r="V55" s="45"/>
    </row>
    <row r="56" spans="1:22" s="18" customFormat="1" ht="15" customHeight="1" x14ac:dyDescent="0.25">
      <c r="A56" s="17"/>
      <c r="B56" s="88"/>
      <c r="C56" s="7"/>
      <c r="D56" s="7"/>
      <c r="E56" s="3"/>
      <c r="F56" s="5"/>
      <c r="G56" s="5"/>
      <c r="H56" s="5"/>
      <c r="I56" s="25"/>
      <c r="J56" s="5"/>
      <c r="K56" s="5"/>
      <c r="L56" s="5"/>
      <c r="M56" s="5"/>
      <c r="N56" s="5"/>
      <c r="O56" s="25"/>
      <c r="P56" s="5"/>
      <c r="Q56" s="5"/>
      <c r="R56" s="5"/>
      <c r="S56" s="5"/>
      <c r="T56" s="6"/>
      <c r="U56" s="45"/>
      <c r="V56" s="45"/>
    </row>
    <row r="57" spans="1:22" s="18" customFormat="1" ht="15" customHeight="1" x14ac:dyDescent="0.25">
      <c r="A57" s="17"/>
      <c r="B57" s="88"/>
      <c r="C57" s="7"/>
      <c r="D57" s="7"/>
      <c r="E57" s="3"/>
      <c r="F57" s="5"/>
      <c r="G57" s="5"/>
      <c r="H57" s="5"/>
      <c r="I57" s="25"/>
      <c r="J57" s="5"/>
      <c r="K57" s="5"/>
      <c r="L57" s="5"/>
      <c r="M57" s="5"/>
      <c r="N57" s="5"/>
      <c r="O57" s="25"/>
      <c r="P57" s="5"/>
      <c r="Q57" s="5"/>
      <c r="R57" s="5"/>
      <c r="S57" s="5"/>
      <c r="T57" s="6"/>
      <c r="U57" s="45"/>
      <c r="V57" s="45"/>
    </row>
    <row r="58" spans="1:22" s="18" customFormat="1" ht="15" customHeight="1" x14ac:dyDescent="0.25">
      <c r="A58" s="17"/>
      <c r="B58" s="88"/>
      <c r="C58" s="7"/>
      <c r="D58" s="7"/>
      <c r="E58" s="3"/>
      <c r="F58" s="5"/>
      <c r="G58" s="5"/>
      <c r="H58" s="5"/>
      <c r="I58" s="25"/>
      <c r="J58" s="5"/>
      <c r="K58" s="5"/>
      <c r="L58" s="5"/>
      <c r="M58" s="5"/>
      <c r="N58" s="5"/>
      <c r="O58" s="25"/>
      <c r="P58" s="5"/>
      <c r="Q58" s="5"/>
      <c r="R58" s="5"/>
      <c r="S58" s="5"/>
      <c r="T58" s="6"/>
      <c r="U58" s="45"/>
      <c r="V58" s="45"/>
    </row>
    <row r="59" spans="1:22" s="18" customFormat="1" ht="15" customHeight="1" x14ac:dyDescent="0.25">
      <c r="A59" s="17"/>
      <c r="B59" s="88"/>
      <c r="C59" s="7"/>
      <c r="D59" s="7"/>
      <c r="E59" s="3"/>
      <c r="F59" s="5"/>
      <c r="G59" s="5"/>
      <c r="H59" s="5"/>
      <c r="I59" s="25"/>
      <c r="J59" s="5"/>
      <c r="K59" s="5"/>
      <c r="L59" s="5"/>
      <c r="M59" s="5"/>
      <c r="N59" s="5"/>
      <c r="O59" s="25"/>
      <c r="P59" s="5"/>
      <c r="Q59" s="5"/>
      <c r="R59" s="5"/>
      <c r="S59" s="5"/>
      <c r="T59" s="6"/>
      <c r="U59" s="45"/>
      <c r="V59" s="45"/>
    </row>
    <row r="60" spans="1:22" s="18" customFormat="1" ht="15" customHeight="1" x14ac:dyDescent="0.25">
      <c r="A60" s="17"/>
      <c r="B60" s="88"/>
      <c r="C60" s="7"/>
      <c r="D60" s="7"/>
      <c r="E60" s="3"/>
      <c r="F60" s="5"/>
      <c r="G60" s="5"/>
      <c r="H60" s="5"/>
      <c r="I60" s="25"/>
      <c r="J60" s="5"/>
      <c r="K60" s="5"/>
      <c r="L60" s="5"/>
      <c r="M60" s="5"/>
      <c r="N60" s="5"/>
      <c r="O60" s="25"/>
      <c r="P60" s="5"/>
      <c r="Q60" s="5"/>
      <c r="R60" s="5"/>
      <c r="S60" s="5"/>
      <c r="T60" s="6"/>
      <c r="U60" s="45"/>
      <c r="V60" s="45"/>
    </row>
    <row r="61" spans="1:22" s="18" customFormat="1" ht="15" customHeight="1" x14ac:dyDescent="0.25">
      <c r="A61" s="17"/>
      <c r="B61" s="88"/>
      <c r="C61" s="7"/>
      <c r="D61" s="7"/>
      <c r="E61" s="3"/>
      <c r="F61" s="5"/>
      <c r="G61" s="5"/>
      <c r="H61" s="5"/>
      <c r="I61" s="25"/>
      <c r="J61" s="5"/>
      <c r="K61" s="5"/>
      <c r="L61" s="5"/>
      <c r="M61" s="5"/>
      <c r="N61" s="5"/>
      <c r="O61" s="25"/>
      <c r="P61" s="5"/>
      <c r="Q61" s="5"/>
      <c r="R61" s="5"/>
      <c r="S61" s="5"/>
      <c r="T61" s="6"/>
      <c r="U61" s="45"/>
      <c r="V61" s="45"/>
    </row>
    <row r="62" spans="1:22" s="18" customFormat="1" ht="15" customHeight="1" x14ac:dyDescent="0.25">
      <c r="A62" s="17"/>
      <c r="B62" s="88"/>
      <c r="C62" s="7"/>
      <c r="D62" s="7"/>
      <c r="E62" s="3"/>
      <c r="F62" s="5"/>
      <c r="G62" s="5"/>
      <c r="H62" s="5"/>
      <c r="I62" s="25"/>
      <c r="J62" s="5"/>
      <c r="K62" s="5"/>
      <c r="L62" s="5"/>
      <c r="M62" s="5"/>
      <c r="N62" s="5"/>
      <c r="O62" s="25"/>
      <c r="P62" s="5"/>
      <c r="Q62" s="5"/>
      <c r="R62" s="5"/>
      <c r="S62" s="5"/>
      <c r="T62" s="6"/>
      <c r="U62" s="45"/>
      <c r="V62" s="45"/>
    </row>
    <row r="63" spans="1:22" s="18" customFormat="1" ht="15" customHeight="1" x14ac:dyDescent="0.25">
      <c r="A63" s="17"/>
      <c r="B63" s="88"/>
      <c r="C63" s="7"/>
      <c r="D63" s="7"/>
      <c r="E63" s="3"/>
      <c r="F63" s="5"/>
      <c r="G63" s="5"/>
      <c r="H63" s="5"/>
      <c r="I63" s="25"/>
      <c r="J63" s="5"/>
      <c r="K63" s="5"/>
      <c r="L63" s="5"/>
      <c r="M63" s="5"/>
      <c r="N63" s="5"/>
      <c r="O63" s="25"/>
      <c r="P63" s="5"/>
      <c r="Q63" s="5"/>
      <c r="R63" s="5"/>
      <c r="S63" s="5"/>
      <c r="T63" s="6"/>
      <c r="U63" s="45"/>
      <c r="V63" s="45"/>
    </row>
    <row r="64" spans="1:22" s="18" customFormat="1" ht="15" customHeight="1" thickBot="1" x14ac:dyDescent="0.3">
      <c r="A64" s="69"/>
      <c r="B64" s="88"/>
      <c r="C64" s="7"/>
      <c r="D64" s="7"/>
      <c r="E64" s="3"/>
      <c r="F64" s="5"/>
      <c r="G64" s="5"/>
      <c r="H64" s="5"/>
      <c r="I64" s="25"/>
      <c r="J64" s="5"/>
      <c r="K64" s="5"/>
      <c r="L64" s="5"/>
      <c r="M64" s="5"/>
      <c r="N64" s="5"/>
      <c r="O64" s="25"/>
      <c r="P64" s="5"/>
      <c r="Q64" s="5"/>
      <c r="R64" s="5"/>
      <c r="S64" s="5"/>
      <c r="T64" s="6"/>
      <c r="U64" s="45"/>
      <c r="V64" s="45"/>
    </row>
    <row r="65" spans="1:22" s="18" customFormat="1" ht="15" customHeight="1" thickBot="1" x14ac:dyDescent="0.3">
      <c r="A65" s="69"/>
      <c r="B65" s="88"/>
      <c r="C65" s="7"/>
      <c r="D65" s="7"/>
      <c r="E65" s="3"/>
      <c r="F65" s="5"/>
      <c r="G65" s="5"/>
      <c r="H65" s="5"/>
      <c r="I65" s="25"/>
      <c r="J65" s="5"/>
      <c r="K65" s="5"/>
      <c r="L65" s="5"/>
      <c r="M65" s="5"/>
      <c r="N65" s="5"/>
      <c r="O65" s="25"/>
      <c r="P65" s="5"/>
      <c r="Q65" s="5"/>
      <c r="R65" s="5"/>
      <c r="S65" s="5"/>
      <c r="T65" s="6"/>
      <c r="U65" s="45"/>
      <c r="V65" s="45"/>
    </row>
    <row r="66" spans="1:22" s="18" customFormat="1" ht="15" customHeight="1" thickBot="1" x14ac:dyDescent="0.3">
      <c r="A66" s="69"/>
      <c r="B66" s="88"/>
      <c r="C66" s="7"/>
      <c r="D66" s="7"/>
      <c r="E66" s="3"/>
      <c r="F66" s="5"/>
      <c r="G66" s="5"/>
      <c r="H66" s="5"/>
      <c r="I66" s="25"/>
      <c r="J66" s="5"/>
      <c r="K66" s="5"/>
      <c r="L66" s="5"/>
      <c r="M66" s="5"/>
      <c r="N66" s="5"/>
      <c r="O66" s="25"/>
      <c r="P66" s="5"/>
      <c r="Q66" s="5"/>
      <c r="R66" s="5"/>
      <c r="S66" s="5"/>
      <c r="T66" s="6"/>
      <c r="U66" s="45"/>
      <c r="V66" s="45"/>
    </row>
    <row r="67" spans="1:22" s="18" customFormat="1" ht="15" customHeight="1" thickBot="1" x14ac:dyDescent="0.3">
      <c r="A67" s="69"/>
      <c r="B67" s="88"/>
      <c r="C67" s="7"/>
      <c r="D67" s="7"/>
      <c r="E67" s="3"/>
      <c r="F67" s="5"/>
      <c r="G67" s="5"/>
      <c r="H67" s="5"/>
      <c r="I67" s="25"/>
      <c r="J67" s="5"/>
      <c r="K67" s="5"/>
      <c r="L67" s="5"/>
      <c r="M67" s="5"/>
      <c r="N67" s="5"/>
      <c r="O67" s="25"/>
      <c r="P67" s="5"/>
      <c r="Q67" s="5"/>
      <c r="R67" s="5"/>
      <c r="S67" s="5"/>
      <c r="T67" s="6"/>
      <c r="U67" s="45"/>
      <c r="V67" s="45"/>
    </row>
    <row r="68" spans="1:22" s="18" customFormat="1" ht="15" customHeight="1" thickBot="1" x14ac:dyDescent="0.3">
      <c r="A68" s="69"/>
      <c r="B68" s="88"/>
      <c r="C68" s="7"/>
      <c r="D68" s="7"/>
      <c r="E68" s="3"/>
      <c r="F68" s="5"/>
      <c r="G68" s="5"/>
      <c r="H68" s="5"/>
      <c r="I68" s="25"/>
      <c r="J68" s="5"/>
      <c r="K68" s="5"/>
      <c r="L68" s="5"/>
      <c r="M68" s="5"/>
      <c r="N68" s="5"/>
      <c r="O68" s="25"/>
      <c r="P68" s="5"/>
      <c r="Q68" s="5"/>
      <c r="R68" s="5"/>
      <c r="S68" s="5"/>
      <c r="T68" s="6"/>
      <c r="U68" s="45"/>
      <c r="V68" s="45"/>
    </row>
    <row r="69" spans="1:22" s="18" customFormat="1" ht="15" customHeight="1" thickBot="1" x14ac:dyDescent="0.3">
      <c r="A69" s="75"/>
      <c r="B69" s="88"/>
      <c r="C69" s="7"/>
      <c r="D69" s="7"/>
      <c r="E69" s="3"/>
      <c r="F69" s="5"/>
      <c r="G69" s="5"/>
      <c r="H69" s="5"/>
      <c r="I69" s="25"/>
      <c r="J69" s="5"/>
      <c r="K69" s="5"/>
      <c r="L69" s="5"/>
      <c r="M69" s="5"/>
      <c r="N69" s="5"/>
      <c r="O69" s="25"/>
      <c r="P69" s="5"/>
      <c r="Q69" s="5"/>
      <c r="R69" s="5"/>
      <c r="S69" s="5"/>
      <c r="T69" s="6"/>
      <c r="U69" s="45"/>
      <c r="V69" s="45"/>
    </row>
    <row r="70" spans="1:22" s="18" customFormat="1" ht="15" customHeight="1" thickBot="1" x14ac:dyDescent="0.3">
      <c r="A70" s="70"/>
      <c r="B70" s="88"/>
      <c r="C70" s="7"/>
      <c r="D70" s="7"/>
      <c r="E70" s="3"/>
      <c r="F70" s="5"/>
      <c r="G70" s="5"/>
      <c r="H70" s="5"/>
      <c r="I70" s="25"/>
      <c r="J70" s="5"/>
      <c r="K70" s="5"/>
      <c r="L70" s="5"/>
      <c r="M70" s="5"/>
      <c r="N70" s="5"/>
      <c r="O70" s="25"/>
      <c r="P70" s="5"/>
      <c r="Q70" s="5"/>
      <c r="R70" s="5"/>
      <c r="S70" s="5"/>
      <c r="T70" s="6"/>
      <c r="U70" s="45"/>
      <c r="V70" s="45"/>
    </row>
    <row r="71" spans="1:22" s="18" customFormat="1" ht="15" customHeight="1" thickBot="1" x14ac:dyDescent="0.3">
      <c r="A71" s="69"/>
      <c r="B71" s="88"/>
      <c r="C71" s="7"/>
      <c r="D71" s="7"/>
      <c r="E71" s="3"/>
      <c r="F71" s="5"/>
      <c r="G71" s="5"/>
      <c r="H71" s="5"/>
      <c r="I71" s="25"/>
      <c r="J71" s="5"/>
      <c r="K71" s="5"/>
      <c r="L71" s="5"/>
      <c r="M71" s="5"/>
      <c r="N71" s="5"/>
      <c r="O71" s="25"/>
      <c r="P71" s="5"/>
      <c r="Q71" s="5"/>
      <c r="R71" s="5"/>
      <c r="S71" s="5"/>
      <c r="T71" s="6"/>
      <c r="U71" s="45"/>
      <c r="V71" s="45"/>
    </row>
    <row r="72" spans="1:22" s="18" customFormat="1" ht="15" customHeight="1" thickBot="1" x14ac:dyDescent="0.3">
      <c r="A72" s="69"/>
      <c r="B72" s="88"/>
      <c r="C72" s="7"/>
      <c r="D72" s="7"/>
      <c r="E72" s="3"/>
      <c r="F72" s="5"/>
      <c r="G72" s="5"/>
      <c r="H72" s="5"/>
      <c r="I72" s="25"/>
      <c r="J72" s="5"/>
      <c r="K72" s="5"/>
      <c r="L72" s="5"/>
      <c r="M72" s="5"/>
      <c r="N72" s="5"/>
      <c r="O72" s="25"/>
      <c r="P72" s="5"/>
      <c r="Q72" s="5"/>
      <c r="R72" s="5"/>
      <c r="S72" s="5"/>
      <c r="T72" s="6"/>
      <c r="U72" s="45"/>
      <c r="V72" s="45"/>
    </row>
    <row r="73" spans="1:22" s="18" customFormat="1" ht="15" customHeight="1" thickBot="1" x14ac:dyDescent="0.3">
      <c r="A73" s="69"/>
      <c r="B73" s="88"/>
      <c r="C73" s="7"/>
      <c r="D73" s="7"/>
      <c r="E73" s="3"/>
      <c r="F73" s="5"/>
      <c r="G73" s="5"/>
      <c r="H73" s="5"/>
      <c r="I73" s="25"/>
      <c r="J73" s="5"/>
      <c r="K73" s="5"/>
      <c r="L73" s="5"/>
      <c r="M73" s="5"/>
      <c r="N73" s="5"/>
      <c r="O73" s="25"/>
      <c r="P73" s="5"/>
      <c r="Q73" s="5"/>
      <c r="R73" s="5"/>
      <c r="S73" s="5"/>
      <c r="T73" s="6"/>
      <c r="U73" s="45"/>
      <c r="V73" s="45"/>
    </row>
    <row r="74" spans="1:22" s="18" customFormat="1" ht="15" customHeight="1" thickBot="1" x14ac:dyDescent="0.3">
      <c r="A74" s="69"/>
      <c r="B74" s="88"/>
      <c r="C74" s="7"/>
      <c r="D74" s="7"/>
      <c r="E74" s="3"/>
      <c r="F74" s="5"/>
      <c r="G74" s="5"/>
      <c r="H74" s="5"/>
      <c r="I74" s="25"/>
      <c r="J74" s="5"/>
      <c r="K74" s="5"/>
      <c r="L74" s="5"/>
      <c r="M74" s="5"/>
      <c r="N74" s="5"/>
      <c r="O74" s="25"/>
      <c r="P74" s="5"/>
      <c r="Q74" s="5"/>
      <c r="R74" s="5"/>
      <c r="S74" s="5"/>
      <c r="T74" s="6"/>
      <c r="U74" s="45"/>
      <c r="V74" s="45"/>
    </row>
    <row r="75" spans="1:22" s="18" customFormat="1" ht="15" customHeight="1" thickBot="1" x14ac:dyDescent="0.3">
      <c r="A75" s="69"/>
      <c r="B75" s="88"/>
      <c r="C75" s="7"/>
      <c r="D75" s="7"/>
      <c r="E75" s="3"/>
      <c r="F75" s="5"/>
      <c r="G75" s="5"/>
      <c r="H75" s="5"/>
      <c r="I75" s="25"/>
      <c r="J75" s="5"/>
      <c r="K75" s="5"/>
      <c r="L75" s="5"/>
      <c r="M75" s="5"/>
      <c r="N75" s="5"/>
      <c r="O75" s="25"/>
      <c r="P75" s="5"/>
      <c r="Q75" s="5"/>
      <c r="R75" s="5"/>
      <c r="S75" s="5"/>
      <c r="T75" s="6"/>
      <c r="U75" s="45"/>
      <c r="V75" s="45"/>
    </row>
    <row r="76" spans="1:22" s="18" customFormat="1" ht="15" customHeight="1" thickBot="1" x14ac:dyDescent="0.3">
      <c r="A76" s="69"/>
      <c r="B76" s="88"/>
      <c r="C76" s="7"/>
      <c r="D76" s="7"/>
      <c r="E76" s="3"/>
      <c r="F76" s="5"/>
      <c r="G76" s="5"/>
      <c r="H76" s="5"/>
      <c r="I76" s="25"/>
      <c r="J76" s="5"/>
      <c r="K76" s="5"/>
      <c r="L76" s="5"/>
      <c r="M76" s="5"/>
      <c r="N76" s="5"/>
      <c r="O76" s="25"/>
      <c r="P76" s="5"/>
      <c r="Q76" s="5"/>
      <c r="R76" s="5"/>
      <c r="S76" s="5"/>
      <c r="T76" s="6"/>
      <c r="U76" s="45"/>
      <c r="V76" s="45"/>
    </row>
    <row r="77" spans="1:22" s="18" customFormat="1" ht="15" customHeight="1" thickBot="1" x14ac:dyDescent="0.3">
      <c r="A77" s="69"/>
      <c r="B77" s="88"/>
      <c r="C77" s="7"/>
      <c r="D77" s="7"/>
      <c r="E77" s="3"/>
      <c r="F77" s="5"/>
      <c r="G77" s="5"/>
      <c r="H77" s="5"/>
      <c r="I77" s="25"/>
      <c r="J77" s="5"/>
      <c r="K77" s="5"/>
      <c r="L77" s="5"/>
      <c r="M77" s="5"/>
      <c r="N77" s="5"/>
      <c r="O77" s="25"/>
      <c r="P77" s="5"/>
      <c r="Q77" s="5"/>
      <c r="R77" s="5"/>
      <c r="S77" s="5"/>
      <c r="T77" s="6"/>
      <c r="U77" s="45"/>
      <c r="V77" s="45"/>
    </row>
    <row r="78" spans="1:22" ht="15" customHeight="1" thickBot="1" x14ac:dyDescent="0.3">
      <c r="A78" s="69"/>
      <c r="B78" s="88"/>
      <c r="C78" s="7"/>
      <c r="D78" s="7"/>
      <c r="E78" s="3"/>
      <c r="F78" s="5"/>
      <c r="G78" s="5"/>
      <c r="H78" s="5"/>
      <c r="I78" s="25"/>
      <c r="J78" s="5"/>
      <c r="K78" s="5"/>
      <c r="L78" s="5"/>
      <c r="M78" s="5"/>
      <c r="N78" s="5"/>
      <c r="O78" s="25"/>
      <c r="P78" s="5"/>
      <c r="Q78" s="5"/>
      <c r="R78" s="5"/>
      <c r="S78" s="5"/>
      <c r="T78" s="6"/>
      <c r="U78" s="45"/>
      <c r="V78" s="45"/>
    </row>
    <row r="79" spans="1:22" ht="15" customHeight="1" thickBot="1" x14ac:dyDescent="0.3">
      <c r="A79" s="69"/>
      <c r="B79" s="88"/>
      <c r="C79" s="7"/>
      <c r="D79" s="7"/>
      <c r="E79" s="3"/>
      <c r="F79" s="5"/>
      <c r="G79" s="5"/>
      <c r="H79" s="5"/>
      <c r="I79" s="25"/>
      <c r="J79" s="5"/>
      <c r="K79" s="5"/>
      <c r="L79" s="5"/>
      <c r="M79" s="5"/>
      <c r="N79" s="5"/>
      <c r="O79" s="25"/>
      <c r="P79" s="5"/>
      <c r="Q79" s="5"/>
      <c r="R79" s="5"/>
      <c r="S79" s="5"/>
      <c r="T79" s="6"/>
      <c r="U79" s="45"/>
      <c r="V79" s="45"/>
    </row>
    <row r="80" spans="1:22" ht="15" customHeight="1" thickBot="1" x14ac:dyDescent="0.3">
      <c r="A80" s="69"/>
      <c r="B80" s="88"/>
      <c r="C80" s="7"/>
      <c r="D80" s="7"/>
      <c r="E80" s="3"/>
      <c r="F80" s="5"/>
      <c r="G80" s="5"/>
      <c r="H80" s="5"/>
      <c r="I80" s="25"/>
      <c r="J80" s="5"/>
      <c r="K80" s="5"/>
      <c r="L80" s="5"/>
      <c r="M80" s="5"/>
      <c r="N80" s="5"/>
      <c r="O80" s="25"/>
      <c r="P80" s="5"/>
      <c r="Q80" s="5"/>
      <c r="R80" s="5"/>
      <c r="S80" s="5"/>
      <c r="T80" s="6"/>
      <c r="U80" s="45"/>
      <c r="V80" s="45"/>
    </row>
    <row r="81" spans="1:22" ht="15" customHeight="1" thickBot="1" x14ac:dyDescent="0.3">
      <c r="A81" s="69"/>
      <c r="B81" s="88"/>
      <c r="C81" s="7"/>
      <c r="D81" s="7"/>
      <c r="E81" s="3"/>
      <c r="F81" s="5"/>
      <c r="G81" s="5"/>
      <c r="H81" s="5"/>
      <c r="I81" s="25"/>
      <c r="J81" s="5"/>
      <c r="K81" s="5"/>
      <c r="L81" s="5"/>
      <c r="M81" s="5"/>
      <c r="N81" s="5"/>
      <c r="O81" s="25"/>
      <c r="P81" s="5"/>
      <c r="Q81" s="5"/>
      <c r="R81" s="5"/>
      <c r="S81" s="5"/>
      <c r="T81" s="6"/>
      <c r="U81" s="45"/>
      <c r="V81" s="45"/>
    </row>
    <row r="82" spans="1:22" ht="15" customHeight="1" thickBot="1" x14ac:dyDescent="0.3">
      <c r="A82" s="69"/>
      <c r="B82" s="88"/>
      <c r="C82" s="7"/>
      <c r="D82" s="7"/>
      <c r="E82" s="3"/>
      <c r="F82" s="5"/>
      <c r="G82" s="5"/>
      <c r="H82" s="5"/>
      <c r="I82" s="25"/>
      <c r="J82" s="5"/>
      <c r="K82" s="5"/>
      <c r="L82" s="5"/>
      <c r="M82" s="5"/>
      <c r="N82" s="5"/>
      <c r="O82" s="25"/>
      <c r="P82" s="5"/>
      <c r="Q82" s="5"/>
      <c r="R82" s="5"/>
      <c r="S82" s="5"/>
      <c r="T82" s="6"/>
      <c r="U82" s="45"/>
      <c r="V82" s="45"/>
    </row>
    <row r="83" spans="1:22" ht="15" customHeight="1" thickBot="1" x14ac:dyDescent="0.3">
      <c r="A83" s="69"/>
      <c r="B83" s="88"/>
      <c r="C83" s="7"/>
      <c r="D83" s="7"/>
      <c r="E83" s="3"/>
      <c r="F83" s="5"/>
      <c r="G83" s="5"/>
      <c r="H83" s="5"/>
      <c r="I83" s="25"/>
      <c r="J83" s="5"/>
      <c r="K83" s="5"/>
      <c r="L83" s="5"/>
      <c r="M83" s="5"/>
      <c r="N83" s="5"/>
      <c r="O83" s="25"/>
      <c r="P83" s="5"/>
      <c r="Q83" s="5"/>
      <c r="R83" s="5"/>
      <c r="S83" s="5"/>
      <c r="T83" s="6"/>
      <c r="U83" s="45"/>
      <c r="V83" s="45"/>
    </row>
    <row r="84" spans="1:22" ht="15" customHeight="1" thickBot="1" x14ac:dyDescent="0.3">
      <c r="A84" s="69"/>
      <c r="B84" s="88"/>
      <c r="C84" s="7"/>
      <c r="D84" s="7"/>
      <c r="E84" s="3"/>
      <c r="F84" s="5"/>
      <c r="G84" s="5"/>
      <c r="H84" s="5"/>
      <c r="I84" s="25"/>
      <c r="J84" s="5"/>
      <c r="K84" s="5"/>
      <c r="L84" s="5"/>
      <c r="M84" s="5"/>
      <c r="N84" s="5"/>
      <c r="O84" s="25"/>
      <c r="P84" s="5"/>
      <c r="Q84" s="5"/>
      <c r="R84" s="5"/>
      <c r="S84" s="5"/>
      <c r="T84" s="6"/>
      <c r="U84" s="45"/>
      <c r="V84" s="45"/>
    </row>
    <row r="85" spans="1:22" ht="15" customHeight="1" thickBot="1" x14ac:dyDescent="0.3">
      <c r="A85" s="69"/>
      <c r="B85" s="88"/>
      <c r="C85" s="7"/>
      <c r="D85" s="7"/>
      <c r="E85" s="3"/>
      <c r="F85" s="5"/>
      <c r="G85" s="5"/>
      <c r="H85" s="5"/>
      <c r="I85" s="25"/>
      <c r="J85" s="5"/>
      <c r="K85" s="5"/>
      <c r="L85" s="5"/>
      <c r="M85" s="5"/>
      <c r="N85" s="5"/>
      <c r="O85" s="25"/>
      <c r="P85" s="5"/>
      <c r="Q85" s="5"/>
      <c r="R85" s="5"/>
      <c r="S85" s="5"/>
      <c r="T85" s="6"/>
      <c r="U85" s="45"/>
      <c r="V85" s="45"/>
    </row>
    <row r="86" spans="1:22" ht="15" customHeight="1" thickBot="1" x14ac:dyDescent="0.3">
      <c r="A86" s="70"/>
      <c r="B86" s="88"/>
      <c r="C86" s="7"/>
      <c r="D86" s="7"/>
      <c r="E86" s="3"/>
      <c r="F86" s="5"/>
      <c r="G86" s="5"/>
      <c r="H86" s="5"/>
      <c r="I86" s="25"/>
      <c r="J86" s="5"/>
      <c r="K86" s="5"/>
      <c r="L86" s="5"/>
      <c r="M86" s="5"/>
      <c r="N86" s="5"/>
      <c r="O86" s="25"/>
      <c r="P86" s="5"/>
      <c r="Q86" s="5"/>
      <c r="R86" s="5"/>
      <c r="S86" s="5"/>
      <c r="T86" s="6"/>
      <c r="U86" s="45"/>
      <c r="V86" s="45"/>
    </row>
    <row r="87" spans="1:22" ht="15" customHeight="1" thickBot="1" x14ac:dyDescent="0.3">
      <c r="A87" s="72"/>
      <c r="B87" s="88"/>
      <c r="C87" s="7"/>
      <c r="D87" s="7"/>
      <c r="E87" s="3"/>
      <c r="F87" s="5"/>
      <c r="H87" s="5"/>
      <c r="I87" s="25"/>
      <c r="O87" s="25"/>
      <c r="U87" s="45"/>
      <c r="V87" s="45"/>
    </row>
    <row r="88" spans="1:22" ht="15" customHeight="1" thickBot="1" x14ac:dyDescent="0.3">
      <c r="A88" s="69"/>
      <c r="B88" s="88"/>
      <c r="C88" s="7"/>
      <c r="D88" s="7"/>
      <c r="E88" s="3"/>
      <c r="F88" s="5"/>
      <c r="I88" s="25"/>
      <c r="O88" s="25"/>
      <c r="U88" s="45"/>
      <c r="V88" s="45"/>
    </row>
    <row r="89" spans="1:22" ht="15" customHeight="1" thickBot="1" x14ac:dyDescent="0.3">
      <c r="A89" s="69"/>
      <c r="B89" s="88"/>
      <c r="C89" s="7"/>
      <c r="D89" s="7"/>
      <c r="E89" s="3"/>
      <c r="F89" s="5"/>
      <c r="I89" s="25"/>
      <c r="O89" s="25"/>
      <c r="U89" s="45"/>
      <c r="V89" s="45"/>
    </row>
    <row r="90" spans="1:22" ht="15" customHeight="1" thickBot="1" x14ac:dyDescent="0.3">
      <c r="A90" s="69"/>
      <c r="B90" s="88"/>
      <c r="C90" s="7"/>
      <c r="D90" s="7"/>
      <c r="E90" s="3"/>
      <c r="F90" s="5"/>
      <c r="I90" s="25"/>
      <c r="O90" s="25"/>
      <c r="U90" s="45"/>
      <c r="V90" s="45"/>
    </row>
    <row r="91" spans="1:22" ht="15" customHeight="1" thickBot="1" x14ac:dyDescent="0.3">
      <c r="A91" s="69"/>
      <c r="B91" s="88"/>
      <c r="C91" s="7"/>
      <c r="D91" s="7"/>
      <c r="E91" s="3"/>
      <c r="F91" s="5"/>
      <c r="I91" s="25"/>
      <c r="O91" s="25"/>
      <c r="U91" s="45"/>
      <c r="V91" s="45"/>
    </row>
    <row r="92" spans="1:22" ht="15" customHeight="1" thickBot="1" x14ac:dyDescent="0.3">
      <c r="A92" s="69"/>
      <c r="B92" s="88"/>
      <c r="C92" s="7"/>
      <c r="D92" s="7"/>
      <c r="E92" s="3"/>
      <c r="F92" s="5"/>
      <c r="I92" s="25"/>
      <c r="O92" s="25"/>
      <c r="U92" s="45"/>
      <c r="V92" s="45"/>
    </row>
    <row r="93" spans="1:22" ht="15" customHeight="1" thickBot="1" x14ac:dyDescent="0.3">
      <c r="A93" s="69"/>
      <c r="B93" s="88"/>
      <c r="C93" s="7"/>
      <c r="D93" s="7"/>
      <c r="E93" s="3"/>
      <c r="F93" s="5"/>
      <c r="I93" s="25"/>
      <c r="O93" s="25"/>
      <c r="U93" s="45"/>
      <c r="V93" s="45"/>
    </row>
    <row r="94" spans="1:22" ht="15" customHeight="1" thickBot="1" x14ac:dyDescent="0.3">
      <c r="A94" s="69"/>
      <c r="B94" s="88"/>
      <c r="C94" s="7"/>
      <c r="D94" s="7"/>
      <c r="E94" s="3"/>
      <c r="F94" s="5"/>
      <c r="I94" s="25"/>
      <c r="O94" s="25"/>
      <c r="U94" s="45"/>
      <c r="V94" s="45"/>
    </row>
    <row r="95" spans="1:22" ht="15" customHeight="1" thickBot="1" x14ac:dyDescent="0.3">
      <c r="A95" s="69"/>
      <c r="B95" s="88"/>
      <c r="C95" s="7"/>
      <c r="D95" s="7"/>
      <c r="E95" s="3"/>
      <c r="F95" s="5"/>
      <c r="I95" s="25"/>
      <c r="O95" s="25"/>
      <c r="U95" s="45"/>
      <c r="V95" s="45"/>
    </row>
    <row r="96" spans="1:22" ht="15" customHeight="1" thickBot="1" x14ac:dyDescent="0.3">
      <c r="A96" s="69"/>
      <c r="B96" s="88"/>
      <c r="C96" s="7"/>
      <c r="D96" s="7"/>
      <c r="E96" s="3"/>
      <c r="F96" s="5"/>
      <c r="I96" s="25"/>
      <c r="O96" s="25"/>
      <c r="U96" s="45"/>
      <c r="V96" s="45"/>
    </row>
    <row r="97" spans="1:22" ht="15" customHeight="1" thickBot="1" x14ac:dyDescent="0.3">
      <c r="A97" s="69"/>
      <c r="B97" s="88"/>
      <c r="C97" s="7"/>
      <c r="D97" s="7"/>
      <c r="E97" s="3"/>
      <c r="F97" s="5"/>
      <c r="I97" s="25"/>
      <c r="O97" s="25"/>
      <c r="U97" s="46"/>
      <c r="V97" s="46"/>
    </row>
    <row r="98" spans="1:22" ht="15" customHeight="1" thickBot="1" x14ac:dyDescent="0.3">
      <c r="A98" s="69"/>
      <c r="B98" s="88"/>
      <c r="C98" s="7"/>
      <c r="D98" s="7"/>
      <c r="E98" s="3"/>
      <c r="F98" s="5"/>
      <c r="I98" s="25"/>
      <c r="O98" s="25"/>
      <c r="U98" s="46"/>
      <c r="V98" s="46"/>
    </row>
    <row r="99" spans="1:22" ht="15" customHeight="1" thickBot="1" x14ac:dyDescent="0.3">
      <c r="A99" s="69"/>
      <c r="B99" s="88"/>
      <c r="C99" s="7"/>
      <c r="D99" s="7"/>
      <c r="E99" s="3"/>
      <c r="F99" s="5"/>
      <c r="I99" s="25"/>
      <c r="O99" s="25"/>
      <c r="U99" s="46"/>
      <c r="V99" s="46"/>
    </row>
    <row r="100" spans="1:22" ht="15" customHeight="1" thickBot="1" x14ac:dyDescent="0.3">
      <c r="A100" s="69"/>
      <c r="B100" s="88"/>
      <c r="C100" s="7"/>
      <c r="D100" s="7"/>
      <c r="E100" s="3"/>
      <c r="F100" s="5"/>
      <c r="I100" s="25"/>
      <c r="O100" s="25"/>
      <c r="U100" s="46"/>
      <c r="V100" s="46"/>
    </row>
    <row r="101" spans="1:22" ht="15" customHeight="1" thickBot="1" x14ac:dyDescent="0.3">
      <c r="A101" s="73"/>
      <c r="B101" s="88"/>
      <c r="C101" s="7"/>
      <c r="D101" s="7"/>
      <c r="E101" s="3"/>
      <c r="F101" s="5"/>
      <c r="I101" s="25"/>
      <c r="O101" s="25"/>
      <c r="U101" s="46"/>
      <c r="V101" s="46"/>
    </row>
    <row r="102" spans="1:22" ht="15" customHeight="1" thickBot="1" x14ac:dyDescent="0.3">
      <c r="A102" s="69"/>
      <c r="B102" s="88"/>
      <c r="C102" s="7"/>
      <c r="D102" s="7"/>
      <c r="E102" s="3"/>
      <c r="F102" s="5"/>
      <c r="I102" s="25"/>
      <c r="O102" s="25"/>
      <c r="U102" s="46"/>
      <c r="V102" s="46"/>
    </row>
    <row r="103" spans="1:22" ht="15" customHeight="1" thickBot="1" x14ac:dyDescent="0.3">
      <c r="A103" s="69"/>
      <c r="B103" s="88"/>
      <c r="C103" s="7"/>
      <c r="D103" s="7"/>
      <c r="E103" s="3"/>
      <c r="F103" s="5"/>
      <c r="I103" s="25"/>
      <c r="O103" s="25"/>
      <c r="U103" s="46"/>
      <c r="V103" s="46"/>
    </row>
    <row r="104" spans="1:22" ht="15" customHeight="1" thickBot="1" x14ac:dyDescent="0.3">
      <c r="A104" s="69"/>
      <c r="B104" s="88"/>
      <c r="C104" s="7"/>
      <c r="D104" s="7"/>
      <c r="E104" s="3"/>
      <c r="F104" s="5"/>
      <c r="I104" s="25"/>
      <c r="O104" s="25"/>
      <c r="U104" s="46"/>
      <c r="V104" s="46"/>
    </row>
    <row r="105" spans="1:22" ht="15" customHeight="1" thickBot="1" x14ac:dyDescent="0.3">
      <c r="A105" s="69"/>
      <c r="B105" s="88"/>
      <c r="C105" s="7"/>
      <c r="D105" s="7"/>
      <c r="E105" s="3"/>
      <c r="F105" s="5"/>
      <c r="I105" s="25"/>
      <c r="O105" s="25"/>
      <c r="U105" s="46"/>
      <c r="V105" s="46"/>
    </row>
    <row r="106" spans="1:22" ht="15" customHeight="1" thickBot="1" x14ac:dyDescent="0.3">
      <c r="A106" s="69"/>
      <c r="B106" s="88"/>
      <c r="C106" s="7"/>
      <c r="D106" s="7"/>
      <c r="E106" s="3"/>
      <c r="F106" s="5"/>
      <c r="I106" s="25"/>
      <c r="O106" s="25"/>
      <c r="U106" s="46"/>
      <c r="V106" s="46"/>
    </row>
    <row r="107" spans="1:22" ht="15" customHeight="1" thickBot="1" x14ac:dyDescent="0.3">
      <c r="A107" s="69"/>
      <c r="B107" s="88"/>
      <c r="C107" s="7"/>
      <c r="D107" s="7"/>
      <c r="E107" s="3"/>
      <c r="F107" s="5"/>
      <c r="I107" s="25"/>
      <c r="O107" s="25"/>
      <c r="U107" s="46"/>
      <c r="V107" s="46"/>
    </row>
    <row r="108" spans="1:22" ht="15" customHeight="1" thickBot="1" x14ac:dyDescent="0.3">
      <c r="A108" s="69"/>
      <c r="B108" s="88"/>
      <c r="C108" s="7"/>
      <c r="D108" s="7"/>
      <c r="E108" s="3"/>
      <c r="F108" s="5"/>
      <c r="I108" s="25"/>
      <c r="O108" s="25"/>
      <c r="U108" s="46"/>
      <c r="V108" s="46"/>
    </row>
    <row r="109" spans="1:22" ht="15" customHeight="1" thickBot="1" x14ac:dyDescent="0.3">
      <c r="A109" s="74"/>
      <c r="B109" s="88"/>
      <c r="C109" s="7"/>
      <c r="D109" s="7"/>
      <c r="E109" s="3"/>
      <c r="F109" s="5"/>
      <c r="I109" s="25"/>
      <c r="O109" s="25"/>
      <c r="U109" s="46"/>
      <c r="V109" s="46"/>
    </row>
    <row r="110" spans="1:22" ht="15" customHeight="1" x14ac:dyDescent="0.25">
      <c r="A110" s="76"/>
      <c r="B110" s="88"/>
      <c r="C110" s="7"/>
      <c r="D110" s="7"/>
      <c r="E110" s="3"/>
      <c r="F110" s="5"/>
      <c r="I110" s="25"/>
      <c r="O110" s="25"/>
      <c r="U110" s="46"/>
      <c r="V110" s="46"/>
    </row>
    <row r="111" spans="1:22" ht="15" customHeight="1" x14ac:dyDescent="0.25">
      <c r="A111" s="17"/>
      <c r="B111" s="88"/>
      <c r="C111" s="7"/>
      <c r="D111" s="7"/>
      <c r="E111" s="3"/>
      <c r="F111" s="5"/>
      <c r="I111" s="25"/>
      <c r="O111" s="25"/>
      <c r="U111" s="46"/>
      <c r="V111" s="46"/>
    </row>
    <row r="112" spans="1:22" ht="15" customHeight="1" x14ac:dyDescent="0.25">
      <c r="A112" s="17"/>
      <c r="B112" s="88"/>
      <c r="C112" s="7"/>
      <c r="D112" s="7"/>
      <c r="E112" s="3"/>
      <c r="F112" s="5"/>
      <c r="I112" s="25"/>
      <c r="O112" s="25"/>
      <c r="U112" s="46"/>
      <c r="V112" s="46"/>
    </row>
    <row r="113" spans="1:22" ht="15" customHeight="1" x14ac:dyDescent="0.25">
      <c r="A113" s="17"/>
      <c r="B113" s="88"/>
      <c r="C113" s="7"/>
      <c r="D113" s="7"/>
      <c r="E113" s="3"/>
      <c r="F113" s="5"/>
      <c r="I113" s="25"/>
      <c r="O113" s="25"/>
      <c r="U113" s="46"/>
      <c r="V113" s="46"/>
    </row>
    <row r="114" spans="1:22" ht="15" customHeight="1" x14ac:dyDescent="0.25">
      <c r="A114" s="17"/>
      <c r="B114" s="88"/>
      <c r="C114" s="7"/>
      <c r="D114" s="7"/>
      <c r="E114" s="3"/>
      <c r="F114" s="5"/>
      <c r="I114" s="25"/>
      <c r="O114" s="25"/>
      <c r="U114" s="46"/>
      <c r="V114" s="46"/>
    </row>
    <row r="115" spans="1:22" ht="15" customHeight="1" x14ac:dyDescent="0.25">
      <c r="A115" s="17"/>
      <c r="B115" s="88"/>
      <c r="C115" s="7"/>
      <c r="D115" s="7"/>
      <c r="E115" s="3"/>
      <c r="F115" s="5"/>
      <c r="I115" s="25"/>
      <c r="O115" s="25"/>
      <c r="U115" s="46"/>
      <c r="V115" s="46"/>
    </row>
    <row r="116" spans="1:22" ht="15" customHeight="1" x14ac:dyDescent="0.25">
      <c r="A116" s="17"/>
      <c r="B116" s="88"/>
      <c r="C116" s="7"/>
      <c r="D116" s="7"/>
      <c r="E116" s="3"/>
      <c r="F116" s="5"/>
      <c r="I116" s="25"/>
      <c r="O116" s="25"/>
      <c r="U116" s="46"/>
      <c r="V116" s="46"/>
    </row>
    <row r="117" spans="1:22" ht="15" customHeight="1" x14ac:dyDescent="0.25">
      <c r="A117" s="17"/>
      <c r="B117" s="88"/>
      <c r="C117" s="7"/>
      <c r="D117" s="7"/>
      <c r="E117" s="3"/>
      <c r="F117" s="5"/>
      <c r="I117" s="25"/>
      <c r="O117" s="25"/>
      <c r="U117" s="46"/>
      <c r="V117" s="46"/>
    </row>
    <row r="118" spans="1:22" ht="15" customHeight="1" x14ac:dyDescent="0.25">
      <c r="A118" s="17"/>
      <c r="B118" s="88"/>
      <c r="C118" s="7"/>
      <c r="D118" s="7"/>
      <c r="E118" s="3"/>
      <c r="F118" s="5"/>
      <c r="I118" s="25"/>
      <c r="O118" s="25"/>
      <c r="U118" s="46"/>
      <c r="V118" s="46"/>
    </row>
    <row r="119" spans="1:22" ht="15" customHeight="1" x14ac:dyDescent="0.25">
      <c r="A119" s="17"/>
      <c r="B119" s="88"/>
      <c r="C119" s="7"/>
      <c r="D119" s="7"/>
      <c r="E119" s="3"/>
      <c r="F119" s="5"/>
      <c r="I119" s="25"/>
      <c r="O119" s="25"/>
      <c r="U119" s="46"/>
      <c r="V119" s="46"/>
    </row>
    <row r="120" spans="1:22" ht="15" customHeight="1" x14ac:dyDescent="0.25">
      <c r="A120" s="17"/>
      <c r="B120" s="88"/>
      <c r="C120" s="7"/>
      <c r="D120" s="7"/>
      <c r="E120" s="3"/>
      <c r="F120" s="5"/>
      <c r="I120" s="25"/>
      <c r="O120" s="25"/>
      <c r="U120" s="46"/>
      <c r="V120" s="46"/>
    </row>
    <row r="121" spans="1:22" ht="15" customHeight="1" x14ac:dyDescent="0.25">
      <c r="A121" s="17"/>
      <c r="B121" s="88"/>
      <c r="C121" s="7"/>
      <c r="D121" s="7"/>
      <c r="E121" s="3"/>
      <c r="F121" s="5"/>
      <c r="I121" s="25"/>
      <c r="O121" s="25"/>
      <c r="U121" s="46"/>
      <c r="V121" s="46"/>
    </row>
    <row r="122" spans="1:22" ht="15" customHeight="1" x14ac:dyDescent="0.25">
      <c r="A122" s="17"/>
      <c r="B122" s="88"/>
      <c r="C122" s="7"/>
      <c r="D122" s="7"/>
      <c r="E122" s="3"/>
      <c r="F122" s="5"/>
      <c r="I122" s="25"/>
      <c r="O122" s="25"/>
      <c r="U122" s="46"/>
      <c r="V122" s="46"/>
    </row>
    <row r="123" spans="1:22" ht="15" customHeight="1" x14ac:dyDescent="0.25">
      <c r="A123" s="17"/>
      <c r="B123" s="88"/>
      <c r="C123" s="7"/>
      <c r="D123" s="7"/>
      <c r="E123" s="3"/>
      <c r="F123" s="5"/>
      <c r="I123" s="25"/>
      <c r="O123" s="25"/>
      <c r="U123" s="46"/>
      <c r="V123" s="46"/>
    </row>
    <row r="124" spans="1:22" ht="15" customHeight="1" x14ac:dyDescent="0.25">
      <c r="A124" s="17"/>
      <c r="B124" s="88"/>
      <c r="C124" s="7"/>
      <c r="D124" s="7"/>
      <c r="E124" s="3"/>
      <c r="F124" s="5"/>
      <c r="I124" s="25"/>
      <c r="O124" s="25"/>
      <c r="U124" s="46"/>
      <c r="V124" s="46"/>
    </row>
    <row r="125" spans="1:22" ht="15" customHeight="1" x14ac:dyDescent="0.25">
      <c r="A125" s="17"/>
      <c r="B125" s="88"/>
      <c r="C125" s="7"/>
      <c r="D125" s="7"/>
      <c r="E125" s="3"/>
      <c r="F125" s="5"/>
      <c r="I125" s="25"/>
      <c r="O125" s="25"/>
      <c r="U125" s="46"/>
      <c r="V125" s="46"/>
    </row>
    <row r="126" spans="1:22" ht="15" customHeight="1" x14ac:dyDescent="0.25">
      <c r="A126" s="17"/>
      <c r="B126" s="88"/>
      <c r="C126" s="7"/>
      <c r="D126" s="7"/>
      <c r="E126" s="3"/>
      <c r="F126" s="5"/>
      <c r="I126" s="25"/>
      <c r="O126" s="25"/>
      <c r="U126" s="46"/>
      <c r="V126" s="46"/>
    </row>
    <row r="127" spans="1:22" ht="15" customHeight="1" x14ac:dyDescent="0.25">
      <c r="A127" s="17"/>
      <c r="B127" s="88"/>
      <c r="C127" s="7"/>
      <c r="D127" s="7"/>
      <c r="E127" s="3"/>
      <c r="F127" s="5"/>
      <c r="I127" s="25"/>
      <c r="O127" s="25"/>
      <c r="U127" s="46"/>
      <c r="V127" s="46"/>
    </row>
    <row r="128" spans="1:22" ht="15" customHeight="1" x14ac:dyDescent="0.25">
      <c r="A128" s="17"/>
      <c r="B128" s="88"/>
      <c r="C128" s="7"/>
      <c r="D128" s="7"/>
      <c r="E128" s="3"/>
      <c r="F128" s="5"/>
      <c r="I128" s="25"/>
      <c r="O128" s="25"/>
      <c r="U128" s="46"/>
      <c r="V128" s="46"/>
    </row>
    <row r="129" spans="1:22" ht="15" customHeight="1" x14ac:dyDescent="0.25">
      <c r="A129" s="17"/>
      <c r="B129" s="88"/>
      <c r="C129" s="7"/>
      <c r="D129" s="7"/>
      <c r="E129" s="3"/>
      <c r="F129" s="5"/>
      <c r="I129" s="25"/>
      <c r="O129" s="25"/>
      <c r="U129" s="46"/>
      <c r="V129" s="46"/>
    </row>
  </sheetData>
  <phoneticPr fontId="8" type="noConversion"/>
  <conditionalFormatting sqref="E2:T43 E44:G129 I44:T129 H44:H130">
    <cfRule type="cellIs" dxfId="57" priority="4" operator="lessThan">
      <formula>6</formula>
    </cfRule>
  </conditionalFormatting>
  <conditionalFormatting sqref="P1:T1">
    <cfRule type="cellIs" dxfId="56" priority="3" operator="lessThan">
      <formula>6</formula>
    </cfRule>
  </conditionalFormatting>
  <conditionalFormatting sqref="U1:U35 V2:V35 U44:U129">
    <cfRule type="cellIs" dxfId="55" priority="2" operator="greaterThan">
      <formula>19</formula>
    </cfRule>
  </conditionalFormatting>
  <conditionalFormatting sqref="V1 V44:V129">
    <cfRule type="cellIs" dxfId="54" priority="1" operator="greaterThan">
      <formula>5</formula>
    </cfRule>
  </conditionalFormatting>
  <dataValidations count="4">
    <dataValidation allowBlank="1" showInputMessage="1" showErrorMessage="1" promptTitle="petunjuk Pengisian " prompt="Izin 20 Hari dalam 1 Semester dapat menurunkan satu nilai akhlaq" sqref="U44:U129 V2:V35 U1:U35" xr:uid="{CF786E83-EF0F-44BF-8654-C0F917A69380}"/>
    <dataValidation allowBlank="1" showInputMessage="1" showErrorMessage="1" promptTitle="Petunjuk Pengisian" prompt="Tidak Izin 6 Hari dalam 1 Semester dapat menurunkan satu nilai akhlaq" sqref="V44:V129 V1" xr:uid="{F3EFE7BB-D69E-4200-A748-F8E87E5DD035}"/>
    <dataValidation operator="equal"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Pondok Pesantren." sqref="A110" xr:uid="{76A16212-150D-40C6-9A3F-3B9A3195CBCB}"/>
    <dataValidation allowBlank="1" showInputMessage="1" showErrorMessage="1" prompt="jumlah nilai pelajaran seluruh siswi dibagi Jumlah siswi _x000a_- tanpa mengikutkan yang boyong/ cuty _x000a_- siswi yang her/ tanpa keterangan dikira kirakan 4 nilainya" sqref="H38:H51" xr:uid="{E7C6EEB4-43D3-42AB-9BCD-89E4B4C2C46A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AK431"/>
  <sheetViews>
    <sheetView topLeftCell="A13" zoomScale="70" zoomScaleNormal="70" workbookViewId="0">
      <selection activeCell="AC22" sqref="AC22"/>
    </sheetView>
  </sheetViews>
  <sheetFormatPr defaultRowHeight="25.15" customHeight="1" x14ac:dyDescent="0.25"/>
  <cols>
    <col min="1" max="1" width="14.85546875" style="35" customWidth="1"/>
    <col min="2" max="2" width="32.42578125" style="81" customWidth="1"/>
    <col min="3" max="3" width="16.85546875" style="7" customWidth="1"/>
    <col min="4" max="4" width="14.85546875" style="7" customWidth="1"/>
    <col min="5" max="5" width="17.7109375" style="3" customWidth="1"/>
    <col min="6" max="6" width="7.42578125" style="5" customWidth="1"/>
    <col min="7" max="8" width="17.7109375" style="5" customWidth="1"/>
    <col min="9" max="9" width="17.7109375" style="25" customWidth="1"/>
    <col min="10" max="14" width="17.7109375" style="5" customWidth="1"/>
    <col min="15" max="15" width="17.7109375" style="25" customWidth="1"/>
    <col min="16" max="19" width="17.7109375" style="5" customWidth="1"/>
    <col min="20" max="20" width="29.42578125" style="6" customWidth="1"/>
    <col min="21" max="22" width="8.7109375" style="45" customWidth="1"/>
    <col min="24" max="24" width="13.42578125" style="30" customWidth="1"/>
    <col min="25" max="25" width="13.28515625" style="30" customWidth="1"/>
    <col min="26" max="26" width="14.85546875" style="32" customWidth="1"/>
    <col min="27" max="27" width="17.7109375" style="30" customWidth="1"/>
    <col min="28" max="28" width="10.7109375" style="32" customWidth="1"/>
    <col min="29" max="29" width="13.42578125" style="31" customWidth="1"/>
    <col min="31" max="31" width="11" style="53" customWidth="1"/>
    <col min="32" max="32" width="9.140625" style="53" customWidth="1"/>
    <col min="33" max="33" width="14" style="54" customWidth="1"/>
    <col min="34" max="34" width="9.140625" customWidth="1"/>
    <col min="35" max="36" width="9.140625" style="53" customWidth="1"/>
    <col min="37" max="37" width="18.28515625" style="55" customWidth="1"/>
  </cols>
  <sheetData>
    <row r="1" spans="1:37" s="20" customFormat="1" ht="25.15" customHeight="1" thickBot="1" x14ac:dyDescent="0.3">
      <c r="A1" s="34" t="s">
        <v>1</v>
      </c>
      <c r="B1" s="78" t="s">
        <v>0</v>
      </c>
      <c r="C1" s="11" t="s">
        <v>2</v>
      </c>
      <c r="D1" s="11" t="s">
        <v>13</v>
      </c>
      <c r="E1" s="39" t="s">
        <v>3</v>
      </c>
      <c r="F1" s="36"/>
      <c r="G1" s="21" t="s">
        <v>51</v>
      </c>
      <c r="H1" s="21" t="s">
        <v>4</v>
      </c>
      <c r="I1" s="22" t="s">
        <v>52</v>
      </c>
      <c r="J1" s="21" t="s">
        <v>5</v>
      </c>
      <c r="K1" s="21" t="s">
        <v>53</v>
      </c>
      <c r="L1" s="21" t="s">
        <v>73</v>
      </c>
      <c r="M1" s="21" t="s">
        <v>54</v>
      </c>
      <c r="N1" s="21" t="s">
        <v>55</v>
      </c>
      <c r="O1" s="22" t="s">
        <v>57</v>
      </c>
      <c r="P1" s="12" t="s">
        <v>6</v>
      </c>
      <c r="Q1" s="12" t="s">
        <v>7</v>
      </c>
      <c r="R1" s="12" t="s">
        <v>8</v>
      </c>
      <c r="S1" s="12" t="s">
        <v>9</v>
      </c>
      <c r="T1" s="13" t="s">
        <v>10</v>
      </c>
      <c r="U1" s="43" t="s">
        <v>11</v>
      </c>
      <c r="V1" s="43" t="s">
        <v>12</v>
      </c>
      <c r="X1" s="26" t="s">
        <v>58</v>
      </c>
      <c r="Y1" s="26" t="s">
        <v>59</v>
      </c>
      <c r="Z1" s="26" t="s">
        <v>60</v>
      </c>
      <c r="AA1" s="26" t="s">
        <v>61</v>
      </c>
      <c r="AB1" s="26" t="s">
        <v>62</v>
      </c>
      <c r="AC1" s="26" t="s">
        <v>63</v>
      </c>
      <c r="AE1" s="47" t="s">
        <v>67</v>
      </c>
      <c r="AF1" s="48" t="s">
        <v>68</v>
      </c>
      <c r="AG1" s="49" t="s">
        <v>69</v>
      </c>
      <c r="AH1" s="42"/>
      <c r="AI1" s="50" t="s">
        <v>70</v>
      </c>
      <c r="AJ1" s="50" t="s">
        <v>71</v>
      </c>
      <c r="AK1" s="49" t="s">
        <v>72</v>
      </c>
    </row>
    <row r="2" spans="1:37" s="1" customFormat="1" ht="25.15" customHeight="1" thickBot="1" x14ac:dyDescent="0.3">
      <c r="A2" s="41" t="str">
        <f>'2 ALIYAH A'!A2:C31</f>
        <v>01</v>
      </c>
      <c r="B2" s="79" t="str">
        <f>'2 ALIYAH A'!B2:D31</f>
        <v>AINA NUR LAELY</v>
      </c>
      <c r="C2" s="41">
        <f>'2 ALIYAH A'!C2:E31</f>
        <v>2788</v>
      </c>
      <c r="D2" s="19" t="s">
        <v>14</v>
      </c>
      <c r="E2" s="3" t="str">
        <f>TEXT(F2,"[$-2000000]0")</f>
        <v>٧</v>
      </c>
      <c r="F2" s="37">
        <v>7</v>
      </c>
      <c r="G2" s="3">
        <v>0</v>
      </c>
      <c r="H2" s="37">
        <v>7</v>
      </c>
      <c r="I2" s="37">
        <v>9</v>
      </c>
      <c r="J2" s="37">
        <v>7</v>
      </c>
      <c r="K2" s="37">
        <v>5</v>
      </c>
      <c r="L2" s="37">
        <v>5</v>
      </c>
      <c r="M2" s="37">
        <v>5</v>
      </c>
      <c r="N2" s="37">
        <v>5</v>
      </c>
      <c r="O2" s="37">
        <v>7</v>
      </c>
      <c r="P2" s="37">
        <v>7</v>
      </c>
      <c r="Q2" s="37">
        <v>7</v>
      </c>
      <c r="R2" s="37">
        <v>8</v>
      </c>
      <c r="S2" s="37">
        <v>8</v>
      </c>
      <c r="T2" s="4">
        <f t="shared" ref="T2:T31" si="0">SUM(E2:S2)</f>
        <v>87</v>
      </c>
      <c r="U2" s="44" t="s">
        <v>56</v>
      </c>
      <c r="V2" s="44" t="s">
        <v>56</v>
      </c>
      <c r="X2" s="27">
        <f>'2 ALIYAH A'!T2:T31</f>
        <v>85</v>
      </c>
      <c r="Y2" s="27">
        <f t="shared" ref="Y2" si="1">T2</f>
        <v>87</v>
      </c>
      <c r="Z2" s="28">
        <f t="shared" ref="Z2" si="2">X2+Y2</f>
        <v>172</v>
      </c>
      <c r="AA2" s="27">
        <v>26</v>
      </c>
      <c r="AB2" s="28">
        <f>Z2/AA2</f>
        <v>7</v>
      </c>
      <c r="AC2" s="29" t="str">
        <f t="shared" ref="AC2:AC50" si="3">IF(AB2&gt;=8.5,"الجيد الأول",IF(AB2&gt;=7.5,"الجيد الثاني",IF(AB2&gt;=6.5,"المتوسط الأول",IF(AB2&gt;=5.5,"المتوسط الثاني",IF(AB2&gt;=4.5,"الرديء",)))))</f>
        <v>المتوسط الأول</v>
      </c>
      <c r="AE2" s="51">
        <f>'2 ALIYAH A'!U2:U31</f>
        <v>1</v>
      </c>
      <c r="AF2" s="51" t="str">
        <f>U2:U31</f>
        <v>-</v>
      </c>
      <c r="AG2" s="52">
        <f>SUM(AE2:AF2)</f>
        <v>1</v>
      </c>
      <c r="AI2" s="51" t="str">
        <f>'2 ALIYAH A'!V2:V31</f>
        <v>-</v>
      </c>
      <c r="AJ2" s="51" t="str">
        <f>V2:V27</f>
        <v>-</v>
      </c>
      <c r="AK2" s="52">
        <f>SUM(AI2:AJ2)</f>
        <v>0</v>
      </c>
    </row>
    <row r="3" spans="1:37" s="1" customFormat="1" ht="25.15" customHeight="1" thickBot="1" x14ac:dyDescent="0.3">
      <c r="A3" s="41" t="str">
        <f>'2 ALIYAH A'!A3:C32</f>
        <v>02</v>
      </c>
      <c r="B3" s="79" t="str">
        <f>'2 ALIYAH A'!B3:D32</f>
        <v>AMARATUS SAIDA</v>
      </c>
      <c r="C3" s="41">
        <f>'2 ALIYAH A'!C3:E32</f>
        <v>2725</v>
      </c>
      <c r="D3" s="19" t="s">
        <v>15</v>
      </c>
      <c r="E3" s="3" t="str">
        <f t="shared" ref="E3:E32" si="4">TEXT(F3,"[$-2000000]0")</f>
        <v>٨</v>
      </c>
      <c r="F3" s="37">
        <v>8</v>
      </c>
      <c r="G3" s="3">
        <v>0</v>
      </c>
      <c r="H3" s="37">
        <v>8</v>
      </c>
      <c r="I3" s="37">
        <v>8</v>
      </c>
      <c r="J3" s="37">
        <v>9</v>
      </c>
      <c r="K3" s="37">
        <v>8</v>
      </c>
      <c r="L3" s="37">
        <v>6</v>
      </c>
      <c r="M3" s="37">
        <v>7</v>
      </c>
      <c r="N3" s="37">
        <v>8</v>
      </c>
      <c r="O3" s="37">
        <v>8</v>
      </c>
      <c r="P3" s="37">
        <v>8</v>
      </c>
      <c r="Q3" s="37">
        <v>8</v>
      </c>
      <c r="R3" s="37">
        <v>8</v>
      </c>
      <c r="S3" s="37">
        <v>8</v>
      </c>
      <c r="T3" s="4">
        <f t="shared" si="0"/>
        <v>102</v>
      </c>
      <c r="U3" s="44" t="s">
        <v>56</v>
      </c>
      <c r="V3" s="44">
        <v>1</v>
      </c>
      <c r="X3" s="27">
        <f>'2 ALIYAH A'!T3:T32</f>
        <v>105</v>
      </c>
      <c r="Y3" s="27">
        <f t="shared" ref="Y3:Y31" si="5">T3</f>
        <v>102</v>
      </c>
      <c r="Z3" s="28">
        <f t="shared" ref="Z3:Z31" si="6">X3+Y3</f>
        <v>207</v>
      </c>
      <c r="AA3" s="27">
        <v>26</v>
      </c>
      <c r="AB3" s="28">
        <f t="shared" ref="AB3:AB31" si="7">Z3/AA3</f>
        <v>8</v>
      </c>
      <c r="AC3" s="29" t="str">
        <f t="shared" si="3"/>
        <v>الجيد الثاني</v>
      </c>
      <c r="AE3" s="51" t="str">
        <f>'2 ALIYAH A'!U3:U32</f>
        <v>-</v>
      </c>
      <c r="AF3" s="51" t="str">
        <f>U3:U31</f>
        <v>-</v>
      </c>
      <c r="AG3" s="52">
        <f t="shared" ref="AG3:AG31" si="8">SUM(AE3:AF3)</f>
        <v>0</v>
      </c>
      <c r="AI3" s="51">
        <f>'2 ALIYAH A'!V3:V32</f>
        <v>1</v>
      </c>
      <c r="AJ3" s="51">
        <f t="shared" ref="AJ3:AJ6" si="9">V3:V28</f>
        <v>1</v>
      </c>
      <c r="AK3" s="52">
        <f t="shared" ref="AK3:AK31" si="10">SUM(AI3:AJ3)</f>
        <v>2</v>
      </c>
    </row>
    <row r="4" spans="1:37" s="1" customFormat="1" ht="25.15" customHeight="1" thickBot="1" x14ac:dyDescent="0.3">
      <c r="A4" s="41" t="str">
        <f>'2 ALIYAH A'!A4:C33</f>
        <v>03</v>
      </c>
      <c r="B4" s="79" t="str">
        <f>'2 ALIYAH A'!B4:D33</f>
        <v>ANJALI ISNA HUSNAWATI</v>
      </c>
      <c r="C4" s="41">
        <f>'2 ALIYAH A'!C4:E33</f>
        <v>2885</v>
      </c>
      <c r="D4" s="19" t="s">
        <v>16</v>
      </c>
      <c r="E4" s="3" t="str">
        <f t="shared" si="4"/>
        <v>٩</v>
      </c>
      <c r="F4" s="37">
        <v>9</v>
      </c>
      <c r="G4" s="3">
        <v>0</v>
      </c>
      <c r="H4" s="37">
        <v>8</v>
      </c>
      <c r="I4" s="37">
        <v>9</v>
      </c>
      <c r="J4" s="37">
        <v>7</v>
      </c>
      <c r="K4" s="37">
        <v>8</v>
      </c>
      <c r="L4" s="37">
        <v>9</v>
      </c>
      <c r="M4" s="37">
        <v>7</v>
      </c>
      <c r="N4" s="37">
        <v>9</v>
      </c>
      <c r="O4" s="37">
        <v>5</v>
      </c>
      <c r="P4" s="37">
        <v>8</v>
      </c>
      <c r="Q4" s="37">
        <v>8</v>
      </c>
      <c r="R4" s="37">
        <v>8</v>
      </c>
      <c r="S4" s="37">
        <v>8</v>
      </c>
      <c r="T4" s="4">
        <f t="shared" si="0"/>
        <v>103</v>
      </c>
      <c r="U4" s="44" t="s">
        <v>56</v>
      </c>
      <c r="V4" s="44" t="s">
        <v>56</v>
      </c>
      <c r="X4" s="27">
        <f>'2 ALIYAH A'!T4:T33</f>
        <v>102</v>
      </c>
      <c r="Y4" s="27">
        <f t="shared" si="5"/>
        <v>103</v>
      </c>
      <c r="Z4" s="28">
        <f t="shared" si="6"/>
        <v>205</v>
      </c>
      <c r="AA4" s="27">
        <v>26</v>
      </c>
      <c r="AB4" s="28">
        <f t="shared" si="7"/>
        <v>8</v>
      </c>
      <c r="AC4" s="29" t="str">
        <f t="shared" si="3"/>
        <v>الجيد الثاني</v>
      </c>
      <c r="AE4" s="51" t="str">
        <f>'2 ALIYAH A'!U4:U33</f>
        <v>-</v>
      </c>
      <c r="AF4" s="51" t="str">
        <f>U4:U31</f>
        <v>-</v>
      </c>
      <c r="AG4" s="52">
        <f t="shared" si="8"/>
        <v>0</v>
      </c>
      <c r="AI4" s="51" t="str">
        <f>'2 ALIYAH A'!V4:V33</f>
        <v>-</v>
      </c>
      <c r="AJ4" s="51" t="str">
        <f t="shared" si="9"/>
        <v>-</v>
      </c>
      <c r="AK4" s="52">
        <f t="shared" si="10"/>
        <v>0</v>
      </c>
    </row>
    <row r="5" spans="1:37" s="1" customFormat="1" ht="25.15" customHeight="1" thickBot="1" x14ac:dyDescent="0.3">
      <c r="A5" s="41" t="str">
        <f>'2 ALIYAH A'!A5:C34</f>
        <v>04</v>
      </c>
      <c r="B5" s="79" t="str">
        <f>'2 ALIYAH A'!B5:D34</f>
        <v>DAILLATS TSOORAYA</v>
      </c>
      <c r="C5" s="41">
        <f>'2 ALIYAH A'!C5:E34</f>
        <v>2653</v>
      </c>
      <c r="D5" s="19" t="s">
        <v>17</v>
      </c>
      <c r="E5" s="3" t="str">
        <f t="shared" si="4"/>
        <v>٨</v>
      </c>
      <c r="F5" s="37">
        <v>8</v>
      </c>
      <c r="G5" s="3">
        <v>0</v>
      </c>
      <c r="H5" s="37">
        <v>9</v>
      </c>
      <c r="I5" s="37">
        <v>9</v>
      </c>
      <c r="J5" s="37">
        <v>9</v>
      </c>
      <c r="K5" s="37">
        <v>9</v>
      </c>
      <c r="L5" s="37">
        <v>9</v>
      </c>
      <c r="M5" s="37">
        <v>9</v>
      </c>
      <c r="N5" s="37">
        <v>9</v>
      </c>
      <c r="O5" s="37">
        <v>9</v>
      </c>
      <c r="P5" s="37">
        <v>8</v>
      </c>
      <c r="Q5" s="37">
        <v>8</v>
      </c>
      <c r="R5" s="37">
        <v>8</v>
      </c>
      <c r="S5" s="37">
        <v>8</v>
      </c>
      <c r="T5" s="4">
        <f t="shared" si="0"/>
        <v>112</v>
      </c>
      <c r="U5" s="44" t="s">
        <v>56</v>
      </c>
      <c r="V5" s="44" t="s">
        <v>56</v>
      </c>
      <c r="X5" s="27">
        <f>'2 ALIYAH A'!T5:T34</f>
        <v>113</v>
      </c>
      <c r="Y5" s="27">
        <f t="shared" si="5"/>
        <v>112</v>
      </c>
      <c r="Z5" s="28">
        <f t="shared" si="6"/>
        <v>225</v>
      </c>
      <c r="AA5" s="27">
        <v>26</v>
      </c>
      <c r="AB5" s="28">
        <f t="shared" si="7"/>
        <v>9</v>
      </c>
      <c r="AC5" s="29" t="str">
        <f t="shared" si="3"/>
        <v>الجيد الأول</v>
      </c>
      <c r="AE5" s="51" t="str">
        <f>'2 ALIYAH A'!U5:U34</f>
        <v>-</v>
      </c>
      <c r="AF5" s="51" t="str">
        <f>U5:U31</f>
        <v>-</v>
      </c>
      <c r="AG5" s="52">
        <f t="shared" si="8"/>
        <v>0</v>
      </c>
      <c r="AI5" s="51" t="str">
        <f>'2 ALIYAH A'!V5:V34</f>
        <v>-</v>
      </c>
      <c r="AJ5" s="51" t="str">
        <f t="shared" si="9"/>
        <v>-</v>
      </c>
      <c r="AK5" s="52">
        <f t="shared" si="10"/>
        <v>0</v>
      </c>
    </row>
    <row r="6" spans="1:37" s="1" customFormat="1" ht="25.15" customHeight="1" thickBot="1" x14ac:dyDescent="0.3">
      <c r="A6" s="41" t="str">
        <f>'2 ALIYAH A'!A6:C35</f>
        <v>05</v>
      </c>
      <c r="B6" s="79" t="str">
        <f>'2 ALIYAH A'!B6:D35</f>
        <v>DEWI NUR AZIZAH</v>
      </c>
      <c r="C6" s="41">
        <f>'2 ALIYAH A'!C6:E35</f>
        <v>2822</v>
      </c>
      <c r="D6" s="19" t="s">
        <v>18</v>
      </c>
      <c r="E6" s="3" t="str">
        <f t="shared" si="4"/>
        <v>٦</v>
      </c>
      <c r="F6" s="37">
        <v>6</v>
      </c>
      <c r="G6" s="3">
        <v>0</v>
      </c>
      <c r="H6" s="37">
        <v>9</v>
      </c>
      <c r="I6" s="37">
        <v>7</v>
      </c>
      <c r="J6" s="37">
        <v>5</v>
      </c>
      <c r="K6" s="37">
        <v>6</v>
      </c>
      <c r="L6" s="37">
        <v>9</v>
      </c>
      <c r="M6" s="37">
        <v>6</v>
      </c>
      <c r="N6" s="37">
        <v>5</v>
      </c>
      <c r="O6" s="37">
        <v>7</v>
      </c>
      <c r="P6" s="37">
        <v>8</v>
      </c>
      <c r="Q6" s="37">
        <v>7</v>
      </c>
      <c r="R6" s="37">
        <v>8</v>
      </c>
      <c r="S6" s="37">
        <v>8</v>
      </c>
      <c r="T6" s="4">
        <f t="shared" si="0"/>
        <v>91</v>
      </c>
      <c r="U6" s="44" t="s">
        <v>56</v>
      </c>
      <c r="V6" s="44" t="s">
        <v>56</v>
      </c>
      <c r="X6" s="27">
        <f>'2 ALIYAH A'!T6:T35</f>
        <v>84</v>
      </c>
      <c r="Y6" s="27">
        <f t="shared" si="5"/>
        <v>91</v>
      </c>
      <c r="Z6" s="28">
        <f t="shared" si="6"/>
        <v>175</v>
      </c>
      <c r="AA6" s="27">
        <v>26</v>
      </c>
      <c r="AB6" s="28">
        <f t="shared" si="7"/>
        <v>7</v>
      </c>
      <c r="AC6" s="29" t="str">
        <f t="shared" si="3"/>
        <v>المتوسط الأول</v>
      </c>
      <c r="AE6" s="51" t="str">
        <f>'2 ALIYAH A'!U6:U35</f>
        <v>-</v>
      </c>
      <c r="AF6" s="51" t="str">
        <f>U6:U31</f>
        <v>-</v>
      </c>
      <c r="AG6" s="52">
        <f t="shared" si="8"/>
        <v>0</v>
      </c>
      <c r="AI6" s="51">
        <f>'2 ALIYAH A'!V6:V35</f>
        <v>1</v>
      </c>
      <c r="AJ6" s="51" t="str">
        <f t="shared" si="9"/>
        <v>-</v>
      </c>
      <c r="AK6" s="52">
        <f t="shared" si="10"/>
        <v>1</v>
      </c>
    </row>
    <row r="7" spans="1:37" s="1" customFormat="1" ht="25.15" customHeight="1" thickBot="1" x14ac:dyDescent="0.3">
      <c r="A7" s="41" t="str">
        <f>'2 ALIYAH A'!A7:C36</f>
        <v>06</v>
      </c>
      <c r="B7" s="79" t="str">
        <f>'2 ALIYAH A'!B7:D36</f>
        <v>DINA YULIANA SARI</v>
      </c>
      <c r="C7" s="41">
        <f>'2 ALIYAH A'!C7:E36</f>
        <v>2855</v>
      </c>
      <c r="D7" s="19" t="s">
        <v>19</v>
      </c>
      <c r="E7" s="3" t="str">
        <f t="shared" si="4"/>
        <v>٦</v>
      </c>
      <c r="F7" s="37">
        <v>6</v>
      </c>
      <c r="G7" s="3">
        <v>0</v>
      </c>
      <c r="H7" s="37">
        <v>8</v>
      </c>
      <c r="I7" s="37">
        <v>9</v>
      </c>
      <c r="J7" s="37">
        <v>5</v>
      </c>
      <c r="K7" s="37">
        <v>7</v>
      </c>
      <c r="L7" s="37">
        <v>8</v>
      </c>
      <c r="M7" s="37">
        <v>5</v>
      </c>
      <c r="N7" s="37">
        <v>5</v>
      </c>
      <c r="O7" s="37">
        <v>5</v>
      </c>
      <c r="P7" s="37">
        <v>8</v>
      </c>
      <c r="Q7" s="37">
        <v>7</v>
      </c>
      <c r="R7" s="37">
        <v>8</v>
      </c>
      <c r="S7" s="37">
        <v>8</v>
      </c>
      <c r="T7" s="4">
        <f t="shared" si="0"/>
        <v>89</v>
      </c>
      <c r="U7" s="44" t="s">
        <v>56</v>
      </c>
      <c r="V7" s="44" t="s">
        <v>56</v>
      </c>
      <c r="X7" s="27">
        <f>'2 ALIYAH A'!T7:T36</f>
        <v>84</v>
      </c>
      <c r="Y7" s="27">
        <f t="shared" si="5"/>
        <v>89</v>
      </c>
      <c r="Z7" s="28">
        <f t="shared" si="6"/>
        <v>173</v>
      </c>
      <c r="AA7" s="27">
        <v>26</v>
      </c>
      <c r="AB7" s="28">
        <f t="shared" si="7"/>
        <v>7</v>
      </c>
      <c r="AC7" s="29" t="str">
        <f t="shared" si="3"/>
        <v>المتوسط الأول</v>
      </c>
      <c r="AE7" s="51">
        <f>'2 ALIYAH A'!U7:U36</f>
        <v>1</v>
      </c>
      <c r="AF7" s="51" t="str">
        <f>U7:U31</f>
        <v>-</v>
      </c>
      <c r="AG7" s="52">
        <f t="shared" si="8"/>
        <v>1</v>
      </c>
      <c r="AI7" s="51" t="str">
        <f>'2 ALIYAH A'!V7:V36</f>
        <v>-</v>
      </c>
      <c r="AJ7" s="51" t="str">
        <f>V7:V31</f>
        <v>-</v>
      </c>
      <c r="AK7" s="52">
        <f t="shared" si="10"/>
        <v>0</v>
      </c>
    </row>
    <row r="8" spans="1:37" s="1" customFormat="1" ht="25.15" customHeight="1" thickBot="1" x14ac:dyDescent="0.3">
      <c r="A8" s="41" t="str">
        <f>'2 ALIYAH A'!A8:C37</f>
        <v>07</v>
      </c>
      <c r="B8" s="79" t="str">
        <f>'2 ALIYAH A'!B8:D37</f>
        <v>FARWAH FATIMAH FARZANI</v>
      </c>
      <c r="C8" s="41">
        <f>'2 ALIYAH A'!C8:E37</f>
        <v>2889</v>
      </c>
      <c r="D8" s="19" t="s">
        <v>20</v>
      </c>
      <c r="E8" s="3" t="str">
        <f t="shared" si="4"/>
        <v>٩</v>
      </c>
      <c r="F8" s="37">
        <v>9</v>
      </c>
      <c r="G8" s="3">
        <v>0</v>
      </c>
      <c r="H8" s="37">
        <v>9</v>
      </c>
      <c r="I8" s="37">
        <v>9</v>
      </c>
      <c r="J8" s="37">
        <v>9</v>
      </c>
      <c r="K8" s="37">
        <v>9</v>
      </c>
      <c r="L8" s="37">
        <v>9</v>
      </c>
      <c r="M8" s="37">
        <v>8</v>
      </c>
      <c r="N8" s="37">
        <v>9</v>
      </c>
      <c r="O8" s="37">
        <v>9</v>
      </c>
      <c r="P8" s="37">
        <v>8</v>
      </c>
      <c r="Q8" s="37">
        <v>8</v>
      </c>
      <c r="R8" s="37">
        <v>8</v>
      </c>
      <c r="S8" s="37">
        <v>8</v>
      </c>
      <c r="T8" s="4">
        <f t="shared" si="0"/>
        <v>112</v>
      </c>
      <c r="U8" s="44">
        <v>5</v>
      </c>
      <c r="V8" s="44" t="s">
        <v>56</v>
      </c>
      <c r="X8" s="27">
        <f>'2 ALIYAH A'!T8:T37</f>
        <v>109</v>
      </c>
      <c r="Y8" s="27">
        <f t="shared" si="5"/>
        <v>112</v>
      </c>
      <c r="Z8" s="28">
        <f t="shared" si="6"/>
        <v>221</v>
      </c>
      <c r="AA8" s="27">
        <v>26</v>
      </c>
      <c r="AB8" s="28">
        <f t="shared" si="7"/>
        <v>9</v>
      </c>
      <c r="AC8" s="29" t="str">
        <f t="shared" si="3"/>
        <v>الجيد الأول</v>
      </c>
      <c r="AE8" s="51">
        <f>'2 ALIYAH A'!U8:U37</f>
        <v>4</v>
      </c>
      <c r="AF8" s="51">
        <f>U8:U31</f>
        <v>5</v>
      </c>
      <c r="AG8" s="52">
        <f t="shared" si="8"/>
        <v>9</v>
      </c>
      <c r="AI8" s="51" t="str">
        <f>'2 ALIYAH A'!V8:V37</f>
        <v>-</v>
      </c>
      <c r="AJ8" s="51" t="str">
        <f>V8:V31</f>
        <v>-</v>
      </c>
      <c r="AK8" s="52">
        <f t="shared" si="10"/>
        <v>0</v>
      </c>
    </row>
    <row r="9" spans="1:37" s="1" customFormat="1" ht="25.15" customHeight="1" thickBot="1" x14ac:dyDescent="0.3">
      <c r="A9" s="41" t="str">
        <f>'2 ALIYAH A'!A9:C38</f>
        <v>08</v>
      </c>
      <c r="B9" s="79" t="str">
        <f>'2 ALIYAH A'!B9:D38</f>
        <v>FATIN KHAMAMA</v>
      </c>
      <c r="C9" s="41">
        <f>'2 ALIYAH A'!C9:E38</f>
        <v>2692</v>
      </c>
      <c r="D9" s="19" t="s">
        <v>21</v>
      </c>
      <c r="E9" s="3" t="str">
        <f t="shared" si="4"/>
        <v>٩</v>
      </c>
      <c r="F9" s="37">
        <v>9</v>
      </c>
      <c r="G9" s="3">
        <v>0</v>
      </c>
      <c r="H9" s="37">
        <v>9</v>
      </c>
      <c r="I9" s="37">
        <v>9</v>
      </c>
      <c r="J9" s="37">
        <v>9</v>
      </c>
      <c r="K9" s="37">
        <v>9</v>
      </c>
      <c r="L9" s="37">
        <v>9</v>
      </c>
      <c r="M9" s="37">
        <v>9</v>
      </c>
      <c r="N9" s="37">
        <v>9</v>
      </c>
      <c r="O9" s="37">
        <v>9</v>
      </c>
      <c r="P9" s="37">
        <v>8</v>
      </c>
      <c r="Q9" s="37">
        <v>8</v>
      </c>
      <c r="R9" s="37">
        <v>8</v>
      </c>
      <c r="S9" s="37">
        <v>8</v>
      </c>
      <c r="T9" s="4">
        <f t="shared" si="0"/>
        <v>113</v>
      </c>
      <c r="U9" s="44" t="s">
        <v>56</v>
      </c>
      <c r="V9" s="44" t="s">
        <v>56</v>
      </c>
      <c r="X9" s="27">
        <f>'2 ALIYAH A'!T9:T38</f>
        <v>112</v>
      </c>
      <c r="Y9" s="27">
        <f t="shared" si="5"/>
        <v>113</v>
      </c>
      <c r="Z9" s="28">
        <f t="shared" si="6"/>
        <v>225</v>
      </c>
      <c r="AA9" s="27">
        <v>26</v>
      </c>
      <c r="AB9" s="28">
        <f t="shared" si="7"/>
        <v>9</v>
      </c>
      <c r="AC9" s="29" t="str">
        <f t="shared" si="3"/>
        <v>الجيد الأول</v>
      </c>
      <c r="AE9" s="51" t="str">
        <f>'2 ALIYAH A'!U9:U38</f>
        <v>-</v>
      </c>
      <c r="AF9" s="51" t="str">
        <f>U9:U31</f>
        <v>-</v>
      </c>
      <c r="AG9" s="52">
        <f t="shared" si="8"/>
        <v>0</v>
      </c>
      <c r="AI9" s="51" t="str">
        <f>'2 ALIYAH A'!V9:V38</f>
        <v>-</v>
      </c>
      <c r="AJ9" s="51" t="str">
        <f>V9:V31</f>
        <v>-</v>
      </c>
      <c r="AK9" s="52">
        <f t="shared" si="10"/>
        <v>0</v>
      </c>
    </row>
    <row r="10" spans="1:37" s="232" customFormat="1" ht="25.15" customHeight="1" thickBot="1" x14ac:dyDescent="0.3">
      <c r="A10" s="226" t="str">
        <f>'2 ALIYAH A'!A10:C39</f>
        <v>09</v>
      </c>
      <c r="B10" s="227" t="str">
        <f>'2 ALIYAH A'!B10:D39</f>
        <v>FIKRIYA NAJITAMA</v>
      </c>
      <c r="C10" s="226">
        <f>'2 ALIYAH A'!C10:E39</f>
        <v>2654</v>
      </c>
      <c r="D10" s="228" t="s">
        <v>22</v>
      </c>
      <c r="E10" s="229" t="str">
        <f t="shared" si="4"/>
        <v>٠</v>
      </c>
      <c r="F10" s="230"/>
      <c r="G10" s="3">
        <v>0</v>
      </c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29">
        <f t="shared" si="0"/>
        <v>0</v>
      </c>
      <c r="U10" s="231" t="s">
        <v>56</v>
      </c>
      <c r="V10" s="231" t="s">
        <v>56</v>
      </c>
      <c r="X10" s="233">
        <f>'2 ALIYAH A'!T10:T39</f>
        <v>79</v>
      </c>
      <c r="Y10" s="233">
        <f t="shared" si="5"/>
        <v>0</v>
      </c>
      <c r="Z10" s="233">
        <f t="shared" si="6"/>
        <v>79</v>
      </c>
      <c r="AA10" s="233">
        <v>26</v>
      </c>
      <c r="AB10" s="233">
        <f t="shared" si="7"/>
        <v>3</v>
      </c>
      <c r="AC10" s="233">
        <f t="shared" si="3"/>
        <v>0</v>
      </c>
      <c r="AE10" s="234">
        <f>'2 ALIYAH A'!U10:U39</f>
        <v>2</v>
      </c>
      <c r="AF10" s="234" t="str">
        <f>U10:U31</f>
        <v>-</v>
      </c>
      <c r="AG10" s="234">
        <f t="shared" si="8"/>
        <v>2</v>
      </c>
      <c r="AI10" s="234" t="str">
        <f>'2 ALIYAH A'!V10:V39</f>
        <v>-</v>
      </c>
      <c r="AJ10" s="234" t="str">
        <f>V10:V31</f>
        <v>-</v>
      </c>
      <c r="AK10" s="234">
        <f t="shared" si="10"/>
        <v>0</v>
      </c>
    </row>
    <row r="11" spans="1:37" s="111" customFormat="1" ht="25.15" customHeight="1" thickBot="1" x14ac:dyDescent="0.3">
      <c r="A11" s="58" t="str">
        <f>'2 ALIYAH A'!A11:C40</f>
        <v>10</v>
      </c>
      <c r="B11" s="82" t="str">
        <f>'2 ALIYAH A'!B11:D40</f>
        <v>FINA HIKMATUL MAULA</v>
      </c>
      <c r="C11" s="58">
        <f>'2 ALIYAH A'!C11:E40</f>
        <v>2732</v>
      </c>
      <c r="D11" s="150" t="s">
        <v>23</v>
      </c>
      <c r="E11" s="151" t="str">
        <f t="shared" si="4"/>
        <v>٩</v>
      </c>
      <c r="F11" s="37">
        <v>9</v>
      </c>
      <c r="G11" s="3">
        <v>0</v>
      </c>
      <c r="H11" s="37">
        <v>9</v>
      </c>
      <c r="I11" s="37">
        <v>9</v>
      </c>
      <c r="J11" s="37">
        <v>9</v>
      </c>
      <c r="K11" s="37">
        <v>9</v>
      </c>
      <c r="L11" s="37">
        <v>9</v>
      </c>
      <c r="M11" s="37">
        <v>9</v>
      </c>
      <c r="N11" s="37">
        <v>8</v>
      </c>
      <c r="O11" s="37">
        <v>9</v>
      </c>
      <c r="P11" s="37">
        <v>8</v>
      </c>
      <c r="Q11" s="37">
        <v>8</v>
      </c>
      <c r="R11" s="37">
        <v>8</v>
      </c>
      <c r="S11" s="37">
        <v>8</v>
      </c>
      <c r="T11" s="109">
        <f t="shared" si="0"/>
        <v>112</v>
      </c>
      <c r="U11" s="44">
        <v>1</v>
      </c>
      <c r="V11" s="110" t="s">
        <v>56</v>
      </c>
      <c r="X11" s="112">
        <f>'2 ALIYAH A'!T11:T40</f>
        <v>107</v>
      </c>
      <c r="Y11" s="112">
        <f t="shared" si="5"/>
        <v>112</v>
      </c>
      <c r="Z11" s="112">
        <f t="shared" si="6"/>
        <v>219</v>
      </c>
      <c r="AA11" s="112">
        <v>26</v>
      </c>
      <c r="AB11" s="112">
        <f t="shared" si="7"/>
        <v>8</v>
      </c>
      <c r="AC11" s="29" t="str">
        <f t="shared" si="3"/>
        <v>الجيد الثاني</v>
      </c>
      <c r="AE11" s="113" t="str">
        <f>'2 ALIYAH A'!U11:U40</f>
        <v>-</v>
      </c>
      <c r="AF11" s="113">
        <f>U11:U31</f>
        <v>1</v>
      </c>
      <c r="AG11" s="113">
        <f t="shared" si="8"/>
        <v>1</v>
      </c>
      <c r="AI11" s="113" t="str">
        <f>'2 ALIYAH A'!V11:V40</f>
        <v>-</v>
      </c>
      <c r="AJ11" s="113" t="str">
        <f>V11:V31</f>
        <v>-</v>
      </c>
      <c r="AK11" s="113">
        <f t="shared" si="10"/>
        <v>0</v>
      </c>
    </row>
    <row r="12" spans="1:37" s="1" customFormat="1" ht="25.15" customHeight="1" thickBot="1" x14ac:dyDescent="0.3">
      <c r="A12" s="41" t="str">
        <f>'2 ALIYAH A'!A12:C41</f>
        <v>11</v>
      </c>
      <c r="B12" s="79" t="str">
        <f>'2 ALIYAH A'!B12:D41</f>
        <v>FIRDA AYU NUR AMALIA</v>
      </c>
      <c r="C12" s="41">
        <f>'2 ALIYAH A'!C12:E41</f>
        <v>2859</v>
      </c>
      <c r="D12" s="19" t="s">
        <v>24</v>
      </c>
      <c r="E12" s="3" t="str">
        <f t="shared" si="4"/>
        <v>٥</v>
      </c>
      <c r="F12" s="37">
        <v>5</v>
      </c>
      <c r="G12" s="3">
        <v>0</v>
      </c>
      <c r="H12" s="37">
        <v>7</v>
      </c>
      <c r="I12" s="37">
        <v>9</v>
      </c>
      <c r="J12" s="37">
        <v>5</v>
      </c>
      <c r="K12" s="37">
        <v>5</v>
      </c>
      <c r="L12" s="37">
        <v>9</v>
      </c>
      <c r="M12" s="37">
        <v>5</v>
      </c>
      <c r="N12" s="37">
        <v>5</v>
      </c>
      <c r="O12" s="37">
        <v>5</v>
      </c>
      <c r="P12" s="37">
        <v>8</v>
      </c>
      <c r="Q12" s="37">
        <v>7</v>
      </c>
      <c r="R12" s="37">
        <v>8</v>
      </c>
      <c r="S12" s="37">
        <v>8</v>
      </c>
      <c r="T12" s="4">
        <f t="shared" si="0"/>
        <v>86</v>
      </c>
      <c r="U12" s="44">
        <v>2</v>
      </c>
      <c r="V12" s="44" t="s">
        <v>56</v>
      </c>
      <c r="X12" s="27">
        <f>'2 ALIYAH A'!T12:T41</f>
        <v>81</v>
      </c>
      <c r="Y12" s="27">
        <f t="shared" si="5"/>
        <v>86</v>
      </c>
      <c r="Z12" s="28">
        <f t="shared" si="6"/>
        <v>167</v>
      </c>
      <c r="AA12" s="27">
        <v>26</v>
      </c>
      <c r="AB12" s="28">
        <f t="shared" si="7"/>
        <v>6</v>
      </c>
      <c r="AC12" s="29" t="str">
        <f t="shared" si="3"/>
        <v>المتوسط الثاني</v>
      </c>
      <c r="AE12" s="51">
        <f>'2 ALIYAH A'!U12:U41</f>
        <v>2</v>
      </c>
      <c r="AF12" s="51">
        <f>U12:U31</f>
        <v>2</v>
      </c>
      <c r="AG12" s="52">
        <f t="shared" si="8"/>
        <v>4</v>
      </c>
      <c r="AI12" s="51" t="str">
        <f>'2 ALIYAH A'!V12:V41</f>
        <v>-</v>
      </c>
      <c r="AJ12" s="51" t="str">
        <f>V12:V31</f>
        <v>-</v>
      </c>
      <c r="AK12" s="52">
        <f t="shared" si="10"/>
        <v>0</v>
      </c>
    </row>
    <row r="13" spans="1:37" s="1" customFormat="1" ht="25.15" customHeight="1" thickBot="1" x14ac:dyDescent="0.3">
      <c r="A13" s="41" t="str">
        <f>'2 ALIYAH A'!A13:C42</f>
        <v>12</v>
      </c>
      <c r="B13" s="79" t="str">
        <f>'2 ALIYAH A'!B13:D42</f>
        <v>FUTIKHATUL JANNAH</v>
      </c>
      <c r="C13" s="41">
        <f>'2 ALIYAH A'!C13:E42</f>
        <v>2890</v>
      </c>
      <c r="D13" s="19" t="s">
        <v>25</v>
      </c>
      <c r="E13" s="3" t="str">
        <f t="shared" si="4"/>
        <v>٦</v>
      </c>
      <c r="F13" s="37">
        <v>6</v>
      </c>
      <c r="G13" s="3">
        <v>0</v>
      </c>
      <c r="H13" s="37">
        <v>8</v>
      </c>
      <c r="I13" s="37">
        <v>8</v>
      </c>
      <c r="J13" s="37">
        <v>5</v>
      </c>
      <c r="K13" s="37">
        <v>5</v>
      </c>
      <c r="L13" s="37">
        <v>6</v>
      </c>
      <c r="M13" s="37">
        <v>5</v>
      </c>
      <c r="N13" s="37">
        <v>5</v>
      </c>
      <c r="O13" s="37">
        <v>5</v>
      </c>
      <c r="P13" s="37">
        <v>7</v>
      </c>
      <c r="Q13" s="37">
        <v>7</v>
      </c>
      <c r="R13" s="37">
        <v>8</v>
      </c>
      <c r="S13" s="37">
        <v>8</v>
      </c>
      <c r="T13" s="4">
        <f t="shared" si="0"/>
        <v>83</v>
      </c>
      <c r="U13" s="44" t="s">
        <v>56</v>
      </c>
      <c r="V13" s="44" t="s">
        <v>56</v>
      </c>
      <c r="X13" s="27">
        <f>'2 ALIYAH A'!T13:T42</f>
        <v>79</v>
      </c>
      <c r="Y13" s="27">
        <f t="shared" si="5"/>
        <v>83</v>
      </c>
      <c r="Z13" s="28">
        <f t="shared" si="6"/>
        <v>162</v>
      </c>
      <c r="AA13" s="27">
        <v>26</v>
      </c>
      <c r="AB13" s="28">
        <f t="shared" si="7"/>
        <v>6</v>
      </c>
      <c r="AC13" s="29" t="str">
        <f t="shared" si="3"/>
        <v>المتوسط الثاني</v>
      </c>
      <c r="AE13" s="51" t="str">
        <f>'2 ALIYAH A'!U13:U42</f>
        <v>-</v>
      </c>
      <c r="AF13" s="51" t="str">
        <f>U13:U31</f>
        <v>-</v>
      </c>
      <c r="AG13" s="52">
        <f t="shared" si="8"/>
        <v>0</v>
      </c>
      <c r="AI13" s="51" t="str">
        <f>'2 ALIYAH A'!V13:V42</f>
        <v>-</v>
      </c>
      <c r="AJ13" s="51" t="str">
        <f>V13:V31</f>
        <v>-</v>
      </c>
      <c r="AK13" s="52">
        <f t="shared" si="10"/>
        <v>0</v>
      </c>
    </row>
    <row r="14" spans="1:37" s="1" customFormat="1" ht="25.15" customHeight="1" thickBot="1" x14ac:dyDescent="0.3">
      <c r="A14" s="41" t="str">
        <f>'2 ALIYAH A'!A13:C43</f>
        <v>13</v>
      </c>
      <c r="B14" s="79" t="str">
        <f>'2 ALIYAH A'!B13:D43</f>
        <v>HANIFAH KAFFA ARIFAH</v>
      </c>
      <c r="C14" s="41">
        <f>'2 ALIYAH A'!C13:E43</f>
        <v>2891</v>
      </c>
      <c r="D14" s="19" t="s">
        <v>26</v>
      </c>
      <c r="E14" s="3" t="str">
        <f t="shared" si="4"/>
        <v>٥</v>
      </c>
      <c r="F14" s="37">
        <v>5</v>
      </c>
      <c r="G14" s="3">
        <v>0</v>
      </c>
      <c r="H14" s="37">
        <v>8</v>
      </c>
      <c r="I14" s="37">
        <v>7</v>
      </c>
      <c r="J14" s="37">
        <v>5</v>
      </c>
      <c r="K14" s="37">
        <v>5</v>
      </c>
      <c r="L14" s="37">
        <v>5</v>
      </c>
      <c r="M14" s="37">
        <v>5</v>
      </c>
      <c r="N14" s="37">
        <v>5</v>
      </c>
      <c r="O14" s="37">
        <v>5</v>
      </c>
      <c r="P14" s="37">
        <v>8</v>
      </c>
      <c r="Q14" s="37">
        <v>7</v>
      </c>
      <c r="R14" s="37">
        <v>8</v>
      </c>
      <c r="S14" s="37">
        <v>8</v>
      </c>
      <c r="T14" s="4">
        <f t="shared" si="0"/>
        <v>81</v>
      </c>
      <c r="U14" s="44" t="s">
        <v>56</v>
      </c>
      <c r="V14" s="44" t="s">
        <v>56</v>
      </c>
      <c r="X14" s="27">
        <f>'2 ALIYAH A'!T14:T43</f>
        <v>78</v>
      </c>
      <c r="Y14" s="27">
        <f t="shared" si="5"/>
        <v>81</v>
      </c>
      <c r="Z14" s="28">
        <f t="shared" si="6"/>
        <v>159</v>
      </c>
      <c r="AA14" s="27">
        <v>26</v>
      </c>
      <c r="AB14" s="28">
        <f t="shared" si="7"/>
        <v>6</v>
      </c>
      <c r="AC14" s="29" t="str">
        <f t="shared" si="3"/>
        <v>المتوسط الثاني</v>
      </c>
      <c r="AE14" s="51" t="str">
        <f>'2 ALIYAH A'!U14:U43</f>
        <v>-</v>
      </c>
      <c r="AF14" s="51" t="str">
        <f>U14:U31</f>
        <v>-</v>
      </c>
      <c r="AG14" s="52">
        <f t="shared" si="8"/>
        <v>0</v>
      </c>
      <c r="AI14" s="51">
        <f>'2 ALIYAH A'!V13:V43</f>
        <v>2</v>
      </c>
      <c r="AJ14" s="51" t="str">
        <f>V14:V31</f>
        <v>-</v>
      </c>
      <c r="AK14" s="52">
        <f t="shared" si="10"/>
        <v>2</v>
      </c>
    </row>
    <row r="15" spans="1:37" s="1" customFormat="1" ht="25.15" customHeight="1" thickBot="1" x14ac:dyDescent="0.3">
      <c r="A15" s="41" t="str">
        <f>'2 ALIYAH A'!A14:C44</f>
        <v>14</v>
      </c>
      <c r="B15" s="79" t="str">
        <f>'2 ALIYAH A'!B14:D44</f>
        <v>JESICA BARBERA AISYAH PADANGENG ALAM</v>
      </c>
      <c r="C15" s="41">
        <f>'2 ALIYAH A'!C14:E44</f>
        <v>2657</v>
      </c>
      <c r="D15" s="19" t="s">
        <v>27</v>
      </c>
      <c r="E15" s="3" t="str">
        <f t="shared" si="4"/>
        <v>٩</v>
      </c>
      <c r="F15" s="37">
        <v>9</v>
      </c>
      <c r="G15" s="3">
        <v>0</v>
      </c>
      <c r="H15" s="37">
        <v>9</v>
      </c>
      <c r="I15" s="37">
        <v>9</v>
      </c>
      <c r="J15" s="37">
        <v>9</v>
      </c>
      <c r="K15" s="37">
        <v>9</v>
      </c>
      <c r="L15" s="37">
        <v>8</v>
      </c>
      <c r="M15" s="37">
        <v>8</v>
      </c>
      <c r="N15" s="37">
        <v>9</v>
      </c>
      <c r="O15" s="37">
        <v>9</v>
      </c>
      <c r="P15" s="37">
        <v>8</v>
      </c>
      <c r="Q15" s="37">
        <v>8</v>
      </c>
      <c r="R15" s="37">
        <v>8</v>
      </c>
      <c r="S15" s="37">
        <v>8</v>
      </c>
      <c r="T15" s="4">
        <f t="shared" si="0"/>
        <v>111</v>
      </c>
      <c r="U15" s="44">
        <v>2</v>
      </c>
      <c r="V15" s="44" t="s">
        <v>56</v>
      </c>
      <c r="X15" s="27">
        <f>'2 ALIYAH A'!T15:T44</f>
        <v>109</v>
      </c>
      <c r="Y15" s="27">
        <f t="shared" si="5"/>
        <v>111</v>
      </c>
      <c r="Z15" s="28">
        <f t="shared" si="6"/>
        <v>220</v>
      </c>
      <c r="AA15" s="27">
        <v>26</v>
      </c>
      <c r="AB15" s="28">
        <f t="shared" si="7"/>
        <v>8</v>
      </c>
      <c r="AC15" s="29" t="str">
        <f t="shared" si="3"/>
        <v>الجيد الثاني</v>
      </c>
      <c r="AE15" s="51">
        <f>'2 ALIYAH A'!U15:U44</f>
        <v>3</v>
      </c>
      <c r="AF15" s="51">
        <f>U15:U31</f>
        <v>2</v>
      </c>
      <c r="AG15" s="52">
        <f t="shared" si="8"/>
        <v>5</v>
      </c>
      <c r="AI15" s="51" t="str">
        <f>'2 ALIYAH A'!V14:V44</f>
        <v>-</v>
      </c>
      <c r="AJ15" s="51" t="str">
        <f>V15:V31</f>
        <v>-</v>
      </c>
      <c r="AK15" s="52">
        <f t="shared" si="10"/>
        <v>0</v>
      </c>
    </row>
    <row r="16" spans="1:37" s="1" customFormat="1" ht="25.15" customHeight="1" thickBot="1" x14ac:dyDescent="0.3">
      <c r="A16" s="41" t="str">
        <f>'2 ALIYAH A'!A15:C45</f>
        <v>15</v>
      </c>
      <c r="B16" s="79" t="str">
        <f>'2 ALIYAH A'!B15:D45</f>
        <v>KHOIRUNISA</v>
      </c>
      <c r="C16" s="41">
        <f>'2 ALIYAH A'!C15:E45</f>
        <v>2765</v>
      </c>
      <c r="D16" s="19" t="s">
        <v>28</v>
      </c>
      <c r="E16" s="3" t="str">
        <f t="shared" si="4"/>
        <v>٦</v>
      </c>
      <c r="F16" s="37">
        <v>6</v>
      </c>
      <c r="G16" s="3">
        <v>0</v>
      </c>
      <c r="H16" s="37">
        <v>9</v>
      </c>
      <c r="I16" s="37">
        <v>7</v>
      </c>
      <c r="J16" s="37">
        <v>6</v>
      </c>
      <c r="K16" s="37">
        <v>5</v>
      </c>
      <c r="L16" s="37">
        <v>6</v>
      </c>
      <c r="M16" s="37">
        <v>5</v>
      </c>
      <c r="N16" s="37">
        <v>7</v>
      </c>
      <c r="O16" s="37">
        <v>5</v>
      </c>
      <c r="P16" s="37">
        <v>8</v>
      </c>
      <c r="Q16" s="37">
        <v>7</v>
      </c>
      <c r="R16" s="37">
        <v>8</v>
      </c>
      <c r="S16" s="37">
        <v>8</v>
      </c>
      <c r="T16" s="4">
        <f t="shared" si="0"/>
        <v>87</v>
      </c>
      <c r="U16" s="44">
        <v>1</v>
      </c>
      <c r="V16" s="44" t="s">
        <v>56</v>
      </c>
      <c r="X16" s="27">
        <f>'2 ALIYAH A'!T16:T45</f>
        <v>82</v>
      </c>
      <c r="Y16" s="27">
        <f t="shared" si="5"/>
        <v>87</v>
      </c>
      <c r="Z16" s="28">
        <f t="shared" si="6"/>
        <v>169</v>
      </c>
      <c r="AA16" s="27">
        <v>26</v>
      </c>
      <c r="AB16" s="28">
        <f t="shared" si="7"/>
        <v>7</v>
      </c>
      <c r="AC16" s="29" t="str">
        <f t="shared" si="3"/>
        <v>المتوسط الأول</v>
      </c>
      <c r="AE16" s="51" t="str">
        <f>'2 ALIYAH A'!U16:U45</f>
        <v>-</v>
      </c>
      <c r="AF16" s="51">
        <f>U16:U31</f>
        <v>1</v>
      </c>
      <c r="AG16" s="52">
        <f t="shared" si="8"/>
        <v>1</v>
      </c>
      <c r="AI16" s="51" t="str">
        <f>'2 ALIYAH A'!V15:V45</f>
        <v>-</v>
      </c>
      <c r="AJ16" s="51" t="str">
        <f>V16:V31</f>
        <v>-</v>
      </c>
      <c r="AK16" s="52">
        <f t="shared" si="10"/>
        <v>0</v>
      </c>
    </row>
    <row r="17" spans="1:37" s="1" customFormat="1" ht="25.15" customHeight="1" thickBot="1" x14ac:dyDescent="0.3">
      <c r="A17" s="41" t="str">
        <f>'2 ALIYAH A'!A16:C46</f>
        <v>16</v>
      </c>
      <c r="B17" s="79" t="str">
        <f>'2 ALIYAH A'!B16:D46</f>
        <v>LIA WAFIQOTUL MAULA</v>
      </c>
      <c r="C17" s="41">
        <f>'2 ALIYAH A'!C16:E46</f>
        <v>2699</v>
      </c>
      <c r="D17" s="19" t="s">
        <v>29</v>
      </c>
      <c r="E17" s="3" t="str">
        <f t="shared" si="4"/>
        <v>٩</v>
      </c>
      <c r="F17" s="37">
        <v>9</v>
      </c>
      <c r="G17" s="3">
        <v>0</v>
      </c>
      <c r="H17" s="37">
        <v>8</v>
      </c>
      <c r="I17" s="37">
        <v>9</v>
      </c>
      <c r="J17" s="37">
        <v>9</v>
      </c>
      <c r="K17" s="37">
        <v>7</v>
      </c>
      <c r="L17" s="37">
        <v>8</v>
      </c>
      <c r="M17" s="37">
        <v>5</v>
      </c>
      <c r="N17" s="37">
        <v>9</v>
      </c>
      <c r="O17" s="37">
        <v>9</v>
      </c>
      <c r="P17" s="37">
        <v>8</v>
      </c>
      <c r="Q17" s="37">
        <v>8</v>
      </c>
      <c r="R17" s="37">
        <v>8</v>
      </c>
      <c r="S17" s="37">
        <v>8</v>
      </c>
      <c r="T17" s="4">
        <f t="shared" si="0"/>
        <v>105</v>
      </c>
      <c r="U17" s="44" t="s">
        <v>56</v>
      </c>
      <c r="V17" s="44" t="s">
        <v>56</v>
      </c>
      <c r="X17" s="27">
        <f>'2 ALIYAH A'!T17:T46</f>
        <v>109</v>
      </c>
      <c r="Y17" s="27">
        <f t="shared" si="5"/>
        <v>105</v>
      </c>
      <c r="Z17" s="28">
        <f t="shared" si="6"/>
        <v>214</v>
      </c>
      <c r="AA17" s="27">
        <v>26</v>
      </c>
      <c r="AB17" s="28">
        <f t="shared" si="7"/>
        <v>8</v>
      </c>
      <c r="AC17" s="29" t="str">
        <f t="shared" si="3"/>
        <v>الجيد الثاني</v>
      </c>
      <c r="AE17" s="51" t="str">
        <f>'2 ALIYAH A'!U17:U46</f>
        <v>-</v>
      </c>
      <c r="AF17" s="51" t="str">
        <f>U17:U31</f>
        <v>-</v>
      </c>
      <c r="AG17" s="52">
        <f t="shared" si="8"/>
        <v>0</v>
      </c>
      <c r="AI17" s="51" t="str">
        <f>'2 ALIYAH A'!V16:V46</f>
        <v>-</v>
      </c>
      <c r="AJ17" s="51" t="str">
        <f>V17:V31</f>
        <v>-</v>
      </c>
      <c r="AK17" s="52">
        <f t="shared" si="10"/>
        <v>0</v>
      </c>
    </row>
    <row r="18" spans="1:37" s="1" customFormat="1" ht="25.15" customHeight="1" thickBot="1" x14ac:dyDescent="0.3">
      <c r="A18" s="41" t="str">
        <f>'2 ALIYAH A'!A17:C47</f>
        <v>17</v>
      </c>
      <c r="B18" s="79" t="str">
        <f>'2 ALIYAH A'!B17:D47</f>
        <v>MUMAYIZAH</v>
      </c>
      <c r="C18" s="41">
        <f>'2 ALIYAH A'!C17:E47</f>
        <v>2872</v>
      </c>
      <c r="D18" s="19" t="s">
        <v>30</v>
      </c>
      <c r="E18" s="3" t="str">
        <f t="shared" si="4"/>
        <v>٧</v>
      </c>
      <c r="F18" s="37">
        <v>7</v>
      </c>
      <c r="G18" s="3">
        <v>0</v>
      </c>
      <c r="H18" s="37">
        <v>9</v>
      </c>
      <c r="I18" s="37">
        <v>8</v>
      </c>
      <c r="J18" s="37">
        <v>5</v>
      </c>
      <c r="K18" s="37">
        <v>7</v>
      </c>
      <c r="L18" s="37">
        <v>5</v>
      </c>
      <c r="M18" s="37">
        <v>8</v>
      </c>
      <c r="N18" s="37">
        <v>9</v>
      </c>
      <c r="O18" s="37">
        <v>9</v>
      </c>
      <c r="P18" s="37">
        <v>8</v>
      </c>
      <c r="Q18" s="37">
        <v>8</v>
      </c>
      <c r="R18" s="37">
        <v>8</v>
      </c>
      <c r="S18" s="37">
        <v>8</v>
      </c>
      <c r="T18" s="4">
        <f t="shared" si="0"/>
        <v>99</v>
      </c>
      <c r="U18" s="44" t="s">
        <v>56</v>
      </c>
      <c r="V18" s="44" t="s">
        <v>56</v>
      </c>
      <c r="X18" s="27">
        <f>'2 ALIYAH A'!T18:T47</f>
        <v>95</v>
      </c>
      <c r="Y18" s="27">
        <f t="shared" si="5"/>
        <v>99</v>
      </c>
      <c r="Z18" s="28">
        <f t="shared" si="6"/>
        <v>194</v>
      </c>
      <c r="AA18" s="27">
        <v>26</v>
      </c>
      <c r="AB18" s="28">
        <f t="shared" si="7"/>
        <v>7</v>
      </c>
      <c r="AC18" s="29" t="str">
        <f t="shared" si="3"/>
        <v>المتوسط الأول</v>
      </c>
      <c r="AE18" s="51" t="str">
        <f>'2 ALIYAH A'!U18:U47</f>
        <v>-</v>
      </c>
      <c r="AF18" s="51" t="str">
        <f>U18:U31</f>
        <v>-</v>
      </c>
      <c r="AG18" s="52">
        <f t="shared" si="8"/>
        <v>0</v>
      </c>
      <c r="AI18" s="51" t="str">
        <f>'2 ALIYAH A'!V17:V47</f>
        <v>-</v>
      </c>
      <c r="AJ18" s="51" t="str">
        <f>V18:V31</f>
        <v>-</v>
      </c>
      <c r="AK18" s="52">
        <f t="shared" si="10"/>
        <v>0</v>
      </c>
    </row>
    <row r="19" spans="1:37" s="1" customFormat="1" ht="25.15" customHeight="1" thickBot="1" x14ac:dyDescent="0.3">
      <c r="A19" s="41" t="str">
        <f>'2 ALIYAH A'!A18:C48</f>
        <v>18</v>
      </c>
      <c r="B19" s="79" t="str">
        <f>'2 ALIYAH A'!B18:D48</f>
        <v>NASYWA NAZWA</v>
      </c>
      <c r="C19" s="41">
        <f>'2 ALIYAH A'!C18:E48</f>
        <v>2837</v>
      </c>
      <c r="D19" s="19" t="s">
        <v>31</v>
      </c>
      <c r="E19" s="3" t="str">
        <f t="shared" si="4"/>
        <v>٨</v>
      </c>
      <c r="F19" s="37">
        <v>8</v>
      </c>
      <c r="G19" s="3">
        <v>0</v>
      </c>
      <c r="H19" s="37">
        <v>8</v>
      </c>
      <c r="I19" s="37">
        <v>9</v>
      </c>
      <c r="J19" s="37">
        <v>6</v>
      </c>
      <c r="K19" s="37">
        <v>5</v>
      </c>
      <c r="L19" s="37">
        <v>7</v>
      </c>
      <c r="M19" s="37">
        <v>7</v>
      </c>
      <c r="N19" s="37">
        <v>5</v>
      </c>
      <c r="O19" s="37">
        <v>8</v>
      </c>
      <c r="P19" s="37">
        <v>7</v>
      </c>
      <c r="Q19" s="37">
        <v>7</v>
      </c>
      <c r="R19" s="37">
        <v>8</v>
      </c>
      <c r="S19" s="37">
        <v>8</v>
      </c>
      <c r="T19" s="4">
        <f t="shared" si="0"/>
        <v>93</v>
      </c>
      <c r="U19" s="44">
        <v>1</v>
      </c>
      <c r="V19" s="44" t="s">
        <v>56</v>
      </c>
      <c r="X19" s="27">
        <f>'2 ALIYAH A'!T19:T48</f>
        <v>88</v>
      </c>
      <c r="Y19" s="27">
        <f t="shared" si="5"/>
        <v>93</v>
      </c>
      <c r="Z19" s="28">
        <f t="shared" si="6"/>
        <v>181</v>
      </c>
      <c r="AA19" s="27">
        <v>26</v>
      </c>
      <c r="AB19" s="28">
        <f t="shared" si="7"/>
        <v>7</v>
      </c>
      <c r="AC19" s="29" t="str">
        <f t="shared" si="3"/>
        <v>المتوسط الأول</v>
      </c>
      <c r="AE19" s="51">
        <f>'2 ALIYAH A'!U19:U48</f>
        <v>1</v>
      </c>
      <c r="AF19" s="51">
        <f>U19:U31</f>
        <v>1</v>
      </c>
      <c r="AG19" s="52">
        <f t="shared" si="8"/>
        <v>2</v>
      </c>
      <c r="AI19" s="51" t="str">
        <f>'2 ALIYAH A'!V18:V48</f>
        <v>-</v>
      </c>
      <c r="AJ19" s="51" t="str">
        <f>V19:V31</f>
        <v>-</v>
      </c>
      <c r="AK19" s="52">
        <f t="shared" si="10"/>
        <v>0</v>
      </c>
    </row>
    <row r="20" spans="1:37" s="1" customFormat="1" ht="25.15" customHeight="1" thickBot="1" x14ac:dyDescent="0.3">
      <c r="A20" s="41" t="str">
        <f>'2 ALIYAH A'!A19:C49</f>
        <v>19</v>
      </c>
      <c r="B20" s="79" t="str">
        <f>'2 ALIYAH A'!B19:D49</f>
        <v>NIRMALA</v>
      </c>
      <c r="C20" s="41">
        <f>'2 ALIYAH A'!C19:E49</f>
        <v>2901</v>
      </c>
      <c r="D20" s="19" t="s">
        <v>32</v>
      </c>
      <c r="E20" s="3" t="str">
        <f t="shared" si="4"/>
        <v>٧</v>
      </c>
      <c r="F20" s="37">
        <v>7</v>
      </c>
      <c r="G20" s="3">
        <v>0</v>
      </c>
      <c r="H20" s="37">
        <v>7</v>
      </c>
      <c r="I20" s="37">
        <v>8</v>
      </c>
      <c r="J20" s="37">
        <v>6</v>
      </c>
      <c r="K20" s="37">
        <v>6</v>
      </c>
      <c r="L20" s="37">
        <v>8</v>
      </c>
      <c r="M20" s="37">
        <v>5</v>
      </c>
      <c r="N20" s="37">
        <v>5</v>
      </c>
      <c r="O20" s="37">
        <v>5</v>
      </c>
      <c r="P20" s="37">
        <v>8</v>
      </c>
      <c r="Q20" s="37">
        <v>8</v>
      </c>
      <c r="R20" s="37">
        <v>8</v>
      </c>
      <c r="S20" s="37">
        <v>8</v>
      </c>
      <c r="T20" s="4">
        <f t="shared" si="0"/>
        <v>89</v>
      </c>
      <c r="U20" s="44" t="s">
        <v>56</v>
      </c>
      <c r="V20" s="44" t="s">
        <v>56</v>
      </c>
      <c r="X20" s="27">
        <f>'2 ALIYAH A'!T20:T49</f>
        <v>93</v>
      </c>
      <c r="Y20" s="27">
        <f t="shared" si="5"/>
        <v>89</v>
      </c>
      <c r="Z20" s="28">
        <f t="shared" si="6"/>
        <v>182</v>
      </c>
      <c r="AA20" s="27">
        <v>26</v>
      </c>
      <c r="AB20" s="28">
        <f t="shared" si="7"/>
        <v>7</v>
      </c>
      <c r="AC20" s="29" t="str">
        <f t="shared" si="3"/>
        <v>المتوسط الأول</v>
      </c>
      <c r="AE20" s="51" t="str">
        <f>'2 ALIYAH A'!U20:U49</f>
        <v>-</v>
      </c>
      <c r="AF20" s="51" t="str">
        <f>U20:U31</f>
        <v>-</v>
      </c>
      <c r="AG20" s="52">
        <f t="shared" si="8"/>
        <v>0</v>
      </c>
      <c r="AI20" s="51">
        <f>'2 ALIYAH A'!V19:V49</f>
        <v>1</v>
      </c>
      <c r="AJ20" s="51" t="str">
        <f>V20:V31</f>
        <v>-</v>
      </c>
      <c r="AK20" s="52">
        <f t="shared" si="10"/>
        <v>1</v>
      </c>
    </row>
    <row r="21" spans="1:37" s="1" customFormat="1" ht="25.15" customHeight="1" thickBot="1" x14ac:dyDescent="0.3">
      <c r="A21" s="41" t="str">
        <f>'2 ALIYAH A'!A20:C50</f>
        <v>20</v>
      </c>
      <c r="B21" s="79" t="str">
        <f>'2 ALIYAH A'!B20:D50</f>
        <v>NUR FADILAH</v>
      </c>
      <c r="C21" s="41">
        <f>'2 ALIYAH A'!C20:E50</f>
        <v>2697</v>
      </c>
      <c r="D21" s="19" t="s">
        <v>33</v>
      </c>
      <c r="E21" s="3" t="str">
        <f t="shared" si="4"/>
        <v>٦</v>
      </c>
      <c r="F21" s="37">
        <v>6</v>
      </c>
      <c r="G21" s="3">
        <v>0</v>
      </c>
      <c r="H21" s="37">
        <v>8</v>
      </c>
      <c r="I21" s="37">
        <v>5</v>
      </c>
      <c r="J21" s="37">
        <v>7</v>
      </c>
      <c r="K21" s="37">
        <v>5</v>
      </c>
      <c r="L21" s="37">
        <v>6</v>
      </c>
      <c r="M21" s="37">
        <v>5</v>
      </c>
      <c r="N21" s="37">
        <v>6</v>
      </c>
      <c r="O21" s="37">
        <v>7</v>
      </c>
      <c r="P21" s="37">
        <v>8</v>
      </c>
      <c r="Q21" s="37">
        <v>7</v>
      </c>
      <c r="R21" s="37">
        <v>8</v>
      </c>
      <c r="S21" s="37">
        <v>8</v>
      </c>
      <c r="T21" s="4">
        <f t="shared" si="0"/>
        <v>86</v>
      </c>
      <c r="U21" s="44">
        <v>1</v>
      </c>
      <c r="V21" s="44" t="s">
        <v>56</v>
      </c>
      <c r="X21" s="27">
        <f>'2 ALIYAH A'!T21:T50</f>
        <v>79</v>
      </c>
      <c r="Y21" s="27">
        <f t="shared" si="5"/>
        <v>86</v>
      </c>
      <c r="Z21" s="28">
        <f t="shared" si="6"/>
        <v>165</v>
      </c>
      <c r="AA21" s="27">
        <v>26</v>
      </c>
      <c r="AB21" s="28">
        <f t="shared" si="7"/>
        <v>6</v>
      </c>
      <c r="AC21" s="29" t="str">
        <f t="shared" si="3"/>
        <v>المتوسط الثاني</v>
      </c>
      <c r="AE21" s="51" t="str">
        <f>'2 ALIYAH A'!U21:U50</f>
        <v>-</v>
      </c>
      <c r="AF21" s="51">
        <f>U21:U31</f>
        <v>1</v>
      </c>
      <c r="AG21" s="52">
        <f t="shared" si="8"/>
        <v>1</v>
      </c>
      <c r="AI21" s="51" t="str">
        <f>'2 ALIYAH A'!V20:V50</f>
        <v>-</v>
      </c>
      <c r="AJ21" s="51" t="str">
        <f>V21:V31</f>
        <v>-</v>
      </c>
      <c r="AK21" s="52">
        <f t="shared" si="10"/>
        <v>0</v>
      </c>
    </row>
    <row r="22" spans="1:37" s="218" customFormat="1" ht="25.15" customHeight="1" thickBot="1" x14ac:dyDescent="0.3">
      <c r="A22" s="222" t="str">
        <f>'2 ALIYAH A'!A21:C51</f>
        <v>21</v>
      </c>
      <c r="B22" s="236" t="str">
        <f>'2 ALIYAH A'!B21:D51</f>
        <v>PASYA TIFANI</v>
      </c>
      <c r="C22" s="222">
        <f>'2 ALIYAH A'!C21:E51</f>
        <v>2670</v>
      </c>
      <c r="D22" s="215" t="s">
        <v>34</v>
      </c>
      <c r="E22" s="216" t="str">
        <f t="shared" si="4"/>
        <v>٨</v>
      </c>
      <c r="F22" s="237">
        <v>8</v>
      </c>
      <c r="G22" s="216">
        <v>0</v>
      </c>
      <c r="H22" s="237">
        <v>9</v>
      </c>
      <c r="I22" s="237">
        <v>9</v>
      </c>
      <c r="J22" s="237">
        <v>8</v>
      </c>
      <c r="K22" s="237">
        <v>7</v>
      </c>
      <c r="L22" s="237">
        <v>9</v>
      </c>
      <c r="M22" s="237">
        <v>5</v>
      </c>
      <c r="N22" s="237">
        <v>7</v>
      </c>
      <c r="O22" s="237">
        <v>9</v>
      </c>
      <c r="P22" s="237">
        <v>8</v>
      </c>
      <c r="Q22" s="237">
        <v>8</v>
      </c>
      <c r="R22" s="237">
        <v>8</v>
      </c>
      <c r="S22" s="237">
        <v>8</v>
      </c>
      <c r="T22" s="216">
        <f t="shared" si="0"/>
        <v>103</v>
      </c>
      <c r="U22" s="217" t="s">
        <v>56</v>
      </c>
      <c r="V22" s="217" t="s">
        <v>56</v>
      </c>
      <c r="X22" s="27">
        <f>'2 ALIYAH A'!T22:T51</f>
        <v>91</v>
      </c>
      <c r="Y22" s="219">
        <f t="shared" si="5"/>
        <v>103</v>
      </c>
      <c r="Z22" s="219">
        <f t="shared" si="6"/>
        <v>194</v>
      </c>
      <c r="AA22" s="219">
        <v>26</v>
      </c>
      <c r="AB22" s="219">
        <f t="shared" si="7"/>
        <v>7</v>
      </c>
      <c r="AC22" s="219" t="str">
        <f t="shared" si="3"/>
        <v>المتوسط الأول</v>
      </c>
      <c r="AE22" s="220" t="str">
        <f>'2 ALIYAH A'!U22:U51</f>
        <v>-</v>
      </c>
      <c r="AF22" s="220" t="str">
        <f>U22:U31</f>
        <v>-</v>
      </c>
      <c r="AG22" s="220">
        <f t="shared" si="8"/>
        <v>0</v>
      </c>
      <c r="AI22" s="220" t="str">
        <f>'2 ALIYAH A'!V21:V51</f>
        <v>-</v>
      </c>
      <c r="AJ22" s="220" t="str">
        <f>V22:V31</f>
        <v>-</v>
      </c>
      <c r="AK22" s="220">
        <f t="shared" si="10"/>
        <v>0</v>
      </c>
    </row>
    <row r="23" spans="1:37" s="1" customFormat="1" ht="25.15" customHeight="1" thickBot="1" x14ac:dyDescent="0.3">
      <c r="A23" s="41" t="str">
        <f>'2 ALIYAH A'!A22:C52</f>
        <v>22</v>
      </c>
      <c r="B23" s="79" t="str">
        <f>'2 ALIYAH A'!B22:D52</f>
        <v>QURROTUL AINI</v>
      </c>
      <c r="C23" s="41">
        <f>'2 ALIYAH A'!C22:E52</f>
        <v>2779</v>
      </c>
      <c r="D23" s="19" t="s">
        <v>35</v>
      </c>
      <c r="E23" s="3" t="str">
        <f t="shared" si="4"/>
        <v>٦</v>
      </c>
      <c r="F23" s="37">
        <v>6</v>
      </c>
      <c r="G23" s="3">
        <v>0</v>
      </c>
      <c r="H23" s="37">
        <v>7</v>
      </c>
      <c r="I23" s="37">
        <v>9</v>
      </c>
      <c r="J23" s="37">
        <v>5</v>
      </c>
      <c r="K23" s="37">
        <v>5</v>
      </c>
      <c r="L23" s="37">
        <v>5</v>
      </c>
      <c r="M23" s="37">
        <v>5</v>
      </c>
      <c r="N23" s="37">
        <v>5</v>
      </c>
      <c r="O23" s="37">
        <v>5</v>
      </c>
      <c r="P23" s="37">
        <v>8</v>
      </c>
      <c r="Q23" s="37">
        <v>7</v>
      </c>
      <c r="R23" s="37">
        <v>8</v>
      </c>
      <c r="S23" s="37">
        <v>8</v>
      </c>
      <c r="T23" s="4">
        <f t="shared" si="0"/>
        <v>83</v>
      </c>
      <c r="U23" s="44" t="s">
        <v>56</v>
      </c>
      <c r="V23" s="44" t="s">
        <v>56</v>
      </c>
      <c r="X23" s="27">
        <f>'2 ALIYAH A'!T23:T52</f>
        <v>85</v>
      </c>
      <c r="Y23" s="27">
        <f t="shared" si="5"/>
        <v>83</v>
      </c>
      <c r="Z23" s="28">
        <f t="shared" si="6"/>
        <v>168</v>
      </c>
      <c r="AA23" s="27">
        <v>26</v>
      </c>
      <c r="AB23" s="28">
        <f t="shared" si="7"/>
        <v>6</v>
      </c>
      <c r="AC23" s="29" t="str">
        <f t="shared" si="3"/>
        <v>المتوسط الثاني</v>
      </c>
      <c r="AE23" s="51" t="str">
        <f>'2 ALIYAH A'!U23:U52</f>
        <v>-</v>
      </c>
      <c r="AF23" s="51" t="str">
        <f>U23:U31</f>
        <v>-</v>
      </c>
      <c r="AG23" s="52">
        <f t="shared" si="8"/>
        <v>0</v>
      </c>
      <c r="AI23" s="51">
        <f>'2 ALIYAH A'!V22:V52</f>
        <v>1</v>
      </c>
      <c r="AJ23" s="51" t="str">
        <f>V23:V31</f>
        <v>-</v>
      </c>
      <c r="AK23" s="52">
        <f t="shared" si="10"/>
        <v>1</v>
      </c>
    </row>
    <row r="24" spans="1:37" s="1" customFormat="1" ht="25.15" customHeight="1" thickBot="1" x14ac:dyDescent="0.3">
      <c r="A24" s="41" t="str">
        <f>'2 ALIYAH A'!A23:C53</f>
        <v>23</v>
      </c>
      <c r="B24" s="79" t="str">
        <f>'2 ALIYAH A'!B23:D53</f>
        <v>RETA PUTRI AMALIA</v>
      </c>
      <c r="C24" s="41">
        <f>'2 ALIYAH A'!C23:E53</f>
        <v>2674</v>
      </c>
      <c r="D24" s="19" t="s">
        <v>36</v>
      </c>
      <c r="E24" s="3" t="str">
        <f t="shared" si="4"/>
        <v>٥</v>
      </c>
      <c r="F24" s="37">
        <v>5</v>
      </c>
      <c r="G24" s="3">
        <v>0</v>
      </c>
      <c r="H24" s="37">
        <v>6</v>
      </c>
      <c r="I24" s="37">
        <v>5</v>
      </c>
      <c r="J24" s="37">
        <v>5</v>
      </c>
      <c r="K24" s="37">
        <v>5</v>
      </c>
      <c r="L24" s="37">
        <v>5</v>
      </c>
      <c r="M24" s="37">
        <v>5</v>
      </c>
      <c r="N24" s="37">
        <v>5</v>
      </c>
      <c r="O24" s="37">
        <v>5</v>
      </c>
      <c r="P24" s="37">
        <v>7</v>
      </c>
      <c r="Q24" s="37">
        <v>7</v>
      </c>
      <c r="R24" s="37">
        <v>7</v>
      </c>
      <c r="S24" s="37">
        <v>8</v>
      </c>
      <c r="T24" s="4">
        <f t="shared" si="0"/>
        <v>75</v>
      </c>
      <c r="U24" s="44" t="s">
        <v>56</v>
      </c>
      <c r="V24" s="44" t="s">
        <v>56</v>
      </c>
      <c r="X24" s="27">
        <f>'2 ALIYAH A'!T24:T53</f>
        <v>72</v>
      </c>
      <c r="Y24" s="27">
        <f t="shared" si="5"/>
        <v>75</v>
      </c>
      <c r="Z24" s="28">
        <f t="shared" si="6"/>
        <v>147</v>
      </c>
      <c r="AA24" s="27">
        <v>26</v>
      </c>
      <c r="AB24" s="28">
        <f t="shared" si="7"/>
        <v>6</v>
      </c>
      <c r="AC24" s="29" t="str">
        <f t="shared" si="3"/>
        <v>المتوسط الثاني</v>
      </c>
      <c r="AE24" s="51" t="str">
        <f>'2 ALIYAH A'!U24:U53</f>
        <v>-</v>
      </c>
      <c r="AF24" s="51" t="str">
        <f t="shared" ref="AF24:AF31" si="11">U24:U31</f>
        <v>-</v>
      </c>
      <c r="AG24" s="52">
        <f t="shared" si="8"/>
        <v>0</v>
      </c>
      <c r="AI24" s="51" t="str">
        <f>'2 ALIYAH A'!V23:V53</f>
        <v>-</v>
      </c>
      <c r="AJ24" s="51" t="str">
        <f>V24:V31</f>
        <v>-</v>
      </c>
      <c r="AK24" s="52">
        <f t="shared" si="10"/>
        <v>0</v>
      </c>
    </row>
    <row r="25" spans="1:37" s="1" customFormat="1" ht="25.15" customHeight="1" thickBot="1" x14ac:dyDescent="0.3">
      <c r="A25" s="41" t="str">
        <f>'2 ALIYAH A'!A24:C54</f>
        <v>24</v>
      </c>
      <c r="B25" s="79" t="str">
        <f>'2 ALIYAH A'!B24:D54</f>
        <v>ROYDHOTUL MAGHFIROH</v>
      </c>
      <c r="C25" s="41">
        <f>'2 ALIYAH A'!C24:E54</f>
        <v>2675</v>
      </c>
      <c r="D25" s="19" t="s">
        <v>37</v>
      </c>
      <c r="E25" s="3" t="str">
        <f t="shared" si="4"/>
        <v>٧</v>
      </c>
      <c r="F25" s="37">
        <v>7</v>
      </c>
      <c r="G25" s="3">
        <v>0</v>
      </c>
      <c r="H25" s="37">
        <v>9</v>
      </c>
      <c r="I25" s="37">
        <v>8</v>
      </c>
      <c r="J25" s="37">
        <v>8</v>
      </c>
      <c r="K25" s="37">
        <v>7</v>
      </c>
      <c r="L25" s="37">
        <v>8</v>
      </c>
      <c r="M25" s="37">
        <v>7</v>
      </c>
      <c r="N25" s="37">
        <v>8</v>
      </c>
      <c r="O25" s="37">
        <v>7</v>
      </c>
      <c r="P25" s="37">
        <v>8</v>
      </c>
      <c r="Q25" s="37">
        <v>8</v>
      </c>
      <c r="R25" s="37">
        <v>8</v>
      </c>
      <c r="S25" s="37">
        <v>8</v>
      </c>
      <c r="T25" s="4">
        <f t="shared" si="0"/>
        <v>101</v>
      </c>
      <c r="U25" s="44" t="s">
        <v>56</v>
      </c>
      <c r="V25" s="44" t="s">
        <v>56</v>
      </c>
      <c r="X25" s="27">
        <f>'2 ALIYAH A'!T25:T54</f>
        <v>88</v>
      </c>
      <c r="Y25" s="27">
        <f t="shared" si="5"/>
        <v>101</v>
      </c>
      <c r="Z25" s="28">
        <f t="shared" si="6"/>
        <v>189</v>
      </c>
      <c r="AA25" s="27">
        <v>26</v>
      </c>
      <c r="AB25" s="28">
        <f t="shared" si="7"/>
        <v>7</v>
      </c>
      <c r="AC25" s="29" t="str">
        <f t="shared" si="3"/>
        <v>المتوسط الأول</v>
      </c>
      <c r="AE25" s="51" t="str">
        <f>'2 ALIYAH A'!U25:U54</f>
        <v>-</v>
      </c>
      <c r="AF25" s="51" t="str">
        <f t="shared" si="11"/>
        <v>-</v>
      </c>
      <c r="AG25" s="52">
        <f t="shared" si="8"/>
        <v>0</v>
      </c>
      <c r="AI25" s="51" t="str">
        <f>'2 ALIYAH A'!V24:V54</f>
        <v>-</v>
      </c>
      <c r="AJ25" s="51" t="str">
        <f>V25:V31</f>
        <v>-</v>
      </c>
      <c r="AK25" s="52">
        <f t="shared" si="10"/>
        <v>0</v>
      </c>
    </row>
    <row r="26" spans="1:37" s="1" customFormat="1" ht="25.15" customHeight="1" thickBot="1" x14ac:dyDescent="0.3">
      <c r="A26" s="41" t="str">
        <f>'2 ALIYAH A'!A25:C55</f>
        <v>25</v>
      </c>
      <c r="B26" s="79" t="str">
        <f>'2 ALIYAH A'!B25:D55</f>
        <v>SAILYN NAJA</v>
      </c>
      <c r="C26" s="41">
        <f>'2 ALIYAH A'!C25:E55</f>
        <v>2748</v>
      </c>
      <c r="D26" s="19" t="s">
        <v>38</v>
      </c>
      <c r="E26" s="3" t="str">
        <f t="shared" si="4"/>
        <v>٨</v>
      </c>
      <c r="F26" s="37">
        <v>8</v>
      </c>
      <c r="G26" s="3">
        <v>0</v>
      </c>
      <c r="H26" s="37">
        <v>9</v>
      </c>
      <c r="I26" s="37">
        <v>9</v>
      </c>
      <c r="J26" s="37">
        <v>9</v>
      </c>
      <c r="K26" s="37">
        <v>8</v>
      </c>
      <c r="L26" s="37">
        <v>6</v>
      </c>
      <c r="M26" s="37">
        <v>7</v>
      </c>
      <c r="N26" s="37">
        <v>9</v>
      </c>
      <c r="O26" s="37">
        <v>7</v>
      </c>
      <c r="P26" s="37">
        <v>8</v>
      </c>
      <c r="Q26" s="37">
        <v>8</v>
      </c>
      <c r="R26" s="37">
        <v>8</v>
      </c>
      <c r="S26" s="37">
        <v>8</v>
      </c>
      <c r="T26" s="4">
        <f t="shared" si="0"/>
        <v>104</v>
      </c>
      <c r="U26" s="44" t="s">
        <v>56</v>
      </c>
      <c r="V26" s="44" t="s">
        <v>56</v>
      </c>
      <c r="X26" s="27">
        <f>'2 ALIYAH A'!T26:T55</f>
        <v>97</v>
      </c>
      <c r="Y26" s="27">
        <f t="shared" si="5"/>
        <v>104</v>
      </c>
      <c r="Z26" s="28">
        <f t="shared" si="6"/>
        <v>201</v>
      </c>
      <c r="AA26" s="27">
        <v>26</v>
      </c>
      <c r="AB26" s="28">
        <f t="shared" si="7"/>
        <v>8</v>
      </c>
      <c r="AC26" s="29" t="str">
        <f t="shared" si="3"/>
        <v>الجيد الثاني</v>
      </c>
      <c r="AE26" s="51" t="str">
        <f>'2 ALIYAH A'!U26:U55</f>
        <v>-</v>
      </c>
      <c r="AF26" s="51" t="str">
        <f t="shared" si="11"/>
        <v>-</v>
      </c>
      <c r="AG26" s="52">
        <f t="shared" si="8"/>
        <v>0</v>
      </c>
      <c r="AI26" s="51" t="str">
        <f>'2 ALIYAH A'!V25:V55</f>
        <v>-</v>
      </c>
      <c r="AJ26" s="51" t="str">
        <f>V26:V31</f>
        <v>-</v>
      </c>
      <c r="AK26" s="52">
        <f t="shared" si="10"/>
        <v>0</v>
      </c>
    </row>
    <row r="27" spans="1:37" s="1" customFormat="1" ht="25.15" customHeight="1" thickBot="1" x14ac:dyDescent="0.3">
      <c r="A27" s="41" t="str">
        <f>'2 ALIYAH A'!A26:C56</f>
        <v>26</v>
      </c>
      <c r="B27" s="79" t="str">
        <f>'2 ALIYAH A'!B26:D56</f>
        <v>SALAMAH NAILUL MUNA</v>
      </c>
      <c r="C27" s="41">
        <f>'2 ALIYAH A'!C26:E56</f>
        <v>2677</v>
      </c>
      <c r="D27" s="19" t="s">
        <v>39</v>
      </c>
      <c r="E27" s="3" t="str">
        <f t="shared" si="4"/>
        <v>٩</v>
      </c>
      <c r="F27" s="37">
        <v>9</v>
      </c>
      <c r="G27" s="3">
        <v>0</v>
      </c>
      <c r="H27" s="37">
        <v>9</v>
      </c>
      <c r="I27" s="37">
        <v>9</v>
      </c>
      <c r="J27" s="37">
        <v>9</v>
      </c>
      <c r="K27" s="37">
        <v>9</v>
      </c>
      <c r="L27" s="37">
        <v>9</v>
      </c>
      <c r="M27" s="37">
        <v>9</v>
      </c>
      <c r="N27" s="37">
        <v>9</v>
      </c>
      <c r="O27" s="37">
        <v>9</v>
      </c>
      <c r="P27" s="37">
        <v>8</v>
      </c>
      <c r="Q27" s="37">
        <v>8</v>
      </c>
      <c r="R27" s="37">
        <v>8</v>
      </c>
      <c r="S27" s="37">
        <v>8</v>
      </c>
      <c r="T27" s="4">
        <f t="shared" si="0"/>
        <v>113</v>
      </c>
      <c r="U27" s="44">
        <v>8</v>
      </c>
      <c r="V27" s="44" t="s">
        <v>56</v>
      </c>
      <c r="X27" s="27">
        <f>'2 ALIYAH A'!T27:T56</f>
        <v>113</v>
      </c>
      <c r="Y27" s="27">
        <f t="shared" si="5"/>
        <v>113</v>
      </c>
      <c r="Z27" s="28">
        <f t="shared" si="6"/>
        <v>226</v>
      </c>
      <c r="AA27" s="27">
        <v>26</v>
      </c>
      <c r="AB27" s="28">
        <f t="shared" si="7"/>
        <v>9</v>
      </c>
      <c r="AC27" s="29" t="str">
        <f t="shared" si="3"/>
        <v>الجيد الأول</v>
      </c>
      <c r="AE27" s="51">
        <f>'2 ALIYAH A'!U27:U56</f>
        <v>8</v>
      </c>
      <c r="AF27" s="51">
        <f t="shared" si="11"/>
        <v>8</v>
      </c>
      <c r="AG27" s="52">
        <f t="shared" si="8"/>
        <v>16</v>
      </c>
      <c r="AI27" s="51" t="str">
        <f>'2 ALIYAH A'!V26:V56</f>
        <v>-</v>
      </c>
      <c r="AJ27" s="51" t="str">
        <f>V27:V31</f>
        <v>-</v>
      </c>
      <c r="AK27" s="52">
        <f t="shared" si="10"/>
        <v>0</v>
      </c>
    </row>
    <row r="28" spans="1:37" s="1" customFormat="1" ht="25.15" customHeight="1" thickBot="1" x14ac:dyDescent="0.3">
      <c r="A28" s="41" t="str">
        <f>'2 ALIYAH A'!A27:C57</f>
        <v>27</v>
      </c>
      <c r="B28" s="79" t="str">
        <f>'2 ALIYAH A'!B27:D57</f>
        <v>SOFWI SAIDATIL UKHROWIYAH</v>
      </c>
      <c r="C28" s="41">
        <f>'2 ALIYAH A'!C27:E57</f>
        <v>2848</v>
      </c>
      <c r="D28" s="19" t="s">
        <v>40</v>
      </c>
      <c r="E28" s="3" t="str">
        <f t="shared" si="4"/>
        <v>٦</v>
      </c>
      <c r="F28" s="37">
        <v>6</v>
      </c>
      <c r="G28" s="3">
        <v>0</v>
      </c>
      <c r="H28" s="37">
        <v>7</v>
      </c>
      <c r="I28" s="37">
        <v>9</v>
      </c>
      <c r="J28" s="37">
        <v>9</v>
      </c>
      <c r="K28" s="37">
        <v>8</v>
      </c>
      <c r="L28" s="37">
        <v>9</v>
      </c>
      <c r="M28" s="37">
        <v>7</v>
      </c>
      <c r="N28" s="37">
        <v>6</v>
      </c>
      <c r="O28" s="37">
        <v>7</v>
      </c>
      <c r="P28" s="37">
        <v>8</v>
      </c>
      <c r="Q28" s="37">
        <v>8</v>
      </c>
      <c r="R28" s="37">
        <v>8</v>
      </c>
      <c r="S28" s="37">
        <v>8</v>
      </c>
      <c r="T28" s="4">
        <f t="shared" si="0"/>
        <v>100</v>
      </c>
      <c r="U28" s="44" t="s">
        <v>56</v>
      </c>
      <c r="V28" s="44" t="s">
        <v>56</v>
      </c>
      <c r="X28" s="27">
        <f>'2 ALIYAH A'!T28:T57</f>
        <v>96</v>
      </c>
      <c r="Y28" s="27">
        <f t="shared" si="5"/>
        <v>100</v>
      </c>
      <c r="Z28" s="28">
        <f t="shared" si="6"/>
        <v>196</v>
      </c>
      <c r="AA28" s="27">
        <v>26</v>
      </c>
      <c r="AB28" s="28">
        <f t="shared" si="7"/>
        <v>8</v>
      </c>
      <c r="AC28" s="29" t="str">
        <f t="shared" si="3"/>
        <v>الجيد الثاني</v>
      </c>
      <c r="AE28" s="51" t="str">
        <f>'2 ALIYAH A'!U28:U57</f>
        <v>-</v>
      </c>
      <c r="AF28" s="51" t="str">
        <f t="shared" si="11"/>
        <v>-</v>
      </c>
      <c r="AG28" s="52">
        <f t="shared" si="8"/>
        <v>0</v>
      </c>
      <c r="AI28" s="51" t="str">
        <f>'2 ALIYAH A'!V27:V57</f>
        <v>-</v>
      </c>
      <c r="AJ28" s="51" t="str">
        <f>V28:V31</f>
        <v>-</v>
      </c>
      <c r="AK28" s="52">
        <f t="shared" si="10"/>
        <v>0</v>
      </c>
    </row>
    <row r="29" spans="1:37" s="2" customFormat="1" ht="25.15" customHeight="1" thickBot="1" x14ac:dyDescent="0.3">
      <c r="A29" s="41" t="str">
        <f>'2 ALIYAH A'!A28:C58</f>
        <v>28</v>
      </c>
      <c r="B29" s="79" t="str">
        <f>'2 ALIYAH A'!B28:D58</f>
        <v>VIERA ADELIA PUTRI</v>
      </c>
      <c r="C29" s="41">
        <f>'2 ALIYAH A'!C28:E58</f>
        <v>2714</v>
      </c>
      <c r="D29" s="19" t="s">
        <v>41</v>
      </c>
      <c r="E29" s="3" t="str">
        <f t="shared" si="4"/>
        <v>٨</v>
      </c>
      <c r="F29" s="37">
        <v>8</v>
      </c>
      <c r="G29" s="3">
        <v>0</v>
      </c>
      <c r="H29" s="37">
        <v>9</v>
      </c>
      <c r="I29" s="37">
        <v>9</v>
      </c>
      <c r="J29" s="37">
        <v>9</v>
      </c>
      <c r="K29" s="37">
        <v>8</v>
      </c>
      <c r="L29" s="37">
        <v>8</v>
      </c>
      <c r="M29" s="37">
        <v>8</v>
      </c>
      <c r="N29" s="37">
        <v>7</v>
      </c>
      <c r="O29" s="37">
        <v>8</v>
      </c>
      <c r="P29" s="37">
        <v>8</v>
      </c>
      <c r="Q29" s="37">
        <v>8</v>
      </c>
      <c r="R29" s="37">
        <v>8</v>
      </c>
      <c r="S29" s="37">
        <v>8</v>
      </c>
      <c r="T29" s="4">
        <f t="shared" si="0"/>
        <v>106</v>
      </c>
      <c r="U29" s="44" t="s">
        <v>56</v>
      </c>
      <c r="V29" s="44" t="s">
        <v>56</v>
      </c>
      <c r="X29" s="27">
        <f>'2 ALIYAH A'!T29:T58</f>
        <v>104</v>
      </c>
      <c r="Y29" s="27">
        <f t="shared" si="5"/>
        <v>106</v>
      </c>
      <c r="Z29" s="28">
        <f t="shared" si="6"/>
        <v>210</v>
      </c>
      <c r="AA29" s="27">
        <v>26</v>
      </c>
      <c r="AB29" s="28">
        <f t="shared" si="7"/>
        <v>8</v>
      </c>
      <c r="AC29" s="29" t="str">
        <f t="shared" si="3"/>
        <v>الجيد الثاني</v>
      </c>
      <c r="AE29" s="51" t="str">
        <f>'2 ALIYAH A'!U29:U58</f>
        <v>-</v>
      </c>
      <c r="AF29" s="51" t="str">
        <f t="shared" si="11"/>
        <v>-</v>
      </c>
      <c r="AG29" s="52">
        <f t="shared" si="8"/>
        <v>0</v>
      </c>
      <c r="AH29" s="1"/>
      <c r="AI29" s="51" t="str">
        <f>'2 ALIYAH A'!V28:V58</f>
        <v>-</v>
      </c>
      <c r="AJ29" s="51" t="str">
        <f>V29:V31</f>
        <v>-</v>
      </c>
      <c r="AK29" s="52">
        <f t="shared" si="10"/>
        <v>0</v>
      </c>
    </row>
    <row r="30" spans="1:37" s="2" customFormat="1" ht="25.15" customHeight="1" thickBot="1" x14ac:dyDescent="0.3">
      <c r="A30" s="41" t="str">
        <f>'2 ALIYAH A'!A29:C59</f>
        <v>29</v>
      </c>
      <c r="B30" s="79" t="str">
        <f>'2 ALIYAH A'!B29:D59</f>
        <v>VINA AEINUL MAWADAH</v>
      </c>
      <c r="C30" s="41">
        <f>'2 ALIYAH A'!C29:E59</f>
        <v>2716</v>
      </c>
      <c r="D30" s="19" t="s">
        <v>42</v>
      </c>
      <c r="E30" s="3" t="str">
        <f t="shared" si="4"/>
        <v>٥</v>
      </c>
      <c r="F30" s="37">
        <v>5</v>
      </c>
      <c r="G30" s="3">
        <v>0</v>
      </c>
      <c r="H30" s="37">
        <v>6</v>
      </c>
      <c r="I30" s="37">
        <v>7</v>
      </c>
      <c r="J30" s="37">
        <v>5</v>
      </c>
      <c r="K30" s="37">
        <v>7</v>
      </c>
      <c r="L30" s="37">
        <v>6</v>
      </c>
      <c r="M30" s="37">
        <v>5</v>
      </c>
      <c r="N30" s="37">
        <v>5</v>
      </c>
      <c r="O30" s="37">
        <v>6</v>
      </c>
      <c r="P30" s="37">
        <v>8</v>
      </c>
      <c r="Q30" s="37">
        <v>7</v>
      </c>
      <c r="R30" s="37">
        <v>8</v>
      </c>
      <c r="S30" s="37">
        <v>8</v>
      </c>
      <c r="T30" s="4">
        <f t="shared" si="0"/>
        <v>83</v>
      </c>
      <c r="U30" s="44" t="s">
        <v>56</v>
      </c>
      <c r="V30" s="44">
        <v>1</v>
      </c>
      <c r="X30" s="27">
        <f>'2 ALIYAH A'!T30:T59</f>
        <v>82</v>
      </c>
      <c r="Y30" s="27">
        <f t="shared" si="5"/>
        <v>83</v>
      </c>
      <c r="Z30" s="28">
        <f t="shared" si="6"/>
        <v>165</v>
      </c>
      <c r="AA30" s="27">
        <v>26</v>
      </c>
      <c r="AB30" s="28">
        <f t="shared" si="7"/>
        <v>6</v>
      </c>
      <c r="AC30" s="29" t="str">
        <f t="shared" si="3"/>
        <v>المتوسط الثاني</v>
      </c>
      <c r="AE30" s="51" t="str">
        <f>'2 ALIYAH A'!U30:U59</f>
        <v>-</v>
      </c>
      <c r="AF30" s="51" t="str">
        <f t="shared" si="11"/>
        <v>-</v>
      </c>
      <c r="AG30" s="52">
        <f t="shared" si="8"/>
        <v>0</v>
      </c>
      <c r="AH30" s="1"/>
      <c r="AI30" s="51" t="str">
        <f>'2 ALIYAH A'!V29:V59</f>
        <v>-</v>
      </c>
      <c r="AJ30" s="51">
        <f>V30:V31</f>
        <v>1</v>
      </c>
      <c r="AK30" s="52">
        <f t="shared" si="10"/>
        <v>1</v>
      </c>
    </row>
    <row r="31" spans="1:37" s="2" customFormat="1" ht="25.15" customHeight="1" thickBot="1" x14ac:dyDescent="0.3">
      <c r="A31" s="41" t="str">
        <f>'2 ALIYAH A'!A30:C60</f>
        <v>30</v>
      </c>
      <c r="B31" s="79" t="str">
        <f>'2 ALIYAH A'!B30:D60</f>
        <v>ZAHWA FARADISA LA’LA’AL HAQ AL-ANIZA</v>
      </c>
      <c r="C31" s="41">
        <f>'2 ALIYAH A'!C30:E60</f>
        <v>2916</v>
      </c>
      <c r="D31" s="19" t="s">
        <v>43</v>
      </c>
      <c r="E31" s="3" t="str">
        <f t="shared" si="4"/>
        <v>٩</v>
      </c>
      <c r="F31" s="37">
        <v>9</v>
      </c>
      <c r="G31" s="3">
        <v>0</v>
      </c>
      <c r="H31" s="235">
        <v>0</v>
      </c>
      <c r="I31" s="37">
        <v>9</v>
      </c>
      <c r="J31" s="37">
        <v>9</v>
      </c>
      <c r="K31" s="37">
        <v>8</v>
      </c>
      <c r="L31" s="37">
        <v>9</v>
      </c>
      <c r="M31" s="37">
        <v>9</v>
      </c>
      <c r="N31" s="37">
        <v>9</v>
      </c>
      <c r="O31" s="37">
        <v>9</v>
      </c>
      <c r="P31" s="37">
        <v>8</v>
      </c>
      <c r="Q31" s="37">
        <v>8</v>
      </c>
      <c r="R31" s="37">
        <v>8</v>
      </c>
      <c r="S31" s="37">
        <v>8</v>
      </c>
      <c r="T31" s="4">
        <f t="shared" si="0"/>
        <v>103</v>
      </c>
      <c r="U31" s="44" t="s">
        <v>56</v>
      </c>
      <c r="V31" s="44" t="s">
        <v>56</v>
      </c>
      <c r="X31" s="27">
        <f>'2 ALIYAH A'!T31:T60</f>
        <v>111</v>
      </c>
      <c r="Y31" s="27">
        <f t="shared" si="5"/>
        <v>103</v>
      </c>
      <c r="Z31" s="28">
        <f t="shared" si="6"/>
        <v>214</v>
      </c>
      <c r="AA31" s="27">
        <v>26</v>
      </c>
      <c r="AB31" s="28">
        <f t="shared" si="7"/>
        <v>8</v>
      </c>
      <c r="AC31" s="29" t="str">
        <f t="shared" si="3"/>
        <v>الجيد الثاني</v>
      </c>
      <c r="AE31" s="51">
        <f>'2 ALIYAH A'!U31:U60</f>
        <v>1</v>
      </c>
      <c r="AF31" s="51" t="str">
        <f t="shared" si="11"/>
        <v>-</v>
      </c>
      <c r="AG31" s="52">
        <f t="shared" si="8"/>
        <v>1</v>
      </c>
      <c r="AH31" s="1"/>
      <c r="AI31" s="51">
        <f>'2 ALIYAH A'!V30:V60</f>
        <v>2</v>
      </c>
      <c r="AJ31" s="51" t="str">
        <f>V31:V31</f>
        <v>-</v>
      </c>
      <c r="AK31" s="52">
        <f t="shared" si="10"/>
        <v>2</v>
      </c>
    </row>
    <row r="32" spans="1:37" s="2" customFormat="1" ht="25.15" customHeight="1" thickBot="1" x14ac:dyDescent="0.3">
      <c r="A32" s="41"/>
      <c r="B32" s="80" t="s">
        <v>50</v>
      </c>
      <c r="C32" s="7"/>
      <c r="D32" s="7"/>
      <c r="E32" s="3" t="str">
        <f t="shared" si="4"/>
        <v>٢١٠</v>
      </c>
      <c r="F32" s="38">
        <f t="shared" ref="F32:S32" si="12">SUM(F2:F31)</f>
        <v>210</v>
      </c>
      <c r="G32" s="8">
        <f t="shared" si="12"/>
        <v>0</v>
      </c>
      <c r="H32" s="8">
        <f t="shared" si="12"/>
        <v>228</v>
      </c>
      <c r="I32" s="24">
        <f t="shared" si="12"/>
        <v>240</v>
      </c>
      <c r="J32" s="8">
        <f t="shared" si="12"/>
        <v>208</v>
      </c>
      <c r="K32" s="8">
        <f t="shared" si="12"/>
        <v>201</v>
      </c>
      <c r="L32" s="8">
        <f t="shared" si="12"/>
        <v>215</v>
      </c>
      <c r="M32" s="8">
        <f t="shared" si="12"/>
        <v>190</v>
      </c>
      <c r="N32" s="8">
        <f t="shared" si="12"/>
        <v>202</v>
      </c>
      <c r="O32" s="24">
        <f t="shared" si="12"/>
        <v>207</v>
      </c>
      <c r="P32" s="8">
        <f t="shared" si="12"/>
        <v>228</v>
      </c>
      <c r="Q32" s="8">
        <f t="shared" si="12"/>
        <v>220</v>
      </c>
      <c r="R32" s="8">
        <f t="shared" si="12"/>
        <v>231</v>
      </c>
      <c r="S32" s="8">
        <f t="shared" si="12"/>
        <v>232</v>
      </c>
      <c r="T32" s="8"/>
      <c r="U32" s="8"/>
      <c r="V32" s="8"/>
      <c r="W32" s="8"/>
      <c r="X32" s="27"/>
      <c r="Y32" s="27">
        <f t="shared" ref="Y32:Y61" si="13">T32</f>
        <v>0</v>
      </c>
      <c r="Z32" s="28">
        <f t="shared" ref="Z32:Z61" si="14">X32+Y32</f>
        <v>0</v>
      </c>
      <c r="AA32" s="27">
        <v>26</v>
      </c>
      <c r="AB32" s="28"/>
      <c r="AC32" s="29"/>
      <c r="AE32" s="51" t="str">
        <f>'2 ALIYAH A'!U32:U72</f>
        <v>-</v>
      </c>
      <c r="AF32" s="51">
        <f t="shared" ref="AF32:AF61" si="15">U32:U53</f>
        <v>0</v>
      </c>
      <c r="AG32" s="52">
        <f t="shared" ref="AG32:AG61" si="16">SUM(AE32:AF32)</f>
        <v>0</v>
      </c>
      <c r="AH32" s="1"/>
      <c r="AI32" s="51" t="str">
        <f>'2 ALIYAH A'!V32:V75</f>
        <v>-</v>
      </c>
      <c r="AJ32" s="51">
        <f t="shared" ref="AJ32:AJ61" si="17">V32:V32</f>
        <v>0</v>
      </c>
      <c r="AK32" s="52">
        <f t="shared" ref="AK32:AK61" si="18">SUM(AI32:AJ32)</f>
        <v>0</v>
      </c>
    </row>
    <row r="33" spans="1:37" s="2" customFormat="1" ht="25.15" customHeight="1" x14ac:dyDescent="0.25">
      <c r="A33" s="17"/>
      <c r="B33" s="81"/>
      <c r="C33" s="7"/>
      <c r="D33" s="7"/>
      <c r="E33" s="3"/>
      <c r="F33" s="5"/>
      <c r="G33" s="5"/>
      <c r="H33" s="5"/>
      <c r="I33" s="25"/>
      <c r="J33" s="5"/>
      <c r="K33" s="5"/>
      <c r="L33" s="5"/>
      <c r="M33" s="5"/>
      <c r="N33" s="5"/>
      <c r="O33" s="25"/>
      <c r="P33" s="5"/>
      <c r="Q33" s="5"/>
      <c r="R33" s="5"/>
      <c r="S33" s="5"/>
      <c r="T33" s="6"/>
      <c r="U33"/>
      <c r="V33"/>
      <c r="X33" s="27">
        <f>'2 ALIYAH A'!T32:T76</f>
        <v>0</v>
      </c>
      <c r="Y33" s="27">
        <f t="shared" si="13"/>
        <v>0</v>
      </c>
      <c r="Z33" s="28">
        <f t="shared" si="14"/>
        <v>0</v>
      </c>
      <c r="AA33" s="27">
        <v>26</v>
      </c>
      <c r="AB33" s="28">
        <f t="shared" ref="AB33:AB61" si="19">Z33/AA33</f>
        <v>0</v>
      </c>
      <c r="AC33" s="29">
        <f t="shared" si="3"/>
        <v>0</v>
      </c>
      <c r="AE33" s="51">
        <f>'2 ALIYAH A'!U32:U76</f>
        <v>0</v>
      </c>
      <c r="AF33" s="51">
        <f t="shared" si="15"/>
        <v>0</v>
      </c>
      <c r="AG33" s="52">
        <f t="shared" si="16"/>
        <v>0</v>
      </c>
      <c r="AH33" s="1"/>
      <c r="AI33" s="51">
        <f>'2 ALIYAH A'!V32:V76</f>
        <v>0</v>
      </c>
      <c r="AJ33" s="51">
        <f t="shared" si="17"/>
        <v>0</v>
      </c>
      <c r="AK33" s="52">
        <f t="shared" si="18"/>
        <v>0</v>
      </c>
    </row>
    <row r="34" spans="1:37" s="2" customFormat="1" ht="25.15" customHeight="1" x14ac:dyDescent="0.25">
      <c r="A34" s="17"/>
      <c r="B34" s="81"/>
      <c r="C34" s="7"/>
      <c r="D34" s="7"/>
      <c r="E34" s="3"/>
      <c r="F34" s="5"/>
      <c r="G34" s="5"/>
      <c r="H34" s="5"/>
      <c r="I34" s="25"/>
      <c r="J34" s="5"/>
      <c r="K34" s="5"/>
      <c r="L34" s="5"/>
      <c r="M34" s="5"/>
      <c r="N34" s="5"/>
      <c r="O34" s="25"/>
      <c r="P34" s="5"/>
      <c r="Q34" s="5"/>
      <c r="R34" s="5"/>
      <c r="S34" s="5"/>
      <c r="T34" s="5"/>
      <c r="U34"/>
      <c r="V34"/>
      <c r="X34" s="27">
        <f>'2 ALIYAH A'!T33:T77</f>
        <v>0</v>
      </c>
      <c r="Y34" s="27">
        <f t="shared" si="13"/>
        <v>0</v>
      </c>
      <c r="Z34" s="28">
        <f t="shared" si="14"/>
        <v>0</v>
      </c>
      <c r="AA34" s="27">
        <v>26</v>
      </c>
      <c r="AB34" s="28">
        <f t="shared" si="19"/>
        <v>0</v>
      </c>
      <c r="AC34" s="29">
        <f t="shared" si="3"/>
        <v>0</v>
      </c>
      <c r="AE34" s="51">
        <f>'2 ALIYAH A'!U33:U77</f>
        <v>0</v>
      </c>
      <c r="AF34" s="51">
        <f t="shared" si="15"/>
        <v>0</v>
      </c>
      <c r="AG34" s="52">
        <f t="shared" si="16"/>
        <v>0</v>
      </c>
      <c r="AH34" s="1"/>
      <c r="AI34" s="51">
        <f>'2 ALIYAH A'!V33:V77</f>
        <v>0</v>
      </c>
      <c r="AJ34" s="51">
        <f t="shared" si="17"/>
        <v>0</v>
      </c>
      <c r="AK34" s="52">
        <f t="shared" si="18"/>
        <v>0</v>
      </c>
    </row>
    <row r="35" spans="1:37" s="9" customFormat="1" ht="25.15" customHeight="1" x14ac:dyDescent="0.25">
      <c r="A35" s="17"/>
      <c r="B35" s="81"/>
      <c r="C35" s="7"/>
      <c r="D35" s="7"/>
      <c r="E35" s="3"/>
      <c r="F35" s="5"/>
      <c r="G35" s="5"/>
      <c r="H35" s="5"/>
      <c r="I35" s="25"/>
      <c r="J35" s="5"/>
      <c r="K35" s="5"/>
      <c r="L35" s="5"/>
      <c r="M35" s="5"/>
      <c r="N35" s="5"/>
      <c r="O35" s="25"/>
      <c r="P35" s="5"/>
      <c r="Q35" s="5"/>
      <c r="R35" s="5"/>
      <c r="S35" s="5"/>
      <c r="T35" s="5"/>
      <c r="U35"/>
      <c r="V35"/>
      <c r="W35" s="2"/>
      <c r="X35" s="27">
        <f>'2 ALIYAH A'!T34:T78</f>
        <v>0</v>
      </c>
      <c r="Y35" s="27">
        <f t="shared" si="13"/>
        <v>0</v>
      </c>
      <c r="Z35" s="28">
        <f t="shared" si="14"/>
        <v>0</v>
      </c>
      <c r="AA35" s="27">
        <v>26</v>
      </c>
      <c r="AB35" s="28">
        <f t="shared" si="19"/>
        <v>0</v>
      </c>
      <c r="AC35" s="29">
        <f t="shared" si="3"/>
        <v>0</v>
      </c>
      <c r="AD35" s="2"/>
      <c r="AE35" s="51">
        <f>'2 ALIYAH A'!U34:U78</f>
        <v>0</v>
      </c>
      <c r="AF35" s="51">
        <f t="shared" si="15"/>
        <v>0</v>
      </c>
      <c r="AG35" s="52">
        <f t="shared" si="16"/>
        <v>0</v>
      </c>
      <c r="AH35" s="1"/>
      <c r="AI35" s="51">
        <f>'2 ALIYAH A'!V34:V78</f>
        <v>0</v>
      </c>
      <c r="AJ35" s="51">
        <f t="shared" si="17"/>
        <v>0</v>
      </c>
      <c r="AK35" s="52">
        <f t="shared" si="18"/>
        <v>0</v>
      </c>
    </row>
    <row r="36" spans="1:37" ht="25.15" customHeight="1" x14ac:dyDescent="0.25">
      <c r="A36" s="17"/>
      <c r="G36" s="4"/>
      <c r="H36" s="14" t="s">
        <v>49</v>
      </c>
      <c r="I36" s="23"/>
      <c r="T36" s="5"/>
      <c r="U36"/>
      <c r="V36"/>
      <c r="X36" s="27">
        <f>'2 ALIYAH A'!T35:T79</f>
        <v>0</v>
      </c>
      <c r="Y36" s="27">
        <f t="shared" si="13"/>
        <v>0</v>
      </c>
      <c r="Z36" s="28">
        <f t="shared" si="14"/>
        <v>0</v>
      </c>
      <c r="AA36" s="27">
        <v>26</v>
      </c>
      <c r="AB36" s="28">
        <f t="shared" si="19"/>
        <v>0</v>
      </c>
      <c r="AC36" s="29">
        <f t="shared" si="3"/>
        <v>0</v>
      </c>
      <c r="AD36" s="2"/>
      <c r="AE36" s="51">
        <f>'2 ALIYAH A'!U35:U79</f>
        <v>0</v>
      </c>
      <c r="AF36" s="51">
        <f t="shared" si="15"/>
        <v>0</v>
      </c>
      <c r="AG36" s="52">
        <f t="shared" si="16"/>
        <v>0</v>
      </c>
      <c r="AH36" s="1"/>
      <c r="AI36" s="51">
        <f>'2 ALIYAH A'!V35:V79</f>
        <v>0</v>
      </c>
      <c r="AJ36" s="51">
        <f t="shared" si="17"/>
        <v>0</v>
      </c>
      <c r="AK36" s="52">
        <f t="shared" si="18"/>
        <v>0</v>
      </c>
    </row>
    <row r="37" spans="1:37" ht="25.15" customHeight="1" x14ac:dyDescent="0.25">
      <c r="A37" s="17"/>
      <c r="H37" s="16">
        <f>E32/D31</f>
        <v>7</v>
      </c>
      <c r="T37" s="5"/>
      <c r="X37" s="27">
        <f>'2 ALIYAH A'!T36:T80</f>
        <v>0</v>
      </c>
      <c r="Y37" s="27">
        <f t="shared" si="13"/>
        <v>0</v>
      </c>
      <c r="Z37" s="28">
        <f t="shared" si="14"/>
        <v>0</v>
      </c>
      <c r="AA37" s="27">
        <v>26</v>
      </c>
      <c r="AB37" s="28">
        <f t="shared" si="19"/>
        <v>0</v>
      </c>
      <c r="AC37" s="29">
        <f t="shared" si="3"/>
        <v>0</v>
      </c>
      <c r="AD37" s="2"/>
      <c r="AE37" s="51">
        <f>'2 ALIYAH A'!U36:U80</f>
        <v>0</v>
      </c>
      <c r="AF37" s="51">
        <f t="shared" si="15"/>
        <v>0</v>
      </c>
      <c r="AG37" s="52">
        <f t="shared" si="16"/>
        <v>0</v>
      </c>
      <c r="AH37" s="1"/>
      <c r="AI37" s="51">
        <f>'2 ALIYAH A'!V36:V80</f>
        <v>0</v>
      </c>
      <c r="AJ37" s="51">
        <f t="shared" si="17"/>
        <v>0</v>
      </c>
      <c r="AK37" s="52">
        <f t="shared" si="18"/>
        <v>0</v>
      </c>
    </row>
    <row r="38" spans="1:37" s="18" customFormat="1" ht="25.15" customHeight="1" x14ac:dyDescent="0.25">
      <c r="A38" s="17"/>
      <c r="B38" s="81"/>
      <c r="C38" s="7"/>
      <c r="D38" s="7"/>
      <c r="E38" s="3"/>
      <c r="F38" s="5"/>
      <c r="G38" s="5"/>
      <c r="H38" s="16">
        <f>G32/D31</f>
        <v>0</v>
      </c>
      <c r="I38" s="25"/>
      <c r="J38" s="5"/>
      <c r="K38" s="5"/>
      <c r="L38" s="238" t="s">
        <v>335</v>
      </c>
      <c r="M38" s="5"/>
      <c r="N38" s="5"/>
      <c r="O38" s="25"/>
      <c r="P38" s="5"/>
      <c r="Q38" s="5"/>
      <c r="R38" s="5"/>
      <c r="S38" s="5"/>
      <c r="T38" s="5"/>
      <c r="U38" s="45"/>
      <c r="V38" s="45"/>
      <c r="X38" s="27">
        <f>'2 ALIYAH A'!T37:T81</f>
        <v>0</v>
      </c>
      <c r="Y38" s="27">
        <f t="shared" si="13"/>
        <v>0</v>
      </c>
      <c r="Z38" s="28">
        <f t="shared" si="14"/>
        <v>0</v>
      </c>
      <c r="AA38" s="27">
        <v>26</v>
      </c>
      <c r="AB38" s="28">
        <f t="shared" si="19"/>
        <v>0</v>
      </c>
      <c r="AC38" s="29">
        <f t="shared" si="3"/>
        <v>0</v>
      </c>
      <c r="AD38" s="2"/>
      <c r="AE38" s="51">
        <f>'2 ALIYAH A'!U37:U81</f>
        <v>0</v>
      </c>
      <c r="AF38" s="51">
        <f t="shared" si="15"/>
        <v>0</v>
      </c>
      <c r="AG38" s="52">
        <f t="shared" si="16"/>
        <v>0</v>
      </c>
      <c r="AH38" s="1"/>
      <c r="AI38" s="51">
        <f>'2 ALIYAH A'!V37:V81</f>
        <v>0</v>
      </c>
      <c r="AJ38" s="51">
        <f t="shared" si="17"/>
        <v>0</v>
      </c>
      <c r="AK38" s="52">
        <f t="shared" si="18"/>
        <v>0</v>
      </c>
    </row>
    <row r="39" spans="1:37" s="18" customFormat="1" ht="25.15" customHeight="1" x14ac:dyDescent="0.25">
      <c r="A39" s="17"/>
      <c r="B39" s="81"/>
      <c r="C39" s="7"/>
      <c r="D39" s="7"/>
      <c r="E39" s="3"/>
      <c r="F39" s="5"/>
      <c r="G39" s="5"/>
      <c r="H39" s="16">
        <f>H32/D31</f>
        <v>8</v>
      </c>
      <c r="I39" s="25"/>
      <c r="J39" s="5"/>
      <c r="K39" s="5"/>
      <c r="L39" s="239" t="s">
        <v>336</v>
      </c>
      <c r="M39" s="5"/>
      <c r="N39" s="5"/>
      <c r="O39" s="25"/>
      <c r="P39" s="5"/>
      <c r="Q39" s="5"/>
      <c r="R39" s="5"/>
      <c r="S39" s="5"/>
      <c r="T39" s="5"/>
      <c r="U39" s="45"/>
      <c r="V39" s="45"/>
      <c r="X39" s="27">
        <f>'2 ALIYAH A'!T38:T82</f>
        <v>0</v>
      </c>
      <c r="Y39" s="27">
        <f t="shared" si="13"/>
        <v>0</v>
      </c>
      <c r="Z39" s="28">
        <f t="shared" si="14"/>
        <v>0</v>
      </c>
      <c r="AA39" s="27">
        <v>26</v>
      </c>
      <c r="AB39" s="28">
        <f t="shared" si="19"/>
        <v>0</v>
      </c>
      <c r="AC39" s="29">
        <f t="shared" si="3"/>
        <v>0</v>
      </c>
      <c r="AD39" s="2"/>
      <c r="AE39" s="51">
        <f>'2 ALIYAH A'!U38:U82</f>
        <v>0</v>
      </c>
      <c r="AF39" s="51">
        <f t="shared" si="15"/>
        <v>0</v>
      </c>
      <c r="AG39" s="52">
        <f t="shared" si="16"/>
        <v>0</v>
      </c>
      <c r="AH39" s="1"/>
      <c r="AI39" s="51">
        <f>'2 ALIYAH A'!V38:V82</f>
        <v>0</v>
      </c>
      <c r="AJ39" s="51">
        <f t="shared" si="17"/>
        <v>0</v>
      </c>
      <c r="AK39" s="52">
        <f t="shared" si="18"/>
        <v>0</v>
      </c>
    </row>
    <row r="40" spans="1:37" s="18" customFormat="1" ht="25.15" customHeight="1" x14ac:dyDescent="0.25">
      <c r="A40" s="17"/>
      <c r="B40" s="81"/>
      <c r="C40" s="7"/>
      <c r="D40" s="7"/>
      <c r="E40" s="3"/>
      <c r="F40" s="5"/>
      <c r="G40" s="5"/>
      <c r="H40" s="16">
        <f>I32/D31</f>
        <v>8</v>
      </c>
      <c r="I40" s="25"/>
      <c r="J40" s="5"/>
      <c r="K40" s="5"/>
      <c r="L40" s="5"/>
      <c r="M40" s="5"/>
      <c r="N40" s="5"/>
      <c r="O40" s="25"/>
      <c r="P40" s="5"/>
      <c r="Q40" s="5"/>
      <c r="R40" s="5"/>
      <c r="S40" s="5"/>
      <c r="T40" s="5"/>
      <c r="U40" s="45"/>
      <c r="V40" s="45"/>
      <c r="X40" s="27">
        <f>'2 ALIYAH A'!T39:T83</f>
        <v>0</v>
      </c>
      <c r="Y40" s="27">
        <f t="shared" si="13"/>
        <v>0</v>
      </c>
      <c r="Z40" s="28">
        <f t="shared" si="14"/>
        <v>0</v>
      </c>
      <c r="AA40" s="27">
        <v>26</v>
      </c>
      <c r="AB40" s="28">
        <f t="shared" si="19"/>
        <v>0</v>
      </c>
      <c r="AC40" s="29">
        <f t="shared" si="3"/>
        <v>0</v>
      </c>
      <c r="AD40" s="2"/>
      <c r="AE40" s="51">
        <f>'2 ALIYAH A'!U39:U83</f>
        <v>0</v>
      </c>
      <c r="AF40" s="51">
        <f t="shared" si="15"/>
        <v>0</v>
      </c>
      <c r="AG40" s="52">
        <f t="shared" si="16"/>
        <v>0</v>
      </c>
      <c r="AH40" s="1"/>
      <c r="AI40" s="51">
        <f>'2 ALIYAH A'!V39:V83</f>
        <v>0</v>
      </c>
      <c r="AJ40" s="51">
        <f t="shared" si="17"/>
        <v>0</v>
      </c>
      <c r="AK40" s="52">
        <f t="shared" si="18"/>
        <v>0</v>
      </c>
    </row>
    <row r="41" spans="1:37" s="18" customFormat="1" ht="25.15" customHeight="1" x14ac:dyDescent="0.25">
      <c r="A41" s="17"/>
      <c r="B41" s="81"/>
      <c r="C41" s="7"/>
      <c r="D41" s="7"/>
      <c r="E41" s="3"/>
      <c r="F41" s="5"/>
      <c r="G41" s="5"/>
      <c r="H41" s="16">
        <f>J32/D31</f>
        <v>7</v>
      </c>
      <c r="I41" s="25"/>
      <c r="J41" s="5"/>
      <c r="K41" s="5"/>
      <c r="L41" s="5"/>
      <c r="M41" s="5"/>
      <c r="N41" s="5"/>
      <c r="O41" s="25"/>
      <c r="P41" s="5"/>
      <c r="Q41" s="5"/>
      <c r="R41" s="5"/>
      <c r="S41" s="5"/>
      <c r="T41" s="5"/>
      <c r="U41" s="45"/>
      <c r="V41" s="45"/>
      <c r="X41" s="27">
        <f>'2 ALIYAH A'!T40:T84</f>
        <v>0</v>
      </c>
      <c r="Y41" s="27">
        <f t="shared" si="13"/>
        <v>0</v>
      </c>
      <c r="Z41" s="28">
        <f t="shared" si="14"/>
        <v>0</v>
      </c>
      <c r="AA41" s="27">
        <v>26</v>
      </c>
      <c r="AB41" s="28">
        <f t="shared" si="19"/>
        <v>0</v>
      </c>
      <c r="AC41" s="29">
        <f t="shared" si="3"/>
        <v>0</v>
      </c>
      <c r="AD41" s="2"/>
      <c r="AE41" s="51">
        <f>'2 ALIYAH A'!U40:U84</f>
        <v>0</v>
      </c>
      <c r="AF41" s="51">
        <f t="shared" si="15"/>
        <v>0</v>
      </c>
      <c r="AG41" s="52">
        <f t="shared" si="16"/>
        <v>0</v>
      </c>
      <c r="AH41" s="1"/>
      <c r="AI41" s="51">
        <f>'2 ALIYAH A'!V40:V84</f>
        <v>0</v>
      </c>
      <c r="AJ41" s="51">
        <f t="shared" si="17"/>
        <v>0</v>
      </c>
      <c r="AK41" s="52">
        <f t="shared" si="18"/>
        <v>0</v>
      </c>
    </row>
    <row r="42" spans="1:37" s="18" customFormat="1" ht="25.15" customHeight="1" x14ac:dyDescent="0.25">
      <c r="A42" s="17"/>
      <c r="B42" s="81"/>
      <c r="C42" s="7"/>
      <c r="D42" s="7"/>
      <c r="E42" s="3"/>
      <c r="F42" s="5"/>
      <c r="G42" s="5"/>
      <c r="H42" s="4">
        <f>K32/D31</f>
        <v>7</v>
      </c>
      <c r="I42" s="25"/>
      <c r="J42" s="5"/>
      <c r="K42" s="5"/>
      <c r="L42" s="5"/>
      <c r="M42" s="5"/>
      <c r="N42" s="5"/>
      <c r="O42" s="25"/>
      <c r="P42" s="5"/>
      <c r="Q42" s="5"/>
      <c r="R42" s="5"/>
      <c r="S42" s="5"/>
      <c r="T42" s="5"/>
      <c r="U42" s="45"/>
      <c r="V42" s="45"/>
      <c r="X42" s="27">
        <f>'2 ALIYAH A'!T41:T85</f>
        <v>0</v>
      </c>
      <c r="Y42" s="27">
        <f t="shared" si="13"/>
        <v>0</v>
      </c>
      <c r="Z42" s="28">
        <f t="shared" si="14"/>
        <v>0</v>
      </c>
      <c r="AA42" s="27">
        <v>26</v>
      </c>
      <c r="AB42" s="28">
        <f t="shared" si="19"/>
        <v>0</v>
      </c>
      <c r="AC42" s="29">
        <f t="shared" si="3"/>
        <v>0</v>
      </c>
      <c r="AD42" s="2"/>
      <c r="AE42" s="51">
        <f>'2 ALIYAH A'!U41:U85</f>
        <v>0</v>
      </c>
      <c r="AF42" s="51">
        <f t="shared" si="15"/>
        <v>0</v>
      </c>
      <c r="AG42" s="52">
        <f t="shared" si="16"/>
        <v>0</v>
      </c>
      <c r="AH42" s="1"/>
      <c r="AI42" s="51">
        <f>'2 ALIYAH A'!V41:V85</f>
        <v>0</v>
      </c>
      <c r="AJ42" s="51">
        <f t="shared" si="17"/>
        <v>0</v>
      </c>
      <c r="AK42" s="52">
        <f t="shared" si="18"/>
        <v>0</v>
      </c>
    </row>
    <row r="43" spans="1:37" s="18" customFormat="1" ht="25.15" customHeight="1" x14ac:dyDescent="0.25">
      <c r="A43" s="17"/>
      <c r="B43" s="81"/>
      <c r="C43" s="7"/>
      <c r="D43" s="7"/>
      <c r="E43" s="3"/>
      <c r="F43" s="5"/>
      <c r="G43" s="5"/>
      <c r="H43" s="16">
        <f>L32/D31</f>
        <v>7</v>
      </c>
      <c r="I43" s="25"/>
      <c r="J43" s="5"/>
      <c r="K43" s="5"/>
      <c r="L43" s="5"/>
      <c r="M43" s="5"/>
      <c r="N43" s="5"/>
      <c r="O43" s="25"/>
      <c r="P43" s="5"/>
      <c r="Q43" s="5"/>
      <c r="R43" s="5"/>
      <c r="S43" s="5"/>
      <c r="T43" s="5"/>
      <c r="U43" s="45"/>
      <c r="V43" s="45"/>
      <c r="X43" s="27">
        <f>'2 ALIYAH A'!T42:T86</f>
        <v>0</v>
      </c>
      <c r="Y43" s="27">
        <f t="shared" si="13"/>
        <v>0</v>
      </c>
      <c r="Z43" s="28">
        <f t="shared" si="14"/>
        <v>0</v>
      </c>
      <c r="AA43" s="27">
        <v>26</v>
      </c>
      <c r="AB43" s="28">
        <f t="shared" si="19"/>
        <v>0</v>
      </c>
      <c r="AC43" s="29">
        <f t="shared" si="3"/>
        <v>0</v>
      </c>
      <c r="AD43" s="2"/>
      <c r="AE43" s="51">
        <f>'2 ALIYAH A'!U42:U86</f>
        <v>0</v>
      </c>
      <c r="AF43" s="51">
        <f t="shared" si="15"/>
        <v>0</v>
      </c>
      <c r="AG43" s="52">
        <f t="shared" si="16"/>
        <v>0</v>
      </c>
      <c r="AH43" s="1"/>
      <c r="AI43" s="51">
        <f>'2 ALIYAH A'!V42:V86</f>
        <v>0</v>
      </c>
      <c r="AJ43" s="51">
        <f t="shared" si="17"/>
        <v>0</v>
      </c>
      <c r="AK43" s="52">
        <f t="shared" si="18"/>
        <v>0</v>
      </c>
    </row>
    <row r="44" spans="1:37" s="18" customFormat="1" ht="25.15" customHeight="1" x14ac:dyDescent="0.25">
      <c r="A44" s="17"/>
      <c r="B44" s="81"/>
      <c r="C44" s="7"/>
      <c r="D44" s="7"/>
      <c r="E44" s="3"/>
      <c r="F44" s="5"/>
      <c r="G44" s="5"/>
      <c r="H44" s="16">
        <f>M32/D31</f>
        <v>6</v>
      </c>
      <c r="I44" s="25"/>
      <c r="J44" s="5"/>
      <c r="K44" s="5"/>
      <c r="L44" s="5"/>
      <c r="M44" s="5"/>
      <c r="N44" s="5"/>
      <c r="O44" s="25"/>
      <c r="P44" s="5"/>
      <c r="Q44" s="5"/>
      <c r="R44" s="5"/>
      <c r="S44" s="5"/>
      <c r="T44" s="5"/>
      <c r="U44" s="45"/>
      <c r="V44" s="45"/>
      <c r="X44" s="27">
        <f>'2 ALIYAH A'!T43:T87</f>
        <v>0</v>
      </c>
      <c r="Y44" s="27">
        <f t="shared" si="13"/>
        <v>0</v>
      </c>
      <c r="Z44" s="28">
        <f t="shared" si="14"/>
        <v>0</v>
      </c>
      <c r="AA44" s="27">
        <v>26</v>
      </c>
      <c r="AB44" s="28">
        <f t="shared" si="19"/>
        <v>0</v>
      </c>
      <c r="AC44" s="29">
        <f t="shared" si="3"/>
        <v>0</v>
      </c>
      <c r="AD44" s="2"/>
      <c r="AE44" s="51">
        <f>'2 ALIYAH A'!U43:U87</f>
        <v>0</v>
      </c>
      <c r="AF44" s="51">
        <f t="shared" si="15"/>
        <v>0</v>
      </c>
      <c r="AG44" s="52">
        <f t="shared" si="16"/>
        <v>0</v>
      </c>
      <c r="AH44" s="1"/>
      <c r="AI44" s="51">
        <f>'2 ALIYAH A'!V43:V87</f>
        <v>0</v>
      </c>
      <c r="AJ44" s="51">
        <f t="shared" si="17"/>
        <v>0</v>
      </c>
      <c r="AK44" s="52">
        <f t="shared" si="18"/>
        <v>0</v>
      </c>
    </row>
    <row r="45" spans="1:37" s="18" customFormat="1" ht="25.15" customHeight="1" x14ac:dyDescent="0.25">
      <c r="A45" s="17"/>
      <c r="B45" s="81"/>
      <c r="C45" s="7"/>
      <c r="D45" s="7"/>
      <c r="E45" s="3"/>
      <c r="F45" s="5"/>
      <c r="G45" s="5"/>
      <c r="H45" s="16">
        <f>N32/D31</f>
        <v>7</v>
      </c>
      <c r="I45" s="25"/>
      <c r="J45" s="5"/>
      <c r="K45" s="5"/>
      <c r="L45" s="5"/>
      <c r="M45" s="5"/>
      <c r="N45" s="5"/>
      <c r="O45" s="25"/>
      <c r="P45" s="5"/>
      <c r="Q45" s="5"/>
      <c r="R45" s="5"/>
      <c r="S45" s="5"/>
      <c r="T45" s="5"/>
      <c r="U45" s="45"/>
      <c r="V45" s="45"/>
      <c r="X45" s="27">
        <f>'2 ALIYAH A'!T44:T88</f>
        <v>0</v>
      </c>
      <c r="Y45" s="27">
        <f t="shared" si="13"/>
        <v>0</v>
      </c>
      <c r="Z45" s="28">
        <f t="shared" si="14"/>
        <v>0</v>
      </c>
      <c r="AA45" s="27">
        <v>26</v>
      </c>
      <c r="AB45" s="28">
        <f t="shared" si="19"/>
        <v>0</v>
      </c>
      <c r="AC45" s="29">
        <f t="shared" si="3"/>
        <v>0</v>
      </c>
      <c r="AD45" s="2"/>
      <c r="AE45" s="51">
        <f>'2 ALIYAH A'!U44:U88</f>
        <v>0</v>
      </c>
      <c r="AF45" s="51">
        <f t="shared" si="15"/>
        <v>0</v>
      </c>
      <c r="AG45" s="52">
        <f t="shared" si="16"/>
        <v>0</v>
      </c>
      <c r="AH45" s="1"/>
      <c r="AI45" s="51">
        <f>'2 ALIYAH A'!V44:V88</f>
        <v>0</v>
      </c>
      <c r="AJ45" s="51">
        <f t="shared" si="17"/>
        <v>0</v>
      </c>
      <c r="AK45" s="52">
        <f t="shared" si="18"/>
        <v>0</v>
      </c>
    </row>
    <row r="46" spans="1:37" s="18" customFormat="1" ht="25.15" customHeight="1" x14ac:dyDescent="0.25">
      <c r="A46" s="17"/>
      <c r="B46" s="81"/>
      <c r="C46" s="7"/>
      <c r="D46" s="7"/>
      <c r="E46" s="3"/>
      <c r="F46" s="5"/>
      <c r="G46" s="5"/>
      <c r="H46" s="16">
        <f>O32/D31</f>
        <v>7</v>
      </c>
      <c r="I46" s="25"/>
      <c r="J46" s="5"/>
      <c r="K46" s="5"/>
      <c r="L46" s="5"/>
      <c r="M46" s="5"/>
      <c r="N46" s="5"/>
      <c r="O46" s="25"/>
      <c r="P46" s="5"/>
      <c r="Q46" s="5"/>
      <c r="R46" s="5"/>
      <c r="S46" s="5"/>
      <c r="T46" s="5"/>
      <c r="U46" s="45"/>
      <c r="V46" s="45"/>
      <c r="X46" s="27">
        <f>'2 ALIYAH A'!T45:T89</f>
        <v>0</v>
      </c>
      <c r="Y46" s="27">
        <f t="shared" si="13"/>
        <v>0</v>
      </c>
      <c r="Z46" s="28">
        <f t="shared" si="14"/>
        <v>0</v>
      </c>
      <c r="AA46" s="27">
        <v>26</v>
      </c>
      <c r="AB46" s="28">
        <f t="shared" si="19"/>
        <v>0</v>
      </c>
      <c r="AC46" s="29">
        <f t="shared" si="3"/>
        <v>0</v>
      </c>
      <c r="AD46" s="2"/>
      <c r="AE46" s="51">
        <f>'2 ALIYAH A'!U45:U89</f>
        <v>0</v>
      </c>
      <c r="AF46" s="51">
        <f t="shared" si="15"/>
        <v>0</v>
      </c>
      <c r="AG46" s="52">
        <f t="shared" si="16"/>
        <v>0</v>
      </c>
      <c r="AH46" s="1"/>
      <c r="AI46" s="51">
        <f>'2 ALIYAH A'!V45:V89</f>
        <v>0</v>
      </c>
      <c r="AJ46" s="51">
        <f t="shared" si="17"/>
        <v>0</v>
      </c>
      <c r="AK46" s="52">
        <f t="shared" si="18"/>
        <v>0</v>
      </c>
    </row>
    <row r="47" spans="1:37" s="18" customFormat="1" ht="25.15" customHeight="1" x14ac:dyDescent="0.25">
      <c r="A47" s="17"/>
      <c r="B47" s="81"/>
      <c r="C47" s="7"/>
      <c r="D47" s="7"/>
      <c r="E47" s="3"/>
      <c r="F47" s="5"/>
      <c r="G47" s="5"/>
      <c r="H47" s="16">
        <f>P32/D31</f>
        <v>8</v>
      </c>
      <c r="I47" s="25"/>
      <c r="J47" s="5"/>
      <c r="K47" s="5"/>
      <c r="L47" s="5"/>
      <c r="M47" s="5"/>
      <c r="N47" s="5"/>
      <c r="O47" s="25"/>
      <c r="P47" s="5"/>
      <c r="Q47" s="5"/>
      <c r="R47" s="5"/>
      <c r="S47" s="5"/>
      <c r="T47" s="5"/>
      <c r="U47" s="45"/>
      <c r="V47" s="45"/>
      <c r="X47" s="27">
        <f>'2 ALIYAH A'!T46:T90</f>
        <v>0</v>
      </c>
      <c r="Y47" s="27">
        <f t="shared" si="13"/>
        <v>0</v>
      </c>
      <c r="Z47" s="28">
        <f t="shared" si="14"/>
        <v>0</v>
      </c>
      <c r="AA47" s="27">
        <v>26</v>
      </c>
      <c r="AB47" s="28">
        <f t="shared" si="19"/>
        <v>0</v>
      </c>
      <c r="AC47" s="29">
        <f t="shared" si="3"/>
        <v>0</v>
      </c>
      <c r="AD47" s="2"/>
      <c r="AE47" s="51">
        <f>'2 ALIYAH A'!U46:U90</f>
        <v>0</v>
      </c>
      <c r="AF47" s="51">
        <f t="shared" si="15"/>
        <v>0</v>
      </c>
      <c r="AG47" s="52">
        <f t="shared" si="16"/>
        <v>0</v>
      </c>
      <c r="AH47" s="1"/>
      <c r="AI47" s="51">
        <f>'2 ALIYAH A'!V46:V90</f>
        <v>0</v>
      </c>
      <c r="AJ47" s="51">
        <f t="shared" si="17"/>
        <v>0</v>
      </c>
      <c r="AK47" s="52">
        <f t="shared" si="18"/>
        <v>0</v>
      </c>
    </row>
    <row r="48" spans="1:37" s="18" customFormat="1" ht="25.15" customHeight="1" x14ac:dyDescent="0.25">
      <c r="A48" s="17"/>
      <c r="B48" s="81"/>
      <c r="C48" s="7"/>
      <c r="D48" s="7"/>
      <c r="E48" s="3"/>
      <c r="F48" s="5"/>
      <c r="G48" s="5"/>
      <c r="H48" s="16">
        <f>Q32/D31</f>
        <v>7</v>
      </c>
      <c r="I48" s="25"/>
      <c r="J48" s="5"/>
      <c r="K48" s="5"/>
      <c r="L48" s="5"/>
      <c r="M48" s="5"/>
      <c r="N48" s="5"/>
      <c r="O48" s="25"/>
      <c r="P48" s="5"/>
      <c r="Q48" s="5"/>
      <c r="R48" s="5"/>
      <c r="S48" s="5"/>
      <c r="T48" s="5"/>
      <c r="U48" s="45"/>
      <c r="V48" s="45"/>
      <c r="X48" s="27">
        <f>'2 ALIYAH A'!T47:T91</f>
        <v>0</v>
      </c>
      <c r="Y48" s="27">
        <f t="shared" si="13"/>
        <v>0</v>
      </c>
      <c r="Z48" s="28">
        <f t="shared" si="14"/>
        <v>0</v>
      </c>
      <c r="AA48" s="27">
        <v>26</v>
      </c>
      <c r="AB48" s="28">
        <f t="shared" si="19"/>
        <v>0</v>
      </c>
      <c r="AC48" s="29">
        <f t="shared" si="3"/>
        <v>0</v>
      </c>
      <c r="AD48" s="2"/>
      <c r="AE48" s="51">
        <f>'2 ALIYAH A'!U47:U91</f>
        <v>0</v>
      </c>
      <c r="AF48" s="51">
        <f t="shared" si="15"/>
        <v>0</v>
      </c>
      <c r="AG48" s="52">
        <f t="shared" si="16"/>
        <v>0</v>
      </c>
      <c r="AH48" s="1"/>
      <c r="AI48" s="51">
        <f>'2 ALIYAH A'!V47:V91</f>
        <v>0</v>
      </c>
      <c r="AJ48" s="51">
        <f t="shared" si="17"/>
        <v>0</v>
      </c>
      <c r="AK48" s="52">
        <f t="shared" si="18"/>
        <v>0</v>
      </c>
    </row>
    <row r="49" spans="1:37" s="18" customFormat="1" ht="25.15" customHeight="1" x14ac:dyDescent="0.25">
      <c r="A49" s="17"/>
      <c r="B49" s="81"/>
      <c r="C49" s="7"/>
      <c r="D49" s="7"/>
      <c r="E49" s="3"/>
      <c r="F49" s="5"/>
      <c r="G49" s="5"/>
      <c r="H49" s="16">
        <f>R32/D31</f>
        <v>8</v>
      </c>
      <c r="I49" s="25"/>
      <c r="J49" s="5"/>
      <c r="K49" s="5"/>
      <c r="L49" s="5"/>
      <c r="M49" s="5"/>
      <c r="N49" s="5"/>
      <c r="O49" s="25"/>
      <c r="P49" s="5"/>
      <c r="Q49" s="5"/>
      <c r="R49" s="5"/>
      <c r="S49" s="5"/>
      <c r="T49" s="5"/>
      <c r="U49" s="45"/>
      <c r="V49" s="45"/>
      <c r="X49" s="27">
        <f>'2 ALIYAH A'!T48:T92</f>
        <v>0</v>
      </c>
      <c r="Y49" s="27">
        <f t="shared" si="13"/>
        <v>0</v>
      </c>
      <c r="Z49" s="28">
        <f t="shared" si="14"/>
        <v>0</v>
      </c>
      <c r="AA49" s="27">
        <v>26</v>
      </c>
      <c r="AB49" s="28">
        <f t="shared" si="19"/>
        <v>0</v>
      </c>
      <c r="AC49" s="29">
        <f t="shared" si="3"/>
        <v>0</v>
      </c>
      <c r="AD49" s="2"/>
      <c r="AE49" s="51">
        <f>'2 ALIYAH A'!U48:U92</f>
        <v>0</v>
      </c>
      <c r="AF49" s="51">
        <f t="shared" si="15"/>
        <v>0</v>
      </c>
      <c r="AG49" s="52">
        <f t="shared" si="16"/>
        <v>0</v>
      </c>
      <c r="AH49" s="1"/>
      <c r="AI49" s="51">
        <f>'2 ALIYAH A'!V48:V92</f>
        <v>0</v>
      </c>
      <c r="AJ49" s="51">
        <f t="shared" si="17"/>
        <v>0</v>
      </c>
      <c r="AK49" s="52">
        <f t="shared" si="18"/>
        <v>0</v>
      </c>
    </row>
    <row r="50" spans="1:37" s="18" customFormat="1" ht="25.15" customHeight="1" x14ac:dyDescent="0.25">
      <c r="A50" s="17"/>
      <c r="B50" s="81"/>
      <c r="C50" s="7"/>
      <c r="D50" s="7"/>
      <c r="E50" s="3"/>
      <c r="F50" s="5"/>
      <c r="G50" s="5"/>
      <c r="H50" s="16">
        <f>S32/D31</f>
        <v>8</v>
      </c>
      <c r="I50" s="25"/>
      <c r="J50" s="5"/>
      <c r="K50" s="5"/>
      <c r="L50" s="5"/>
      <c r="M50" s="5"/>
      <c r="N50" s="5"/>
      <c r="O50" s="25"/>
      <c r="P50" s="5"/>
      <c r="Q50" s="5"/>
      <c r="R50" s="5"/>
      <c r="S50" s="5"/>
      <c r="T50" s="5"/>
      <c r="U50" s="45"/>
      <c r="V50" s="45"/>
      <c r="X50" s="27">
        <f>'2 ALIYAH A'!T49:T93</f>
        <v>0</v>
      </c>
      <c r="Y50" s="27">
        <f t="shared" si="13"/>
        <v>0</v>
      </c>
      <c r="Z50" s="28">
        <f t="shared" si="14"/>
        <v>0</v>
      </c>
      <c r="AA50" s="27">
        <v>26</v>
      </c>
      <c r="AB50" s="28">
        <f t="shared" si="19"/>
        <v>0</v>
      </c>
      <c r="AC50" s="29">
        <f t="shared" si="3"/>
        <v>0</v>
      </c>
      <c r="AD50" s="2"/>
      <c r="AE50" s="51">
        <f>'2 ALIYAH A'!U49:U93</f>
        <v>0</v>
      </c>
      <c r="AF50" s="51">
        <f t="shared" si="15"/>
        <v>0</v>
      </c>
      <c r="AG50" s="52">
        <f t="shared" si="16"/>
        <v>0</v>
      </c>
      <c r="AH50" s="1"/>
      <c r="AI50" s="51">
        <f>'2 ALIYAH A'!V49:V93</f>
        <v>0</v>
      </c>
      <c r="AJ50" s="51">
        <f t="shared" si="17"/>
        <v>0</v>
      </c>
      <c r="AK50" s="52">
        <f t="shared" si="18"/>
        <v>0</v>
      </c>
    </row>
    <row r="51" spans="1:37" s="18" customFormat="1" ht="25.15" customHeight="1" x14ac:dyDescent="0.25">
      <c r="A51" s="17"/>
      <c r="B51" s="81"/>
      <c r="C51" s="7"/>
      <c r="D51" s="7"/>
      <c r="E51" s="3"/>
      <c r="F51" s="5"/>
      <c r="G51" s="5"/>
      <c r="H51" s="15">
        <f>SUM(H37:H50)</f>
        <v>95</v>
      </c>
      <c r="I51" s="25"/>
      <c r="J51" s="5"/>
      <c r="K51" s="5"/>
      <c r="L51" s="5"/>
      <c r="M51" s="5"/>
      <c r="N51" s="5"/>
      <c r="O51" s="25"/>
      <c r="P51" s="5"/>
      <c r="Q51" s="5"/>
      <c r="R51" s="5"/>
      <c r="S51" s="5"/>
      <c r="T51" s="5"/>
      <c r="U51" s="45"/>
      <c r="V51" s="45"/>
      <c r="X51" s="27">
        <f>'2 ALIYAH A'!T50:T94</f>
        <v>0</v>
      </c>
      <c r="Y51" s="27">
        <f t="shared" si="13"/>
        <v>0</v>
      </c>
      <c r="Z51" s="28">
        <f t="shared" si="14"/>
        <v>0</v>
      </c>
      <c r="AA51" s="27">
        <v>26</v>
      </c>
      <c r="AB51" s="28">
        <f t="shared" si="19"/>
        <v>0</v>
      </c>
      <c r="AC51" s="29">
        <f t="shared" ref="AC51:AC61" si="20">IF(AB51&gt;=8.5,"الجيد الأول",IF(AB51&gt;=7.5,"الجيد الثاني",IF(AB51&gt;=6.5,"المتوسط الأول",IF(AB51&gt;=5.5,"المتوسط الثاني",IF(AB51&gt;=4.5,"الرديء",)))))</f>
        <v>0</v>
      </c>
      <c r="AD51" s="2"/>
      <c r="AE51" s="51">
        <f>'2 ALIYAH A'!U50:U94</f>
        <v>0</v>
      </c>
      <c r="AF51" s="51">
        <f t="shared" si="15"/>
        <v>0</v>
      </c>
      <c r="AG51" s="52">
        <f t="shared" si="16"/>
        <v>0</v>
      </c>
      <c r="AH51" s="1"/>
      <c r="AI51" s="51">
        <f>'2 ALIYAH A'!V50:V94</f>
        <v>0</v>
      </c>
      <c r="AJ51" s="51">
        <f t="shared" si="17"/>
        <v>0</v>
      </c>
      <c r="AK51" s="52">
        <f t="shared" si="18"/>
        <v>0</v>
      </c>
    </row>
    <row r="52" spans="1:37" s="18" customFormat="1" ht="25.15" customHeight="1" x14ac:dyDescent="0.25">
      <c r="A52" s="17"/>
      <c r="B52" s="81"/>
      <c r="C52" s="7"/>
      <c r="D52" s="7"/>
      <c r="E52" s="3"/>
      <c r="F52" s="5"/>
      <c r="G52" s="5"/>
      <c r="H52" s="5"/>
      <c r="I52" s="25"/>
      <c r="J52" s="5"/>
      <c r="K52" s="5"/>
      <c r="L52" s="5"/>
      <c r="M52" s="5"/>
      <c r="N52" s="5"/>
      <c r="O52" s="25"/>
      <c r="P52" s="5"/>
      <c r="Q52" s="5"/>
      <c r="R52" s="5"/>
      <c r="S52" s="5"/>
      <c r="T52" s="5"/>
      <c r="U52" s="45"/>
      <c r="V52" s="45"/>
      <c r="X52" s="27">
        <f>'2 ALIYAH A'!T51:T95</f>
        <v>0</v>
      </c>
      <c r="Y52" s="27">
        <f t="shared" si="13"/>
        <v>0</v>
      </c>
      <c r="Z52" s="28">
        <f t="shared" si="14"/>
        <v>0</v>
      </c>
      <c r="AA52" s="27">
        <v>26</v>
      </c>
      <c r="AB52" s="28">
        <f t="shared" si="19"/>
        <v>0</v>
      </c>
      <c r="AC52" s="29">
        <f t="shared" si="20"/>
        <v>0</v>
      </c>
      <c r="AD52" s="2"/>
      <c r="AE52" s="51">
        <f>'2 ALIYAH A'!U51:U95</f>
        <v>0</v>
      </c>
      <c r="AF52" s="51">
        <f t="shared" si="15"/>
        <v>0</v>
      </c>
      <c r="AG52" s="52">
        <f t="shared" si="16"/>
        <v>0</v>
      </c>
      <c r="AH52" s="1"/>
      <c r="AI52" s="51">
        <f>'2 ALIYAH A'!V51:V95</f>
        <v>0</v>
      </c>
      <c r="AJ52" s="51">
        <f t="shared" si="17"/>
        <v>0</v>
      </c>
      <c r="AK52" s="52">
        <f t="shared" si="18"/>
        <v>0</v>
      </c>
    </row>
    <row r="53" spans="1:37" s="18" customFormat="1" ht="25.15" customHeight="1" x14ac:dyDescent="0.25">
      <c r="A53" s="17"/>
      <c r="B53" s="81"/>
      <c r="C53" s="7"/>
      <c r="D53" s="7"/>
      <c r="E53" s="3"/>
      <c r="F53" s="5"/>
      <c r="G53" s="5"/>
      <c r="H53" s="5"/>
      <c r="I53" s="25"/>
      <c r="J53" s="5"/>
      <c r="K53" s="5"/>
      <c r="L53" s="5"/>
      <c r="M53" s="5"/>
      <c r="N53" s="5"/>
      <c r="O53" s="25"/>
      <c r="P53" s="5"/>
      <c r="Q53" s="5"/>
      <c r="R53" s="5"/>
      <c r="S53" s="5"/>
      <c r="T53" s="5"/>
      <c r="U53" s="45"/>
      <c r="V53" s="45"/>
      <c r="X53" s="27">
        <f>'2 ALIYAH A'!T52:T96</f>
        <v>0</v>
      </c>
      <c r="Y53" s="27">
        <f t="shared" si="13"/>
        <v>0</v>
      </c>
      <c r="Z53" s="28">
        <f t="shared" si="14"/>
        <v>0</v>
      </c>
      <c r="AA53" s="27">
        <v>26</v>
      </c>
      <c r="AB53" s="28">
        <f t="shared" si="19"/>
        <v>0</v>
      </c>
      <c r="AC53" s="29">
        <f t="shared" si="20"/>
        <v>0</v>
      </c>
      <c r="AD53" s="2"/>
      <c r="AE53" s="51">
        <f>'2 ALIYAH A'!U52:U96</f>
        <v>0</v>
      </c>
      <c r="AF53" s="51">
        <f t="shared" si="15"/>
        <v>0</v>
      </c>
      <c r="AG53" s="52">
        <f t="shared" si="16"/>
        <v>0</v>
      </c>
      <c r="AH53" s="1"/>
      <c r="AI53" s="51">
        <f>'2 ALIYAH A'!V52:V96</f>
        <v>0</v>
      </c>
      <c r="AJ53" s="51">
        <f t="shared" si="17"/>
        <v>0</v>
      </c>
      <c r="AK53" s="52">
        <f t="shared" si="18"/>
        <v>0</v>
      </c>
    </row>
    <row r="54" spans="1:37" s="18" customFormat="1" ht="25.15" customHeight="1" x14ac:dyDescent="0.25">
      <c r="A54" s="17"/>
      <c r="B54" s="81"/>
      <c r="C54" s="7"/>
      <c r="D54" s="7"/>
      <c r="E54" s="3"/>
      <c r="F54" s="5"/>
      <c r="G54" s="5"/>
      <c r="H54" s="5"/>
      <c r="I54" s="25"/>
      <c r="J54" s="5"/>
      <c r="K54" s="5"/>
      <c r="L54" s="5"/>
      <c r="M54" s="5"/>
      <c r="N54" s="5"/>
      <c r="O54" s="25"/>
      <c r="P54" s="5"/>
      <c r="Q54" s="5"/>
      <c r="R54" s="5"/>
      <c r="S54" s="5"/>
      <c r="T54" s="5"/>
      <c r="U54" s="45"/>
      <c r="V54" s="45"/>
      <c r="X54" s="27">
        <f>'2 ALIYAH A'!T53:T97</f>
        <v>0</v>
      </c>
      <c r="Y54" s="27">
        <f t="shared" si="13"/>
        <v>0</v>
      </c>
      <c r="Z54" s="28">
        <f t="shared" si="14"/>
        <v>0</v>
      </c>
      <c r="AA54" s="27">
        <v>26</v>
      </c>
      <c r="AB54" s="28">
        <f t="shared" si="19"/>
        <v>0</v>
      </c>
      <c r="AC54" s="29">
        <f t="shared" si="20"/>
        <v>0</v>
      </c>
      <c r="AD54" s="2"/>
      <c r="AE54" s="51">
        <f>'2 ALIYAH A'!U53:U97</f>
        <v>0</v>
      </c>
      <c r="AF54" s="51">
        <f t="shared" si="15"/>
        <v>0</v>
      </c>
      <c r="AG54" s="52">
        <f t="shared" si="16"/>
        <v>0</v>
      </c>
      <c r="AH54" s="1"/>
      <c r="AI54" s="51">
        <f>'2 ALIYAH A'!V53:V97</f>
        <v>0</v>
      </c>
      <c r="AJ54" s="51">
        <f t="shared" si="17"/>
        <v>0</v>
      </c>
      <c r="AK54" s="52">
        <f t="shared" si="18"/>
        <v>0</v>
      </c>
    </row>
    <row r="55" spans="1:37" s="18" customFormat="1" ht="25.15" customHeight="1" x14ac:dyDescent="0.25">
      <c r="A55" s="17"/>
      <c r="B55" s="81"/>
      <c r="C55" s="7"/>
      <c r="D55" s="7"/>
      <c r="E55" s="3"/>
      <c r="F55" s="5"/>
      <c r="G55" s="5"/>
      <c r="H55" s="5"/>
      <c r="I55" s="25"/>
      <c r="J55" s="5"/>
      <c r="K55" s="5"/>
      <c r="L55" s="5"/>
      <c r="M55" s="5"/>
      <c r="N55" s="5"/>
      <c r="O55" s="25"/>
      <c r="P55" s="5"/>
      <c r="Q55" s="5"/>
      <c r="R55" s="5"/>
      <c r="S55" s="5"/>
      <c r="T55" s="5"/>
      <c r="U55" s="45"/>
      <c r="V55" s="45"/>
      <c r="X55" s="27">
        <f>'2 ALIYAH A'!T54:T98</f>
        <v>0</v>
      </c>
      <c r="Y55" s="27">
        <f t="shared" si="13"/>
        <v>0</v>
      </c>
      <c r="Z55" s="28">
        <f t="shared" si="14"/>
        <v>0</v>
      </c>
      <c r="AA55" s="27">
        <v>26</v>
      </c>
      <c r="AB55" s="28">
        <f t="shared" si="19"/>
        <v>0</v>
      </c>
      <c r="AC55" s="29">
        <f t="shared" si="20"/>
        <v>0</v>
      </c>
      <c r="AD55" s="2"/>
      <c r="AE55" s="51">
        <f>'2 ALIYAH A'!U54:U98</f>
        <v>0</v>
      </c>
      <c r="AF55" s="51">
        <f t="shared" si="15"/>
        <v>0</v>
      </c>
      <c r="AG55" s="52">
        <f t="shared" si="16"/>
        <v>0</v>
      </c>
      <c r="AH55" s="1"/>
      <c r="AI55" s="51">
        <f>'2 ALIYAH A'!V54:V98</f>
        <v>0</v>
      </c>
      <c r="AJ55" s="51">
        <f t="shared" si="17"/>
        <v>0</v>
      </c>
      <c r="AK55" s="52">
        <f t="shared" si="18"/>
        <v>0</v>
      </c>
    </row>
    <row r="56" spans="1:37" s="18" customFormat="1" ht="25.15" customHeight="1" x14ac:dyDescent="0.25">
      <c r="A56" s="17"/>
      <c r="B56" s="81"/>
      <c r="C56" s="7"/>
      <c r="D56" s="7"/>
      <c r="E56" s="3"/>
      <c r="F56" s="5"/>
      <c r="G56" s="5"/>
      <c r="H56" s="5"/>
      <c r="I56" s="25"/>
      <c r="J56" s="5"/>
      <c r="K56" s="5"/>
      <c r="L56" s="5"/>
      <c r="M56" s="5"/>
      <c r="N56" s="5"/>
      <c r="O56" s="25"/>
      <c r="P56" s="5"/>
      <c r="Q56" s="5"/>
      <c r="R56" s="5"/>
      <c r="S56" s="5"/>
      <c r="T56" s="5"/>
      <c r="U56" s="45"/>
      <c r="V56" s="45"/>
      <c r="X56" s="27">
        <f>'2 ALIYAH A'!T55:T99</f>
        <v>0</v>
      </c>
      <c r="Y56" s="27">
        <f t="shared" si="13"/>
        <v>0</v>
      </c>
      <c r="Z56" s="28">
        <f t="shared" si="14"/>
        <v>0</v>
      </c>
      <c r="AA56" s="27">
        <v>26</v>
      </c>
      <c r="AB56" s="28">
        <f t="shared" si="19"/>
        <v>0</v>
      </c>
      <c r="AC56" s="29">
        <f t="shared" si="20"/>
        <v>0</v>
      </c>
      <c r="AD56" s="2"/>
      <c r="AE56" s="51">
        <f>'2 ALIYAH A'!U55:U99</f>
        <v>0</v>
      </c>
      <c r="AF56" s="51">
        <f t="shared" si="15"/>
        <v>0</v>
      </c>
      <c r="AG56" s="52">
        <f t="shared" si="16"/>
        <v>0</v>
      </c>
      <c r="AH56" s="1"/>
      <c r="AI56" s="51">
        <f>'2 ALIYAH A'!V55:V99</f>
        <v>0</v>
      </c>
      <c r="AJ56" s="51">
        <f t="shared" si="17"/>
        <v>0</v>
      </c>
      <c r="AK56" s="52">
        <f t="shared" si="18"/>
        <v>0</v>
      </c>
    </row>
    <row r="57" spans="1:37" s="18" customFormat="1" ht="25.15" customHeight="1" x14ac:dyDescent="0.25">
      <c r="A57" s="17"/>
      <c r="B57" s="81"/>
      <c r="C57" s="7"/>
      <c r="D57" s="7"/>
      <c r="E57" s="3"/>
      <c r="F57" s="5"/>
      <c r="G57" s="5"/>
      <c r="H57" s="5"/>
      <c r="I57" s="25"/>
      <c r="J57" s="5"/>
      <c r="K57" s="5"/>
      <c r="L57" s="5"/>
      <c r="M57" s="5"/>
      <c r="N57" s="5"/>
      <c r="O57" s="25"/>
      <c r="P57" s="5"/>
      <c r="Q57" s="5"/>
      <c r="R57" s="5"/>
      <c r="S57" s="5"/>
      <c r="T57" s="5"/>
      <c r="U57" s="45"/>
      <c r="V57" s="45"/>
      <c r="X57" s="27">
        <f>'2 ALIYAH A'!T56:T100</f>
        <v>0</v>
      </c>
      <c r="Y57" s="27">
        <f t="shared" si="13"/>
        <v>0</v>
      </c>
      <c r="Z57" s="28">
        <f t="shared" si="14"/>
        <v>0</v>
      </c>
      <c r="AA57" s="27">
        <v>26</v>
      </c>
      <c r="AB57" s="28">
        <f t="shared" si="19"/>
        <v>0</v>
      </c>
      <c r="AC57" s="29">
        <f t="shared" si="20"/>
        <v>0</v>
      </c>
      <c r="AD57" s="2"/>
      <c r="AE57" s="51">
        <f>'2 ALIYAH A'!U56:U100</f>
        <v>0</v>
      </c>
      <c r="AF57" s="51">
        <f t="shared" si="15"/>
        <v>0</v>
      </c>
      <c r="AG57" s="52">
        <f t="shared" si="16"/>
        <v>0</v>
      </c>
      <c r="AH57" s="1"/>
      <c r="AI57" s="51">
        <f>'2 ALIYAH A'!V56:V100</f>
        <v>0</v>
      </c>
      <c r="AJ57" s="51">
        <f t="shared" si="17"/>
        <v>0</v>
      </c>
      <c r="AK57" s="52">
        <f t="shared" si="18"/>
        <v>0</v>
      </c>
    </row>
    <row r="58" spans="1:37" s="18" customFormat="1" ht="25.15" customHeight="1" x14ac:dyDescent="0.25">
      <c r="A58" s="17"/>
      <c r="B58" s="81"/>
      <c r="C58" s="7"/>
      <c r="D58" s="7"/>
      <c r="E58" s="3"/>
      <c r="F58" s="5"/>
      <c r="G58" s="5"/>
      <c r="H58" s="5"/>
      <c r="I58" s="25"/>
      <c r="J58" s="5"/>
      <c r="K58" s="5"/>
      <c r="L58" s="5"/>
      <c r="M58" s="5"/>
      <c r="N58" s="5"/>
      <c r="O58" s="25"/>
      <c r="P58" s="5"/>
      <c r="Q58" s="5"/>
      <c r="R58" s="5"/>
      <c r="S58" s="5"/>
      <c r="T58" s="5"/>
      <c r="U58" s="45"/>
      <c r="V58" s="45"/>
      <c r="X58" s="27">
        <f>'2 ALIYAH A'!T57:T101</f>
        <v>0</v>
      </c>
      <c r="Y58" s="27">
        <f t="shared" si="13"/>
        <v>0</v>
      </c>
      <c r="Z58" s="28">
        <f t="shared" si="14"/>
        <v>0</v>
      </c>
      <c r="AA58" s="27">
        <v>26</v>
      </c>
      <c r="AB58" s="28">
        <f t="shared" si="19"/>
        <v>0</v>
      </c>
      <c r="AC58" s="29">
        <f t="shared" si="20"/>
        <v>0</v>
      </c>
      <c r="AD58" s="2"/>
      <c r="AE58" s="51">
        <f>'2 ALIYAH A'!U57:U101</f>
        <v>0</v>
      </c>
      <c r="AF58" s="51">
        <f t="shared" si="15"/>
        <v>0</v>
      </c>
      <c r="AG58" s="52">
        <f t="shared" si="16"/>
        <v>0</v>
      </c>
      <c r="AH58" s="1"/>
      <c r="AI58" s="51">
        <f>'2 ALIYAH A'!V57:V101</f>
        <v>0</v>
      </c>
      <c r="AJ58" s="51">
        <f t="shared" si="17"/>
        <v>0</v>
      </c>
      <c r="AK58" s="52">
        <f t="shared" si="18"/>
        <v>0</v>
      </c>
    </row>
    <row r="59" spans="1:37" s="18" customFormat="1" ht="25.15" customHeight="1" x14ac:dyDescent="0.25">
      <c r="A59" s="17"/>
      <c r="B59" s="81"/>
      <c r="C59" s="7"/>
      <c r="D59" s="7"/>
      <c r="E59" s="3"/>
      <c r="F59" s="5"/>
      <c r="G59" s="5"/>
      <c r="H59" s="5"/>
      <c r="I59" s="25"/>
      <c r="J59" s="5"/>
      <c r="K59" s="5"/>
      <c r="L59" s="5"/>
      <c r="M59" s="5"/>
      <c r="N59" s="5"/>
      <c r="O59" s="25"/>
      <c r="P59" s="5"/>
      <c r="Q59" s="5"/>
      <c r="R59" s="5"/>
      <c r="S59" s="5"/>
      <c r="T59" s="5"/>
      <c r="U59" s="45"/>
      <c r="V59" s="45"/>
      <c r="X59" s="27">
        <f>'2 ALIYAH A'!T58:T102</f>
        <v>0</v>
      </c>
      <c r="Y59" s="27">
        <f t="shared" si="13"/>
        <v>0</v>
      </c>
      <c r="Z59" s="28">
        <f t="shared" si="14"/>
        <v>0</v>
      </c>
      <c r="AA59" s="27">
        <v>26</v>
      </c>
      <c r="AB59" s="28">
        <f t="shared" si="19"/>
        <v>0</v>
      </c>
      <c r="AC59" s="29">
        <f t="shared" si="20"/>
        <v>0</v>
      </c>
      <c r="AD59" s="2"/>
      <c r="AE59" s="51">
        <f>'2 ALIYAH A'!U58:U102</f>
        <v>0</v>
      </c>
      <c r="AF59" s="51">
        <f t="shared" si="15"/>
        <v>0</v>
      </c>
      <c r="AG59" s="52">
        <f t="shared" si="16"/>
        <v>0</v>
      </c>
      <c r="AH59" s="1"/>
      <c r="AI59" s="51">
        <f>'2 ALIYAH A'!V58:V102</f>
        <v>0</v>
      </c>
      <c r="AJ59" s="51">
        <f t="shared" si="17"/>
        <v>0</v>
      </c>
      <c r="AK59" s="52">
        <f t="shared" si="18"/>
        <v>0</v>
      </c>
    </row>
    <row r="60" spans="1:37" s="18" customFormat="1" ht="25.15" customHeight="1" x14ac:dyDescent="0.25">
      <c r="A60" s="17"/>
      <c r="B60" s="81"/>
      <c r="C60" s="7"/>
      <c r="D60" s="7"/>
      <c r="E60" s="3"/>
      <c r="F60" s="5"/>
      <c r="G60" s="5"/>
      <c r="H60" s="5"/>
      <c r="I60" s="25"/>
      <c r="J60" s="5"/>
      <c r="K60" s="5"/>
      <c r="L60" s="5"/>
      <c r="M60" s="5"/>
      <c r="N60" s="5"/>
      <c r="O60" s="25"/>
      <c r="P60" s="5"/>
      <c r="Q60" s="5"/>
      <c r="R60" s="5"/>
      <c r="S60" s="5"/>
      <c r="T60" s="5"/>
      <c r="U60" s="45"/>
      <c r="V60" s="45"/>
      <c r="X60" s="27">
        <f>'2 ALIYAH A'!T59:T103</f>
        <v>0</v>
      </c>
      <c r="Y60" s="27">
        <f t="shared" si="13"/>
        <v>0</v>
      </c>
      <c r="Z60" s="28">
        <f t="shared" si="14"/>
        <v>0</v>
      </c>
      <c r="AA60" s="27">
        <v>26</v>
      </c>
      <c r="AB60" s="28">
        <f t="shared" si="19"/>
        <v>0</v>
      </c>
      <c r="AC60" s="29">
        <f t="shared" si="20"/>
        <v>0</v>
      </c>
      <c r="AD60" s="2"/>
      <c r="AE60" s="51">
        <f>'2 ALIYAH A'!U59:U103</f>
        <v>0</v>
      </c>
      <c r="AF60" s="51">
        <f t="shared" si="15"/>
        <v>0</v>
      </c>
      <c r="AG60" s="52">
        <f t="shared" si="16"/>
        <v>0</v>
      </c>
      <c r="AH60" s="1"/>
      <c r="AI60" s="51">
        <f>'2 ALIYAH A'!V59:V103</f>
        <v>0</v>
      </c>
      <c r="AJ60" s="51">
        <f t="shared" si="17"/>
        <v>0</v>
      </c>
      <c r="AK60" s="52">
        <f t="shared" si="18"/>
        <v>0</v>
      </c>
    </row>
    <row r="61" spans="1:37" s="18" customFormat="1" ht="25.15" customHeight="1" x14ac:dyDescent="0.25">
      <c r="A61" s="17"/>
      <c r="B61" s="81"/>
      <c r="C61" s="7"/>
      <c r="D61" s="7"/>
      <c r="E61" s="3"/>
      <c r="F61" s="5"/>
      <c r="G61" s="5"/>
      <c r="H61" s="5"/>
      <c r="I61" s="25"/>
      <c r="J61" s="5"/>
      <c r="K61" s="5"/>
      <c r="L61" s="5"/>
      <c r="M61" s="5"/>
      <c r="N61" s="5"/>
      <c r="O61" s="25"/>
      <c r="P61" s="5"/>
      <c r="Q61" s="5"/>
      <c r="R61" s="5"/>
      <c r="S61" s="5"/>
      <c r="T61" s="5"/>
      <c r="U61" s="45"/>
      <c r="V61" s="45"/>
      <c r="X61" s="27">
        <f>'2 ALIYAH A'!T60:T104</f>
        <v>0</v>
      </c>
      <c r="Y61" s="27">
        <f t="shared" si="13"/>
        <v>0</v>
      </c>
      <c r="Z61" s="28">
        <f t="shared" si="14"/>
        <v>0</v>
      </c>
      <c r="AA61" s="27">
        <v>26</v>
      </c>
      <c r="AB61" s="28">
        <f t="shared" si="19"/>
        <v>0</v>
      </c>
      <c r="AC61" s="29">
        <f t="shared" si="20"/>
        <v>0</v>
      </c>
      <c r="AD61" s="2"/>
      <c r="AE61" s="51">
        <f>'2 ALIYAH A'!U60:U104</f>
        <v>0</v>
      </c>
      <c r="AF61" s="51">
        <f t="shared" si="15"/>
        <v>0</v>
      </c>
      <c r="AG61" s="52">
        <f t="shared" si="16"/>
        <v>0</v>
      </c>
      <c r="AH61" s="1"/>
      <c r="AI61" s="51">
        <f>'2 ALIYAH A'!V60:V104</f>
        <v>0</v>
      </c>
      <c r="AJ61" s="51">
        <f t="shared" si="17"/>
        <v>0</v>
      </c>
      <c r="AK61" s="52">
        <f t="shared" si="18"/>
        <v>0</v>
      </c>
    </row>
    <row r="62" spans="1:37" s="18" customFormat="1" ht="25.15" customHeight="1" x14ac:dyDescent="0.25">
      <c r="A62" s="17"/>
      <c r="B62" s="81"/>
      <c r="C62" s="7"/>
      <c r="D62" s="7"/>
      <c r="E62" s="3"/>
      <c r="F62" s="5"/>
      <c r="G62" s="5"/>
      <c r="H62" s="5"/>
      <c r="I62" s="25"/>
      <c r="J62" s="5"/>
      <c r="K62" s="5"/>
      <c r="L62" s="5"/>
      <c r="M62" s="5"/>
      <c r="N62" s="5"/>
      <c r="O62" s="25"/>
      <c r="P62" s="5"/>
      <c r="Q62" s="5"/>
      <c r="R62" s="5"/>
      <c r="S62" s="5"/>
      <c r="T62" s="5"/>
      <c r="U62" s="45"/>
      <c r="V62" s="45"/>
      <c r="X62" s="32"/>
      <c r="Y62" s="32"/>
      <c r="Z62" s="32"/>
      <c r="AA62" s="32"/>
      <c r="AB62" s="32"/>
      <c r="AC62" s="32"/>
      <c r="AE62" s="53"/>
      <c r="AF62" s="53"/>
      <c r="AG62" s="54"/>
      <c r="AH62"/>
      <c r="AI62" s="53"/>
      <c r="AJ62" s="53"/>
      <c r="AK62" s="55"/>
    </row>
    <row r="63" spans="1:37" s="18" customFormat="1" ht="25.15" customHeight="1" x14ac:dyDescent="0.25">
      <c r="A63" s="17"/>
      <c r="B63" s="81"/>
      <c r="C63" s="7"/>
      <c r="D63" s="7"/>
      <c r="E63" s="3"/>
      <c r="F63" s="5"/>
      <c r="G63" s="5"/>
      <c r="H63" s="5"/>
      <c r="I63" s="25"/>
      <c r="J63" s="5"/>
      <c r="K63" s="5"/>
      <c r="L63" s="5"/>
      <c r="M63" s="5"/>
      <c r="N63" s="5"/>
      <c r="O63" s="25"/>
      <c r="P63" s="5"/>
      <c r="Q63" s="5"/>
      <c r="R63" s="5"/>
      <c r="S63" s="5"/>
      <c r="T63" s="5"/>
      <c r="U63" s="45"/>
      <c r="V63" s="45"/>
      <c r="X63" s="32"/>
      <c r="Y63" s="32"/>
      <c r="Z63" s="32"/>
      <c r="AA63" s="32"/>
      <c r="AB63" s="32"/>
      <c r="AC63" s="32"/>
      <c r="AE63" s="53"/>
      <c r="AF63" s="53"/>
      <c r="AG63" s="54"/>
      <c r="AH63"/>
      <c r="AI63" s="53"/>
      <c r="AJ63" s="53"/>
      <c r="AK63" s="55"/>
    </row>
    <row r="64" spans="1:37" s="18" customFormat="1" ht="25.15" customHeight="1" x14ac:dyDescent="0.25">
      <c r="A64" s="17"/>
      <c r="B64" s="81"/>
      <c r="C64" s="7"/>
      <c r="D64" s="7"/>
      <c r="E64" s="3"/>
      <c r="F64" s="5"/>
      <c r="G64" s="5"/>
      <c r="H64" s="5"/>
      <c r="I64" s="25"/>
      <c r="J64" s="5"/>
      <c r="K64" s="5"/>
      <c r="L64" s="5"/>
      <c r="M64" s="5"/>
      <c r="N64" s="5"/>
      <c r="O64" s="25"/>
      <c r="P64" s="5"/>
      <c r="Q64" s="5"/>
      <c r="R64" s="5"/>
      <c r="S64" s="5"/>
      <c r="T64" s="5"/>
      <c r="U64" s="45"/>
      <c r="V64" s="45"/>
      <c r="X64" s="32"/>
      <c r="Y64" s="32"/>
      <c r="Z64" s="32"/>
      <c r="AA64" s="32"/>
      <c r="AB64" s="32"/>
      <c r="AC64" s="32"/>
      <c r="AE64" s="53"/>
      <c r="AF64" s="53"/>
      <c r="AG64" s="54"/>
      <c r="AH64"/>
      <c r="AI64" s="53"/>
      <c r="AJ64" s="53"/>
      <c r="AK64" s="55"/>
    </row>
    <row r="65" spans="1:37" s="18" customFormat="1" ht="25.15" customHeight="1" x14ac:dyDescent="0.25">
      <c r="A65" s="17"/>
      <c r="B65" s="81"/>
      <c r="C65" s="7"/>
      <c r="D65" s="7"/>
      <c r="E65" s="3"/>
      <c r="F65" s="5"/>
      <c r="G65" s="5"/>
      <c r="H65" s="5"/>
      <c r="I65" s="25"/>
      <c r="J65" s="5"/>
      <c r="K65" s="5"/>
      <c r="L65" s="5"/>
      <c r="M65" s="5"/>
      <c r="N65" s="5"/>
      <c r="O65" s="25"/>
      <c r="P65" s="5"/>
      <c r="Q65" s="5"/>
      <c r="R65" s="5"/>
      <c r="S65" s="5"/>
      <c r="T65" s="5"/>
      <c r="U65" s="45"/>
      <c r="V65" s="45"/>
      <c r="X65" s="32"/>
      <c r="Y65" s="32"/>
      <c r="Z65" s="32"/>
      <c r="AA65" s="32"/>
      <c r="AB65" s="32"/>
      <c r="AC65" s="32"/>
      <c r="AE65" s="53"/>
      <c r="AF65" s="53"/>
      <c r="AG65" s="54"/>
      <c r="AH65"/>
      <c r="AI65" s="53"/>
      <c r="AJ65" s="53"/>
      <c r="AK65" s="55"/>
    </row>
    <row r="66" spans="1:37" s="18" customFormat="1" ht="25.15" customHeight="1" x14ac:dyDescent="0.25">
      <c r="A66" s="17"/>
      <c r="B66" s="81"/>
      <c r="C66" s="7"/>
      <c r="D66" s="7"/>
      <c r="E66" s="3"/>
      <c r="F66" s="5"/>
      <c r="G66" s="5"/>
      <c r="H66" s="5"/>
      <c r="I66" s="25"/>
      <c r="J66" s="5"/>
      <c r="K66" s="5"/>
      <c r="L66" s="5"/>
      <c r="M66" s="5"/>
      <c r="N66" s="5"/>
      <c r="O66" s="25"/>
      <c r="P66" s="5"/>
      <c r="Q66" s="5"/>
      <c r="R66" s="5"/>
      <c r="S66" s="5"/>
      <c r="T66" s="5"/>
      <c r="U66" s="45"/>
      <c r="V66" s="45"/>
      <c r="X66" s="32"/>
      <c r="Y66" s="32"/>
      <c r="Z66" s="32"/>
      <c r="AA66" s="32"/>
      <c r="AB66" s="32"/>
      <c r="AC66" s="32"/>
      <c r="AE66" s="53"/>
      <c r="AF66" s="53"/>
      <c r="AG66" s="54"/>
      <c r="AH66"/>
      <c r="AI66" s="53"/>
      <c r="AJ66" s="53"/>
      <c r="AK66" s="55"/>
    </row>
    <row r="67" spans="1:37" s="18" customFormat="1" ht="25.15" customHeight="1" x14ac:dyDescent="0.25">
      <c r="A67" s="17"/>
      <c r="B67" s="81"/>
      <c r="C67" s="7"/>
      <c r="D67" s="7"/>
      <c r="E67" s="3"/>
      <c r="F67" s="5"/>
      <c r="G67" s="5"/>
      <c r="H67" s="5"/>
      <c r="I67" s="25"/>
      <c r="J67" s="5"/>
      <c r="K67" s="5"/>
      <c r="L67" s="5"/>
      <c r="M67" s="5"/>
      <c r="N67" s="5"/>
      <c r="O67" s="25"/>
      <c r="P67" s="5"/>
      <c r="Q67" s="5"/>
      <c r="R67" s="5"/>
      <c r="S67" s="5"/>
      <c r="T67" s="5"/>
      <c r="U67" s="45"/>
      <c r="V67" s="45"/>
      <c r="X67" s="32"/>
      <c r="Y67" s="32"/>
      <c r="Z67" s="32"/>
      <c r="AA67" s="32"/>
      <c r="AB67" s="32"/>
      <c r="AC67" s="32"/>
      <c r="AE67" s="53"/>
      <c r="AF67" s="53"/>
      <c r="AG67" s="54"/>
      <c r="AH67"/>
      <c r="AI67" s="53"/>
      <c r="AJ67" s="53"/>
      <c r="AK67" s="55"/>
    </row>
    <row r="68" spans="1:37" s="18" customFormat="1" ht="25.15" customHeight="1" x14ac:dyDescent="0.25">
      <c r="A68" s="17"/>
      <c r="B68" s="81"/>
      <c r="C68" s="7"/>
      <c r="D68" s="7"/>
      <c r="E68" s="3"/>
      <c r="F68" s="5"/>
      <c r="G68" s="5"/>
      <c r="H68" s="5"/>
      <c r="I68" s="25"/>
      <c r="J68" s="5"/>
      <c r="K68" s="5"/>
      <c r="L68" s="5"/>
      <c r="M68" s="5"/>
      <c r="N68" s="5"/>
      <c r="O68" s="25"/>
      <c r="P68" s="5"/>
      <c r="Q68" s="5"/>
      <c r="R68" s="5"/>
      <c r="S68" s="5"/>
      <c r="T68" s="5"/>
      <c r="U68" s="45"/>
      <c r="V68" s="45"/>
      <c r="X68" s="32"/>
      <c r="Y68" s="32"/>
      <c r="Z68" s="32"/>
      <c r="AA68" s="32"/>
      <c r="AB68" s="32"/>
      <c r="AC68" s="32"/>
      <c r="AE68" s="53"/>
      <c r="AF68" s="53"/>
      <c r="AG68" s="54"/>
      <c r="AH68"/>
      <c r="AI68" s="53"/>
      <c r="AJ68" s="53"/>
      <c r="AK68" s="55"/>
    </row>
    <row r="69" spans="1:37" s="18" customFormat="1" ht="25.15" customHeight="1" x14ac:dyDescent="0.25">
      <c r="A69" s="17"/>
      <c r="B69" s="81"/>
      <c r="C69" s="7"/>
      <c r="D69" s="7"/>
      <c r="E69" s="3"/>
      <c r="F69" s="5"/>
      <c r="G69" s="5"/>
      <c r="H69" s="5"/>
      <c r="I69" s="25"/>
      <c r="J69" s="5"/>
      <c r="K69" s="5"/>
      <c r="L69" s="5"/>
      <c r="M69" s="5"/>
      <c r="N69" s="5"/>
      <c r="O69" s="25"/>
      <c r="P69" s="5"/>
      <c r="Q69" s="5"/>
      <c r="R69" s="5"/>
      <c r="S69" s="5"/>
      <c r="T69" s="5"/>
      <c r="U69" s="45"/>
      <c r="V69" s="45"/>
      <c r="X69" s="32"/>
      <c r="Y69" s="32"/>
      <c r="Z69" s="32"/>
      <c r="AA69" s="32"/>
      <c r="AB69" s="32"/>
      <c r="AC69" s="32"/>
      <c r="AE69" s="53"/>
      <c r="AF69" s="53"/>
      <c r="AG69" s="54"/>
      <c r="AH69"/>
      <c r="AI69" s="53"/>
      <c r="AJ69" s="53"/>
      <c r="AK69" s="55"/>
    </row>
    <row r="70" spans="1:37" s="18" customFormat="1" ht="25.15" customHeight="1" x14ac:dyDescent="0.25">
      <c r="A70" s="17"/>
      <c r="B70" s="81"/>
      <c r="C70" s="7"/>
      <c r="D70" s="7"/>
      <c r="E70" s="3"/>
      <c r="F70" s="5"/>
      <c r="G70" s="5"/>
      <c r="H70" s="5"/>
      <c r="I70" s="25"/>
      <c r="J70" s="5"/>
      <c r="K70" s="5"/>
      <c r="L70" s="5"/>
      <c r="M70" s="5"/>
      <c r="N70" s="5"/>
      <c r="O70" s="25"/>
      <c r="P70" s="5"/>
      <c r="Q70" s="5"/>
      <c r="R70" s="5"/>
      <c r="S70" s="5"/>
      <c r="T70" s="5"/>
      <c r="U70" s="45"/>
      <c r="V70" s="45"/>
      <c r="X70" s="32"/>
      <c r="Y70" s="32"/>
      <c r="Z70" s="32"/>
      <c r="AA70" s="32"/>
      <c r="AB70" s="32"/>
      <c r="AC70" s="32"/>
      <c r="AE70" s="53"/>
      <c r="AF70" s="53"/>
      <c r="AG70" s="54"/>
      <c r="AH70"/>
      <c r="AI70" s="53"/>
      <c r="AJ70" s="53"/>
      <c r="AK70" s="55"/>
    </row>
    <row r="71" spans="1:37" s="18" customFormat="1" ht="25.15" customHeight="1" x14ac:dyDescent="0.25">
      <c r="A71" s="17"/>
      <c r="B71" s="81"/>
      <c r="C71" s="7"/>
      <c r="D71" s="7"/>
      <c r="E71" s="3"/>
      <c r="F71" s="5"/>
      <c r="G71" s="5"/>
      <c r="H71" s="5"/>
      <c r="I71" s="25"/>
      <c r="J71" s="5"/>
      <c r="K71" s="5"/>
      <c r="L71" s="5"/>
      <c r="M71" s="5"/>
      <c r="N71" s="5"/>
      <c r="O71" s="25"/>
      <c r="P71" s="5"/>
      <c r="Q71" s="5"/>
      <c r="R71" s="5"/>
      <c r="S71" s="5"/>
      <c r="T71" s="5"/>
      <c r="U71" s="45"/>
      <c r="V71" s="45"/>
      <c r="X71" s="32"/>
      <c r="Y71" s="32"/>
      <c r="Z71" s="32"/>
      <c r="AA71" s="32"/>
      <c r="AB71" s="32"/>
      <c r="AC71" s="32"/>
      <c r="AE71" s="53"/>
      <c r="AF71" s="53"/>
      <c r="AG71" s="54"/>
      <c r="AH71"/>
      <c r="AI71" s="53"/>
      <c r="AJ71" s="53"/>
      <c r="AK71" s="55"/>
    </row>
    <row r="72" spans="1:37" s="18" customFormat="1" ht="25.15" customHeight="1" x14ac:dyDescent="0.25">
      <c r="A72" s="17"/>
      <c r="B72" s="81"/>
      <c r="C72" s="7"/>
      <c r="D72" s="7"/>
      <c r="E72" s="3"/>
      <c r="F72" s="5"/>
      <c r="G72" s="5"/>
      <c r="H72" s="5"/>
      <c r="I72" s="25"/>
      <c r="J72" s="5"/>
      <c r="K72" s="5"/>
      <c r="L72" s="5"/>
      <c r="M72" s="5"/>
      <c r="N72" s="5"/>
      <c r="O72" s="25"/>
      <c r="P72" s="5"/>
      <c r="Q72" s="5"/>
      <c r="R72" s="5"/>
      <c r="S72" s="5"/>
      <c r="T72" s="5"/>
      <c r="U72" s="45"/>
      <c r="V72" s="45"/>
      <c r="X72" s="32"/>
      <c r="Y72" s="32"/>
      <c r="Z72" s="32"/>
      <c r="AA72" s="32"/>
      <c r="AB72" s="32"/>
      <c r="AC72" s="32"/>
      <c r="AE72" s="53"/>
      <c r="AF72" s="53"/>
      <c r="AG72" s="54"/>
      <c r="AH72"/>
      <c r="AI72" s="53"/>
      <c r="AJ72" s="53"/>
      <c r="AK72" s="55"/>
    </row>
    <row r="73" spans="1:37" s="18" customFormat="1" ht="25.15" customHeight="1" x14ac:dyDescent="0.25">
      <c r="A73" s="17"/>
      <c r="B73" s="81"/>
      <c r="C73" s="7"/>
      <c r="D73" s="7"/>
      <c r="E73" s="3"/>
      <c r="F73" s="5"/>
      <c r="G73" s="5"/>
      <c r="H73" s="5"/>
      <c r="I73" s="25"/>
      <c r="J73" s="5"/>
      <c r="K73" s="5"/>
      <c r="L73" s="5"/>
      <c r="M73" s="5"/>
      <c r="N73" s="5"/>
      <c r="O73" s="25"/>
      <c r="P73" s="5"/>
      <c r="Q73" s="5"/>
      <c r="R73" s="5"/>
      <c r="S73" s="5"/>
      <c r="T73" s="5"/>
      <c r="U73" s="45"/>
      <c r="V73" s="45"/>
      <c r="X73" s="32"/>
      <c r="Y73" s="32"/>
      <c r="Z73" s="32"/>
      <c r="AA73" s="32"/>
      <c r="AB73" s="32"/>
      <c r="AC73" s="32"/>
      <c r="AE73" s="53"/>
      <c r="AF73" s="53"/>
      <c r="AG73" s="54"/>
      <c r="AH73"/>
      <c r="AI73" s="53"/>
      <c r="AJ73" s="53"/>
      <c r="AK73" s="55"/>
    </row>
    <row r="74" spans="1:37" s="18" customFormat="1" ht="25.15" customHeight="1" x14ac:dyDescent="0.25">
      <c r="A74" s="17"/>
      <c r="B74" s="81"/>
      <c r="C74" s="7"/>
      <c r="D74" s="7"/>
      <c r="E74" s="3"/>
      <c r="F74" s="5"/>
      <c r="G74" s="5"/>
      <c r="H74" s="5"/>
      <c r="I74" s="25"/>
      <c r="J74" s="5"/>
      <c r="K74" s="5"/>
      <c r="L74" s="5"/>
      <c r="M74" s="5"/>
      <c r="N74" s="5"/>
      <c r="O74" s="25"/>
      <c r="P74" s="5"/>
      <c r="Q74" s="5"/>
      <c r="R74" s="5"/>
      <c r="S74" s="5"/>
      <c r="T74" s="5"/>
      <c r="U74" s="45"/>
      <c r="V74" s="45"/>
      <c r="X74" s="32"/>
      <c r="Y74" s="32"/>
      <c r="Z74" s="32"/>
      <c r="AA74" s="32"/>
      <c r="AB74" s="32"/>
      <c r="AC74" s="32"/>
      <c r="AE74" s="53"/>
      <c r="AF74" s="53"/>
      <c r="AG74" s="54"/>
      <c r="AH74"/>
      <c r="AI74" s="53"/>
      <c r="AJ74" s="53"/>
      <c r="AK74" s="55"/>
    </row>
    <row r="75" spans="1:37" s="18" customFormat="1" ht="25.15" customHeight="1" x14ac:dyDescent="0.25">
      <c r="A75" s="17"/>
      <c r="B75" s="81"/>
      <c r="C75" s="7"/>
      <c r="D75" s="7"/>
      <c r="E75" s="3"/>
      <c r="F75" s="5"/>
      <c r="G75" s="5"/>
      <c r="H75" s="5"/>
      <c r="I75" s="25"/>
      <c r="J75" s="5"/>
      <c r="K75" s="5"/>
      <c r="L75" s="5"/>
      <c r="M75" s="5"/>
      <c r="N75" s="5"/>
      <c r="O75" s="25"/>
      <c r="P75" s="5"/>
      <c r="Q75" s="5"/>
      <c r="R75" s="5"/>
      <c r="S75" s="5"/>
      <c r="T75" s="5"/>
      <c r="U75" s="45"/>
      <c r="V75" s="45"/>
      <c r="X75" s="32"/>
      <c r="Y75" s="32"/>
      <c r="Z75" s="32"/>
      <c r="AA75" s="32"/>
      <c r="AB75" s="32"/>
      <c r="AC75" s="32"/>
      <c r="AE75" s="53"/>
      <c r="AF75" s="53"/>
      <c r="AG75" s="54"/>
      <c r="AH75"/>
      <c r="AI75" s="53"/>
      <c r="AJ75" s="53"/>
      <c r="AK75" s="55"/>
    </row>
    <row r="76" spans="1:37" s="18" customFormat="1" ht="25.15" customHeight="1" x14ac:dyDescent="0.25">
      <c r="A76" s="17"/>
      <c r="B76" s="81"/>
      <c r="C76" s="7"/>
      <c r="D76" s="7"/>
      <c r="E76" s="3"/>
      <c r="F76" s="5"/>
      <c r="G76" s="5"/>
      <c r="H76" s="5"/>
      <c r="I76" s="25"/>
      <c r="J76" s="5"/>
      <c r="K76" s="5"/>
      <c r="L76" s="5"/>
      <c r="M76" s="5"/>
      <c r="N76" s="5"/>
      <c r="O76" s="25"/>
      <c r="P76" s="5"/>
      <c r="Q76" s="5"/>
      <c r="R76" s="5"/>
      <c r="S76" s="5"/>
      <c r="T76" s="5"/>
      <c r="U76" s="45"/>
      <c r="V76" s="45"/>
      <c r="X76" s="32"/>
      <c r="Y76" s="32"/>
      <c r="Z76" s="32"/>
      <c r="AA76" s="32"/>
      <c r="AB76" s="32"/>
      <c r="AC76" s="32"/>
      <c r="AE76" s="53"/>
      <c r="AF76" s="53"/>
      <c r="AG76" s="54"/>
      <c r="AH76"/>
      <c r="AI76" s="53"/>
      <c r="AJ76" s="53"/>
      <c r="AK76" s="55"/>
    </row>
    <row r="77" spans="1:37" s="18" customFormat="1" ht="25.15" customHeight="1" x14ac:dyDescent="0.25">
      <c r="A77" s="17"/>
      <c r="B77" s="81"/>
      <c r="C77" s="7"/>
      <c r="D77" s="7"/>
      <c r="E77" s="3"/>
      <c r="F77" s="5"/>
      <c r="G77" s="5"/>
      <c r="H77" s="5"/>
      <c r="I77" s="25"/>
      <c r="J77" s="5"/>
      <c r="K77" s="5"/>
      <c r="L77" s="5"/>
      <c r="M77" s="5"/>
      <c r="N77" s="5"/>
      <c r="O77" s="25"/>
      <c r="P77" s="5"/>
      <c r="Q77" s="5"/>
      <c r="R77" s="5"/>
      <c r="S77" s="5"/>
      <c r="T77" s="5"/>
      <c r="U77" s="45"/>
      <c r="V77" s="45"/>
      <c r="X77" s="32"/>
      <c r="Y77" s="32"/>
      <c r="Z77" s="32"/>
      <c r="AA77" s="32"/>
      <c r="AB77" s="32"/>
      <c r="AC77" s="32"/>
      <c r="AE77" s="53"/>
      <c r="AF77" s="53"/>
      <c r="AG77" s="54"/>
      <c r="AH77"/>
      <c r="AI77" s="53"/>
      <c r="AJ77" s="53"/>
      <c r="AK77" s="55"/>
    </row>
    <row r="78" spans="1:37" s="18" customFormat="1" ht="25.15" customHeight="1" x14ac:dyDescent="0.25">
      <c r="A78" s="17"/>
      <c r="B78" s="81"/>
      <c r="C78" s="7"/>
      <c r="D78" s="7"/>
      <c r="E78" s="3"/>
      <c r="F78" s="5"/>
      <c r="G78" s="5"/>
      <c r="H78" s="5"/>
      <c r="I78" s="25"/>
      <c r="J78" s="5"/>
      <c r="K78" s="5"/>
      <c r="L78" s="5"/>
      <c r="M78" s="5"/>
      <c r="N78" s="5"/>
      <c r="O78" s="25"/>
      <c r="P78" s="5"/>
      <c r="Q78" s="5"/>
      <c r="R78" s="5"/>
      <c r="S78" s="5"/>
      <c r="T78" s="5"/>
      <c r="U78" s="45"/>
      <c r="V78" s="45"/>
      <c r="X78" s="32"/>
      <c r="Y78" s="32"/>
      <c r="Z78" s="32"/>
      <c r="AA78" s="32"/>
      <c r="AB78" s="32"/>
      <c r="AC78" s="32"/>
      <c r="AE78" s="53"/>
      <c r="AF78" s="53"/>
      <c r="AG78" s="54"/>
      <c r="AH78"/>
      <c r="AI78" s="53"/>
      <c r="AJ78" s="53"/>
      <c r="AK78" s="55"/>
    </row>
    <row r="79" spans="1:37" s="18" customFormat="1" ht="25.15" customHeight="1" x14ac:dyDescent="0.25">
      <c r="A79" s="17"/>
      <c r="B79" s="81"/>
      <c r="C79" s="7"/>
      <c r="D79" s="7"/>
      <c r="E79" s="3"/>
      <c r="F79" s="5"/>
      <c r="G79" s="5"/>
      <c r="H79" s="5"/>
      <c r="I79" s="25"/>
      <c r="J79" s="5"/>
      <c r="K79" s="5"/>
      <c r="L79" s="5"/>
      <c r="M79" s="5"/>
      <c r="N79" s="5"/>
      <c r="O79" s="25"/>
      <c r="P79" s="5"/>
      <c r="Q79" s="5"/>
      <c r="R79" s="5"/>
      <c r="S79" s="5"/>
      <c r="T79" s="5"/>
      <c r="U79" s="45"/>
      <c r="V79" s="45"/>
      <c r="X79" s="32"/>
      <c r="Y79" s="32"/>
      <c r="Z79" s="32"/>
      <c r="AA79" s="32"/>
      <c r="AB79" s="32"/>
      <c r="AC79" s="32"/>
      <c r="AE79" s="53"/>
      <c r="AF79" s="53"/>
      <c r="AG79" s="54"/>
      <c r="AH79"/>
      <c r="AI79" s="53"/>
      <c r="AJ79" s="53"/>
      <c r="AK79" s="55"/>
    </row>
    <row r="80" spans="1:37" ht="25.15" customHeight="1" x14ac:dyDescent="0.25">
      <c r="A80" s="17"/>
      <c r="T80" s="5"/>
      <c r="X80" s="32"/>
      <c r="Y80" s="32"/>
      <c r="AA80" s="32"/>
      <c r="AC80" s="32"/>
    </row>
    <row r="81" spans="1:29" ht="25.15" customHeight="1" x14ac:dyDescent="0.25">
      <c r="A81" s="17"/>
      <c r="T81" s="5"/>
      <c r="X81" s="32"/>
      <c r="Y81" s="32"/>
      <c r="AA81" s="32"/>
      <c r="AC81" s="32"/>
    </row>
    <row r="82" spans="1:29" ht="25.15" customHeight="1" x14ac:dyDescent="0.25">
      <c r="A82" s="17"/>
      <c r="T82" s="5"/>
      <c r="X82" s="32"/>
      <c r="Y82" s="32"/>
      <c r="AA82" s="32"/>
      <c r="AC82" s="32"/>
    </row>
    <row r="83" spans="1:29" ht="25.15" customHeight="1" x14ac:dyDescent="0.25">
      <c r="A83" s="17"/>
      <c r="T83" s="5"/>
      <c r="X83" s="32"/>
      <c r="Y83" s="32"/>
      <c r="AA83" s="32"/>
      <c r="AC83" s="32"/>
    </row>
    <row r="84" spans="1:29" ht="25.15" customHeight="1" x14ac:dyDescent="0.25">
      <c r="A84" s="17"/>
      <c r="T84" s="5"/>
      <c r="X84" s="32"/>
      <c r="Y84" s="32"/>
      <c r="AA84" s="32"/>
      <c r="AC84" s="32"/>
    </row>
    <row r="85" spans="1:29" ht="25.15" customHeight="1" x14ac:dyDescent="0.25">
      <c r="A85" s="17"/>
      <c r="T85" s="5"/>
      <c r="X85" s="32"/>
      <c r="Y85" s="32"/>
      <c r="AA85" s="32"/>
      <c r="AC85" s="32"/>
    </row>
    <row r="86" spans="1:29" ht="25.15" customHeight="1" x14ac:dyDescent="0.25">
      <c r="A86" s="17"/>
      <c r="G86"/>
      <c r="J86"/>
      <c r="K86"/>
      <c r="L86"/>
      <c r="M86"/>
      <c r="N86"/>
      <c r="P86"/>
      <c r="Q86"/>
      <c r="R86"/>
      <c r="S86"/>
      <c r="T86"/>
      <c r="X86" s="32"/>
      <c r="Y86" s="32"/>
      <c r="AA86" s="32"/>
      <c r="AC86" s="32"/>
    </row>
    <row r="87" spans="1:29" ht="25.15" customHeight="1" x14ac:dyDescent="0.25">
      <c r="A87" s="17"/>
      <c r="G87"/>
      <c r="H87"/>
      <c r="J87"/>
      <c r="K87"/>
      <c r="L87"/>
      <c r="M87"/>
      <c r="N87"/>
      <c r="P87"/>
      <c r="Q87"/>
      <c r="R87"/>
      <c r="S87"/>
      <c r="T87"/>
      <c r="X87" s="32"/>
      <c r="Y87" s="32"/>
      <c r="AA87" s="32"/>
      <c r="AC87" s="32"/>
    </row>
    <row r="88" spans="1:29" ht="25.15" customHeight="1" x14ac:dyDescent="0.25">
      <c r="A88" s="17"/>
      <c r="G88"/>
      <c r="H88"/>
      <c r="J88"/>
      <c r="K88"/>
      <c r="L88"/>
      <c r="M88"/>
      <c r="N88"/>
      <c r="P88"/>
      <c r="Q88"/>
      <c r="R88"/>
      <c r="S88"/>
      <c r="T88"/>
      <c r="X88" s="32"/>
      <c r="Y88" s="32"/>
      <c r="AA88" s="32"/>
      <c r="AC88" s="32"/>
    </row>
    <row r="89" spans="1:29" ht="25.15" customHeight="1" x14ac:dyDescent="0.25">
      <c r="A89" s="17"/>
      <c r="G89"/>
      <c r="H89"/>
      <c r="J89"/>
      <c r="K89"/>
      <c r="L89"/>
      <c r="M89"/>
      <c r="N89"/>
      <c r="P89"/>
      <c r="Q89"/>
      <c r="R89"/>
      <c r="S89"/>
      <c r="T89"/>
      <c r="X89" s="32"/>
      <c r="Y89" s="32"/>
      <c r="AA89" s="32"/>
      <c r="AC89" s="32"/>
    </row>
    <row r="90" spans="1:29" ht="25.15" customHeight="1" x14ac:dyDescent="0.25">
      <c r="A90" s="17"/>
      <c r="G90"/>
      <c r="H90"/>
      <c r="J90"/>
      <c r="K90"/>
      <c r="L90"/>
      <c r="M90"/>
      <c r="N90"/>
      <c r="P90"/>
      <c r="Q90"/>
      <c r="R90"/>
      <c r="S90"/>
      <c r="T90"/>
      <c r="U90" s="46"/>
      <c r="V90" s="46"/>
      <c r="X90" s="32"/>
      <c r="Y90" s="32"/>
      <c r="AA90" s="32"/>
      <c r="AC90" s="32"/>
    </row>
    <row r="91" spans="1:29" ht="25.15" customHeight="1" x14ac:dyDescent="0.25">
      <c r="A91" s="17"/>
      <c r="G91"/>
      <c r="H91"/>
      <c r="J91"/>
      <c r="K91"/>
      <c r="L91"/>
      <c r="M91"/>
      <c r="N91"/>
      <c r="P91"/>
      <c r="Q91"/>
      <c r="R91"/>
      <c r="S91"/>
      <c r="T91"/>
      <c r="U91" s="46"/>
      <c r="V91" s="46"/>
      <c r="X91" s="32"/>
      <c r="Y91" s="32"/>
      <c r="AA91" s="32"/>
      <c r="AC91" s="32"/>
    </row>
    <row r="92" spans="1:29" ht="25.15" customHeight="1" x14ac:dyDescent="0.25">
      <c r="A92" s="17"/>
      <c r="G92"/>
      <c r="H92"/>
      <c r="J92"/>
      <c r="K92"/>
      <c r="L92"/>
      <c r="M92"/>
      <c r="N92"/>
      <c r="P92"/>
      <c r="Q92"/>
      <c r="R92"/>
      <c r="S92"/>
      <c r="T92"/>
      <c r="U92" s="46"/>
      <c r="V92" s="46"/>
      <c r="X92" s="32"/>
      <c r="Y92" s="32"/>
      <c r="AA92" s="32"/>
      <c r="AC92" s="32"/>
    </row>
    <row r="93" spans="1:29" ht="25.15" customHeight="1" x14ac:dyDescent="0.25">
      <c r="A93" s="17"/>
      <c r="G93"/>
      <c r="H93"/>
      <c r="J93"/>
      <c r="K93"/>
      <c r="L93"/>
      <c r="M93"/>
      <c r="N93"/>
      <c r="P93"/>
      <c r="Q93"/>
      <c r="R93"/>
      <c r="S93"/>
      <c r="T93"/>
      <c r="U93" s="46"/>
      <c r="V93" s="46"/>
      <c r="X93" s="32"/>
      <c r="Y93" s="32"/>
      <c r="AA93" s="32"/>
      <c r="AC93" s="32"/>
    </row>
    <row r="94" spans="1:29" ht="25.15" customHeight="1" x14ac:dyDescent="0.25">
      <c r="A94" s="17"/>
      <c r="G94"/>
      <c r="H94"/>
      <c r="J94"/>
      <c r="K94"/>
      <c r="L94"/>
      <c r="M94"/>
      <c r="N94"/>
      <c r="P94"/>
      <c r="Q94"/>
      <c r="R94"/>
      <c r="S94"/>
      <c r="T94"/>
      <c r="U94" s="46"/>
      <c r="V94" s="46"/>
      <c r="X94" s="32"/>
      <c r="Y94" s="32"/>
      <c r="AA94" s="32"/>
      <c r="AC94" s="32"/>
    </row>
    <row r="95" spans="1:29" ht="25.15" customHeight="1" x14ac:dyDescent="0.25">
      <c r="A95" s="17"/>
      <c r="G95"/>
      <c r="H95"/>
      <c r="J95"/>
      <c r="K95"/>
      <c r="L95"/>
      <c r="M95"/>
      <c r="N95"/>
      <c r="P95"/>
      <c r="Q95"/>
      <c r="R95"/>
      <c r="S95"/>
      <c r="T95"/>
      <c r="U95" s="46"/>
      <c r="V95" s="46"/>
      <c r="X95" s="32"/>
      <c r="Y95" s="32"/>
      <c r="AA95" s="32"/>
      <c r="AC95" s="32"/>
    </row>
    <row r="96" spans="1:29" ht="25.15" customHeight="1" x14ac:dyDescent="0.25">
      <c r="A96" s="17"/>
      <c r="G96"/>
      <c r="H96"/>
      <c r="J96"/>
      <c r="K96"/>
      <c r="L96"/>
      <c r="M96"/>
      <c r="N96"/>
      <c r="P96"/>
      <c r="Q96"/>
      <c r="R96"/>
      <c r="S96"/>
      <c r="T96"/>
      <c r="U96" s="46"/>
      <c r="V96" s="46"/>
      <c r="X96" s="32"/>
      <c r="Y96" s="32"/>
      <c r="AA96" s="32"/>
      <c r="AC96" s="32"/>
    </row>
    <row r="97" spans="1:29" ht="25.15" customHeight="1" x14ac:dyDescent="0.25">
      <c r="A97" s="17"/>
      <c r="G97"/>
      <c r="H97"/>
      <c r="J97"/>
      <c r="K97"/>
      <c r="L97"/>
      <c r="M97"/>
      <c r="N97"/>
      <c r="P97"/>
      <c r="Q97"/>
      <c r="R97"/>
      <c r="S97"/>
      <c r="T97"/>
      <c r="U97" s="46"/>
      <c r="V97" s="46"/>
      <c r="X97" s="32"/>
      <c r="Y97" s="32"/>
      <c r="AA97" s="32"/>
      <c r="AC97" s="32"/>
    </row>
    <row r="98" spans="1:29" ht="25.15" customHeight="1" x14ac:dyDescent="0.25">
      <c r="A98" s="17"/>
      <c r="G98"/>
      <c r="H98"/>
      <c r="J98"/>
      <c r="K98"/>
      <c r="L98"/>
      <c r="M98"/>
      <c r="N98"/>
      <c r="P98"/>
      <c r="Q98"/>
      <c r="R98"/>
      <c r="S98"/>
      <c r="T98"/>
      <c r="U98" s="46"/>
      <c r="V98" s="46"/>
      <c r="X98" s="32"/>
      <c r="Y98" s="32"/>
      <c r="AA98" s="32"/>
      <c r="AC98" s="32"/>
    </row>
    <row r="99" spans="1:29" ht="25.15" customHeight="1" x14ac:dyDescent="0.25">
      <c r="A99" s="17"/>
      <c r="G99"/>
      <c r="H99"/>
      <c r="J99"/>
      <c r="K99"/>
      <c r="L99"/>
      <c r="M99"/>
      <c r="N99"/>
      <c r="P99"/>
      <c r="Q99"/>
      <c r="R99"/>
      <c r="S99"/>
      <c r="T99"/>
      <c r="U99" s="46"/>
      <c r="V99" s="46"/>
      <c r="X99" s="32"/>
      <c r="Y99" s="32"/>
      <c r="AA99" s="32"/>
      <c r="AC99" s="32"/>
    </row>
    <row r="100" spans="1:29" ht="25.15" customHeight="1" x14ac:dyDescent="0.25">
      <c r="A100" s="17"/>
      <c r="G100"/>
      <c r="H100"/>
      <c r="J100"/>
      <c r="K100"/>
      <c r="L100"/>
      <c r="M100"/>
      <c r="N100"/>
      <c r="P100"/>
      <c r="Q100"/>
      <c r="R100"/>
      <c r="S100"/>
      <c r="T100"/>
      <c r="U100" s="46"/>
      <c r="V100" s="46"/>
      <c r="X100" s="32"/>
      <c r="Y100" s="32"/>
      <c r="AA100" s="32"/>
      <c r="AC100" s="32"/>
    </row>
    <row r="101" spans="1:29" ht="25.15" customHeight="1" x14ac:dyDescent="0.25">
      <c r="A101" s="17"/>
      <c r="G101"/>
      <c r="H101"/>
      <c r="J101"/>
      <c r="K101"/>
      <c r="L101"/>
      <c r="M101"/>
      <c r="N101"/>
      <c r="P101"/>
      <c r="Q101"/>
      <c r="R101"/>
      <c r="S101"/>
      <c r="T101"/>
      <c r="U101" s="46"/>
      <c r="V101" s="46"/>
      <c r="X101" s="32"/>
      <c r="Y101" s="32"/>
      <c r="AA101" s="32"/>
      <c r="AC101" s="32"/>
    </row>
    <row r="102" spans="1:29" ht="25.15" customHeight="1" x14ac:dyDescent="0.25">
      <c r="A102" s="17"/>
      <c r="G102"/>
      <c r="H102"/>
      <c r="J102"/>
      <c r="K102"/>
      <c r="L102"/>
      <c r="M102"/>
      <c r="N102"/>
      <c r="P102"/>
      <c r="Q102"/>
      <c r="R102"/>
      <c r="S102"/>
      <c r="T102"/>
      <c r="U102" s="46"/>
      <c r="V102" s="46"/>
      <c r="X102" s="32"/>
      <c r="Y102" s="32"/>
      <c r="AA102" s="32"/>
      <c r="AC102" s="32"/>
    </row>
    <row r="103" spans="1:29" ht="25.15" customHeight="1" x14ac:dyDescent="0.25">
      <c r="A103" s="17"/>
      <c r="G103"/>
      <c r="H103"/>
      <c r="J103"/>
      <c r="K103"/>
      <c r="L103"/>
      <c r="M103"/>
      <c r="N103"/>
      <c r="P103"/>
      <c r="Q103"/>
      <c r="R103"/>
      <c r="S103"/>
      <c r="T103"/>
      <c r="U103" s="46"/>
      <c r="V103" s="46"/>
      <c r="X103" s="32"/>
      <c r="Y103" s="32"/>
      <c r="AA103" s="32"/>
      <c r="AC103" s="32"/>
    </row>
    <row r="104" spans="1:29" ht="25.15" customHeight="1" x14ac:dyDescent="0.25">
      <c r="A104" s="17"/>
      <c r="G104"/>
      <c r="H104"/>
      <c r="J104"/>
      <c r="K104"/>
      <c r="L104"/>
      <c r="M104"/>
      <c r="N104"/>
      <c r="P104"/>
      <c r="Q104"/>
      <c r="R104"/>
      <c r="S104"/>
      <c r="T104"/>
      <c r="U104" s="46"/>
      <c r="V104" s="46"/>
      <c r="X104" s="32"/>
      <c r="Y104" s="32"/>
      <c r="AA104" s="32"/>
      <c r="AC104" s="32"/>
    </row>
    <row r="105" spans="1:29" ht="25.15" customHeight="1" x14ac:dyDescent="0.25">
      <c r="A105" s="17"/>
      <c r="G105"/>
      <c r="H105"/>
      <c r="J105"/>
      <c r="K105"/>
      <c r="L105"/>
      <c r="M105"/>
      <c r="N105"/>
      <c r="P105"/>
      <c r="Q105"/>
      <c r="R105"/>
      <c r="S105"/>
      <c r="T105"/>
      <c r="U105" s="46"/>
      <c r="V105" s="46"/>
      <c r="X105" s="32"/>
      <c r="Y105" s="32"/>
      <c r="AA105" s="32"/>
      <c r="AC105" s="32"/>
    </row>
    <row r="106" spans="1:29" ht="25.15" customHeight="1" x14ac:dyDescent="0.25">
      <c r="A106" s="17"/>
      <c r="G106"/>
      <c r="H106"/>
      <c r="J106"/>
      <c r="K106"/>
      <c r="L106"/>
      <c r="M106"/>
      <c r="N106"/>
      <c r="P106"/>
      <c r="Q106"/>
      <c r="R106"/>
      <c r="S106"/>
      <c r="T106"/>
      <c r="U106" s="46"/>
      <c r="V106" s="46"/>
      <c r="X106" s="32"/>
      <c r="Y106" s="32"/>
      <c r="AA106" s="32"/>
      <c r="AC106" s="32"/>
    </row>
    <row r="107" spans="1:29" ht="25.15" customHeight="1" x14ac:dyDescent="0.25">
      <c r="A107" s="17"/>
      <c r="G107"/>
      <c r="H107"/>
      <c r="J107"/>
      <c r="K107"/>
      <c r="L107"/>
      <c r="M107"/>
      <c r="N107"/>
      <c r="P107"/>
      <c r="Q107"/>
      <c r="R107"/>
      <c r="S107"/>
      <c r="T107"/>
      <c r="U107" s="46"/>
      <c r="V107" s="46"/>
      <c r="X107" s="32"/>
      <c r="Y107" s="32"/>
      <c r="AA107" s="32"/>
      <c r="AC107" s="32"/>
    </row>
    <row r="108" spans="1:29" ht="25.15" customHeight="1" x14ac:dyDescent="0.25">
      <c r="A108" s="17"/>
      <c r="G108"/>
      <c r="H108"/>
      <c r="J108"/>
      <c r="K108"/>
      <c r="L108"/>
      <c r="M108"/>
      <c r="N108"/>
      <c r="P108"/>
      <c r="Q108"/>
      <c r="R108"/>
      <c r="S108"/>
      <c r="T108"/>
      <c r="U108" s="46"/>
      <c r="V108" s="46"/>
      <c r="X108" s="32"/>
      <c r="Y108" s="32"/>
      <c r="AA108" s="32"/>
      <c r="AC108" s="32"/>
    </row>
    <row r="109" spans="1:29" ht="25.15" customHeight="1" x14ac:dyDescent="0.25">
      <c r="A109" s="17"/>
      <c r="G109"/>
      <c r="H109"/>
      <c r="J109"/>
      <c r="K109"/>
      <c r="L109"/>
      <c r="M109"/>
      <c r="N109"/>
      <c r="P109"/>
      <c r="Q109"/>
      <c r="R109"/>
      <c r="S109"/>
      <c r="T109"/>
      <c r="U109" s="46"/>
      <c r="V109" s="46"/>
      <c r="X109" s="32"/>
      <c r="Y109" s="32"/>
      <c r="AA109" s="32"/>
      <c r="AC109" s="32"/>
    </row>
    <row r="110" spans="1:29" ht="25.15" customHeight="1" x14ac:dyDescent="0.25">
      <c r="A110" s="17"/>
      <c r="G110"/>
      <c r="H110"/>
      <c r="J110"/>
      <c r="K110"/>
      <c r="L110"/>
      <c r="M110"/>
      <c r="N110"/>
      <c r="P110"/>
      <c r="Q110"/>
      <c r="R110"/>
      <c r="S110"/>
      <c r="T110"/>
      <c r="U110" s="46"/>
      <c r="V110" s="46"/>
      <c r="X110" s="32"/>
      <c r="Y110" s="32"/>
      <c r="AA110" s="32"/>
      <c r="AC110" s="32"/>
    </row>
    <row r="111" spans="1:29" ht="25.15" customHeight="1" x14ac:dyDescent="0.25">
      <c r="A111" s="17"/>
      <c r="G111"/>
      <c r="H111"/>
      <c r="J111"/>
      <c r="K111"/>
      <c r="L111"/>
      <c r="M111"/>
      <c r="N111"/>
      <c r="P111"/>
      <c r="Q111"/>
      <c r="R111"/>
      <c r="S111"/>
      <c r="T111"/>
      <c r="U111" s="46"/>
      <c r="V111" s="46"/>
      <c r="X111" s="32"/>
      <c r="Y111" s="32"/>
      <c r="AA111" s="32"/>
      <c r="AC111" s="32"/>
    </row>
    <row r="112" spans="1:29" ht="25.15" customHeight="1" x14ac:dyDescent="0.25">
      <c r="A112" s="17"/>
      <c r="G112"/>
      <c r="H112"/>
      <c r="J112"/>
      <c r="K112"/>
      <c r="L112"/>
      <c r="M112"/>
      <c r="N112"/>
      <c r="P112"/>
      <c r="Q112"/>
      <c r="R112"/>
      <c r="S112"/>
      <c r="T112"/>
      <c r="U112" s="46"/>
      <c r="V112" s="46"/>
      <c r="X112" s="32"/>
      <c r="Y112" s="32"/>
      <c r="AA112" s="32"/>
      <c r="AC112" s="32"/>
    </row>
    <row r="113" spans="1:29" ht="25.15" customHeight="1" x14ac:dyDescent="0.25">
      <c r="A113" s="17"/>
      <c r="G113"/>
      <c r="H113"/>
      <c r="J113"/>
      <c r="K113"/>
      <c r="L113"/>
      <c r="M113"/>
      <c r="N113"/>
      <c r="P113"/>
      <c r="Q113"/>
      <c r="R113"/>
      <c r="S113"/>
      <c r="T113"/>
      <c r="U113" s="46"/>
      <c r="V113" s="46"/>
      <c r="X113" s="32"/>
      <c r="Y113" s="32"/>
      <c r="AA113" s="32"/>
      <c r="AC113" s="32"/>
    </row>
    <row r="114" spans="1:29" ht="25.15" customHeight="1" x14ac:dyDescent="0.25">
      <c r="A114" s="17"/>
      <c r="G114"/>
      <c r="H114"/>
      <c r="J114"/>
      <c r="K114"/>
      <c r="L114"/>
      <c r="M114"/>
      <c r="N114"/>
      <c r="P114"/>
      <c r="Q114"/>
      <c r="R114"/>
      <c r="S114"/>
      <c r="T114"/>
      <c r="U114" s="46"/>
      <c r="V114" s="46"/>
      <c r="X114" s="32"/>
      <c r="Y114" s="32"/>
      <c r="AA114" s="32"/>
      <c r="AC114" s="32"/>
    </row>
    <row r="115" spans="1:29" ht="25.15" customHeight="1" x14ac:dyDescent="0.25">
      <c r="A115" s="17"/>
      <c r="G115"/>
      <c r="H115"/>
      <c r="J115"/>
      <c r="K115"/>
      <c r="L115"/>
      <c r="M115"/>
      <c r="N115"/>
      <c r="P115"/>
      <c r="Q115"/>
      <c r="R115"/>
      <c r="S115"/>
      <c r="T115"/>
      <c r="U115" s="46"/>
      <c r="V115" s="46"/>
      <c r="X115" s="32"/>
      <c r="Y115" s="32"/>
      <c r="AA115" s="32"/>
      <c r="AC115" s="32"/>
    </row>
    <row r="116" spans="1:29" ht="25.15" customHeight="1" x14ac:dyDescent="0.25">
      <c r="A116" s="17"/>
      <c r="G116"/>
      <c r="H116"/>
      <c r="J116"/>
      <c r="K116"/>
      <c r="L116"/>
      <c r="M116"/>
      <c r="N116"/>
      <c r="P116"/>
      <c r="Q116"/>
      <c r="R116"/>
      <c r="S116"/>
      <c r="T116"/>
      <c r="U116" s="46"/>
      <c r="V116" s="46"/>
      <c r="X116" s="32"/>
      <c r="Y116" s="32"/>
      <c r="AA116" s="32"/>
      <c r="AC116" s="32"/>
    </row>
    <row r="117" spans="1:29" ht="25.15" customHeight="1" x14ac:dyDescent="0.25">
      <c r="A117" s="17"/>
      <c r="G117"/>
      <c r="H117"/>
      <c r="J117"/>
      <c r="K117"/>
      <c r="L117"/>
      <c r="M117"/>
      <c r="N117"/>
      <c r="P117"/>
      <c r="Q117"/>
      <c r="R117"/>
      <c r="S117"/>
      <c r="T117"/>
      <c r="U117" s="46"/>
      <c r="V117" s="46"/>
      <c r="X117" s="32"/>
      <c r="Y117" s="32"/>
      <c r="AA117" s="32"/>
      <c r="AC117" s="32"/>
    </row>
    <row r="118" spans="1:29" ht="25.15" customHeight="1" x14ac:dyDescent="0.25">
      <c r="A118" s="17"/>
      <c r="G118"/>
      <c r="H118"/>
      <c r="J118"/>
      <c r="K118"/>
      <c r="L118"/>
      <c r="M118"/>
      <c r="N118"/>
      <c r="P118"/>
      <c r="Q118"/>
      <c r="R118"/>
      <c r="S118"/>
      <c r="T118"/>
      <c r="U118" s="46"/>
      <c r="V118" s="46"/>
      <c r="X118" s="32"/>
      <c r="Y118" s="32"/>
      <c r="AA118" s="32"/>
      <c r="AC118" s="32"/>
    </row>
    <row r="119" spans="1:29" ht="25.15" customHeight="1" x14ac:dyDescent="0.25">
      <c r="A119" s="17"/>
      <c r="G119"/>
      <c r="H119"/>
      <c r="J119"/>
      <c r="K119"/>
      <c r="L119"/>
      <c r="M119"/>
      <c r="N119"/>
      <c r="P119"/>
      <c r="Q119"/>
      <c r="R119"/>
      <c r="S119"/>
      <c r="T119"/>
      <c r="U119" s="46"/>
      <c r="V119" s="46"/>
      <c r="X119" s="32"/>
      <c r="Y119" s="32"/>
      <c r="AA119" s="32"/>
      <c r="AC119" s="32"/>
    </row>
    <row r="120" spans="1:29" ht="25.15" customHeight="1" x14ac:dyDescent="0.25">
      <c r="A120" s="17"/>
      <c r="G120"/>
      <c r="H120"/>
      <c r="J120"/>
      <c r="K120"/>
      <c r="L120"/>
      <c r="M120"/>
      <c r="N120"/>
      <c r="P120"/>
      <c r="Q120"/>
      <c r="R120"/>
      <c r="S120"/>
      <c r="T120"/>
      <c r="U120" s="46"/>
      <c r="V120" s="46"/>
      <c r="X120" s="32"/>
      <c r="Y120" s="32"/>
      <c r="AA120" s="32"/>
      <c r="AC120" s="32"/>
    </row>
    <row r="121" spans="1:29" ht="25.15" customHeight="1" x14ac:dyDescent="0.25">
      <c r="A121" s="17"/>
      <c r="G121"/>
      <c r="H121"/>
      <c r="J121"/>
      <c r="K121"/>
      <c r="L121"/>
      <c r="M121"/>
      <c r="N121"/>
      <c r="P121"/>
      <c r="Q121"/>
      <c r="R121"/>
      <c r="S121"/>
      <c r="T121"/>
      <c r="U121" s="46"/>
      <c r="V121" s="46"/>
      <c r="X121" s="32"/>
      <c r="Y121" s="32"/>
      <c r="AA121" s="32"/>
      <c r="AC121" s="32"/>
    </row>
    <row r="122" spans="1:29" ht="25.15" customHeight="1" x14ac:dyDescent="0.25">
      <c r="A122" s="17"/>
      <c r="G122"/>
      <c r="H122"/>
      <c r="J122"/>
      <c r="K122"/>
      <c r="L122"/>
      <c r="M122"/>
      <c r="N122"/>
      <c r="P122"/>
      <c r="Q122"/>
      <c r="R122"/>
      <c r="S122"/>
      <c r="T122"/>
      <c r="U122" s="46"/>
      <c r="V122" s="46"/>
      <c r="X122" s="32"/>
      <c r="Y122" s="32"/>
      <c r="AA122" s="32"/>
      <c r="AC122" s="32"/>
    </row>
    <row r="123" spans="1:29" ht="25.15" customHeight="1" x14ac:dyDescent="0.25">
      <c r="A123" s="17"/>
      <c r="G123"/>
      <c r="H123"/>
      <c r="J123"/>
      <c r="K123"/>
      <c r="L123"/>
      <c r="M123"/>
      <c r="N123"/>
      <c r="P123"/>
      <c r="Q123"/>
      <c r="R123"/>
      <c r="S123"/>
      <c r="T123"/>
      <c r="U123" s="46"/>
      <c r="V123" s="46"/>
      <c r="X123" s="32"/>
      <c r="Y123" s="32"/>
      <c r="AA123" s="32"/>
      <c r="AC123" s="32"/>
    </row>
    <row r="124" spans="1:29" ht="25.15" customHeight="1" x14ac:dyDescent="0.25">
      <c r="A124" s="17"/>
      <c r="G124"/>
      <c r="H124"/>
      <c r="J124"/>
      <c r="K124"/>
      <c r="L124"/>
      <c r="M124"/>
      <c r="N124"/>
      <c r="P124"/>
      <c r="Q124"/>
      <c r="R124"/>
      <c r="S124"/>
      <c r="T124"/>
      <c r="U124" s="46"/>
      <c r="V124" s="46"/>
      <c r="X124" s="32"/>
      <c r="Y124" s="32"/>
      <c r="AA124" s="32"/>
      <c r="AC124" s="32"/>
    </row>
    <row r="125" spans="1:29" ht="25.15" customHeight="1" x14ac:dyDescent="0.25">
      <c r="A125" s="17"/>
      <c r="G125"/>
      <c r="H125"/>
      <c r="J125"/>
      <c r="K125"/>
      <c r="L125"/>
      <c r="M125"/>
      <c r="N125"/>
      <c r="P125"/>
      <c r="Q125"/>
      <c r="R125"/>
      <c r="S125"/>
      <c r="T125"/>
      <c r="U125" s="46"/>
      <c r="V125" s="46"/>
      <c r="X125" s="32"/>
      <c r="Y125" s="32"/>
      <c r="AA125" s="32"/>
      <c r="AC125" s="32"/>
    </row>
    <row r="126" spans="1:29" ht="25.15" customHeight="1" x14ac:dyDescent="0.25">
      <c r="A126" s="17"/>
      <c r="G126"/>
      <c r="H126"/>
      <c r="J126"/>
      <c r="K126"/>
      <c r="L126"/>
      <c r="M126"/>
      <c r="N126"/>
      <c r="P126"/>
      <c r="Q126"/>
      <c r="R126"/>
      <c r="S126"/>
      <c r="T126"/>
      <c r="U126" s="46"/>
      <c r="V126" s="46"/>
      <c r="X126" s="32"/>
      <c r="Y126" s="32"/>
      <c r="AA126" s="32"/>
      <c r="AC126" s="32"/>
    </row>
    <row r="127" spans="1:29" ht="25.15" customHeight="1" x14ac:dyDescent="0.25">
      <c r="A127" s="17"/>
      <c r="G127"/>
      <c r="H127"/>
      <c r="J127"/>
      <c r="K127"/>
      <c r="L127"/>
      <c r="M127"/>
      <c r="N127"/>
      <c r="P127"/>
      <c r="Q127"/>
      <c r="R127"/>
      <c r="S127"/>
      <c r="T127"/>
      <c r="U127" s="46"/>
      <c r="V127" s="46"/>
      <c r="X127" s="32"/>
      <c r="Y127" s="32"/>
      <c r="AA127" s="32"/>
      <c r="AC127" s="32"/>
    </row>
    <row r="128" spans="1:29" ht="25.15" customHeight="1" x14ac:dyDescent="0.25">
      <c r="A128" s="17"/>
      <c r="G128"/>
      <c r="H128"/>
      <c r="J128"/>
      <c r="K128"/>
      <c r="L128"/>
      <c r="M128"/>
      <c r="N128"/>
      <c r="P128"/>
      <c r="Q128"/>
      <c r="R128"/>
      <c r="S128"/>
      <c r="T128"/>
      <c r="U128" s="46"/>
      <c r="V128" s="46"/>
      <c r="X128" s="32"/>
      <c r="Y128" s="32"/>
      <c r="AA128" s="32"/>
      <c r="AC128" s="32"/>
    </row>
    <row r="129" spans="1:29" ht="25.15" customHeight="1" x14ac:dyDescent="0.25">
      <c r="A129" s="17"/>
      <c r="G129"/>
      <c r="H129"/>
      <c r="J129"/>
      <c r="K129"/>
      <c r="L129"/>
      <c r="M129"/>
      <c r="N129"/>
      <c r="P129"/>
      <c r="Q129"/>
      <c r="R129"/>
      <c r="S129"/>
      <c r="T129"/>
      <c r="U129" s="46"/>
      <c r="V129" s="46"/>
      <c r="X129" s="32"/>
      <c r="Y129" s="32"/>
      <c r="AA129" s="32"/>
      <c r="AC129" s="32"/>
    </row>
    <row r="130" spans="1:29" ht="25.15" customHeight="1" x14ac:dyDescent="0.25">
      <c r="A130" s="17"/>
      <c r="G130"/>
      <c r="H130"/>
      <c r="J130"/>
      <c r="K130"/>
      <c r="L130"/>
      <c r="M130"/>
      <c r="N130"/>
      <c r="P130"/>
      <c r="Q130"/>
      <c r="R130"/>
      <c r="S130"/>
      <c r="T130"/>
      <c r="U130" s="46"/>
      <c r="V130" s="46"/>
      <c r="X130" s="32"/>
      <c r="Y130" s="32"/>
      <c r="AA130" s="32"/>
      <c r="AC130" s="32"/>
    </row>
    <row r="131" spans="1:29" ht="25.15" customHeight="1" x14ac:dyDescent="0.25">
      <c r="A131" s="17"/>
      <c r="G131"/>
      <c r="H131"/>
      <c r="J131"/>
      <c r="K131"/>
      <c r="L131"/>
      <c r="M131"/>
      <c r="N131"/>
      <c r="P131"/>
      <c r="Q131"/>
      <c r="R131"/>
      <c r="S131"/>
      <c r="T131"/>
      <c r="U131" s="46"/>
      <c r="V131" s="46"/>
      <c r="X131" s="32"/>
      <c r="Y131" s="32"/>
      <c r="AA131" s="32"/>
      <c r="AC131" s="32"/>
    </row>
    <row r="132" spans="1:29" ht="25.15" customHeight="1" x14ac:dyDescent="0.25">
      <c r="A132" s="17"/>
      <c r="G132"/>
      <c r="H132"/>
      <c r="J132"/>
      <c r="K132"/>
      <c r="L132"/>
      <c r="M132"/>
      <c r="N132"/>
      <c r="P132"/>
      <c r="Q132"/>
      <c r="R132"/>
      <c r="S132"/>
      <c r="T132"/>
      <c r="U132" s="46"/>
      <c r="V132" s="46"/>
      <c r="X132" s="32"/>
      <c r="Y132" s="32"/>
      <c r="AA132" s="32"/>
      <c r="AC132" s="32"/>
    </row>
    <row r="133" spans="1:29" ht="25.15" customHeight="1" x14ac:dyDescent="0.25">
      <c r="A133" s="17"/>
      <c r="G133"/>
      <c r="H133"/>
      <c r="J133"/>
      <c r="K133"/>
      <c r="L133"/>
      <c r="M133"/>
      <c r="N133"/>
      <c r="P133"/>
      <c r="Q133"/>
      <c r="R133"/>
      <c r="S133"/>
      <c r="T133"/>
      <c r="U133" s="46"/>
      <c r="V133" s="46"/>
      <c r="X133" s="32"/>
      <c r="Y133" s="32"/>
      <c r="AA133" s="32"/>
      <c r="AC133" s="32"/>
    </row>
    <row r="134" spans="1:29" ht="25.15" customHeight="1" x14ac:dyDescent="0.25">
      <c r="A134" s="17"/>
      <c r="G134"/>
      <c r="H134"/>
      <c r="J134"/>
      <c r="K134"/>
      <c r="L134"/>
      <c r="M134"/>
      <c r="N134"/>
      <c r="P134"/>
      <c r="Q134"/>
      <c r="R134"/>
      <c r="S134"/>
      <c r="T134"/>
      <c r="U134" s="46"/>
      <c r="V134" s="46"/>
      <c r="X134" s="32"/>
      <c r="Y134" s="32"/>
      <c r="AA134" s="32"/>
      <c r="AC134" s="32"/>
    </row>
    <row r="135" spans="1:29" ht="25.15" customHeight="1" x14ac:dyDescent="0.25">
      <c r="A135" s="17"/>
      <c r="G135"/>
      <c r="H135"/>
      <c r="J135"/>
      <c r="K135"/>
      <c r="L135"/>
      <c r="M135"/>
      <c r="N135"/>
      <c r="P135"/>
      <c r="Q135"/>
      <c r="R135"/>
      <c r="S135"/>
      <c r="T135"/>
      <c r="U135" s="46"/>
      <c r="V135" s="46"/>
      <c r="X135" s="32"/>
      <c r="Y135" s="32"/>
      <c r="AA135" s="32"/>
      <c r="AC135" s="32"/>
    </row>
    <row r="136" spans="1:29" ht="25.15" customHeight="1" x14ac:dyDescent="0.25">
      <c r="A136" s="17"/>
      <c r="G136"/>
      <c r="H136"/>
      <c r="J136"/>
      <c r="K136"/>
      <c r="L136"/>
      <c r="M136"/>
      <c r="N136"/>
      <c r="P136"/>
      <c r="Q136"/>
      <c r="R136"/>
      <c r="S136"/>
      <c r="T136"/>
      <c r="U136" s="46"/>
      <c r="V136" s="46"/>
      <c r="X136" s="32"/>
      <c r="Y136" s="32"/>
      <c r="AA136" s="32"/>
      <c r="AC136" s="32"/>
    </row>
    <row r="137" spans="1:29" ht="25.15" customHeight="1" x14ac:dyDescent="0.25">
      <c r="A137" s="17"/>
      <c r="G137"/>
      <c r="H137"/>
      <c r="J137"/>
      <c r="K137"/>
      <c r="L137"/>
      <c r="M137"/>
      <c r="N137"/>
      <c r="P137"/>
      <c r="Q137"/>
      <c r="R137"/>
      <c r="S137"/>
      <c r="T137"/>
      <c r="U137" s="46"/>
      <c r="V137" s="46"/>
      <c r="X137" s="32"/>
      <c r="Y137" s="32"/>
      <c r="AA137" s="32"/>
      <c r="AC137" s="32"/>
    </row>
    <row r="138" spans="1:29" ht="25.15" customHeight="1" x14ac:dyDescent="0.25">
      <c r="A138" s="17"/>
      <c r="G138"/>
      <c r="H138"/>
      <c r="J138"/>
      <c r="K138"/>
      <c r="L138"/>
      <c r="M138"/>
      <c r="N138"/>
      <c r="P138"/>
      <c r="Q138"/>
      <c r="R138"/>
      <c r="S138"/>
      <c r="T138"/>
      <c r="U138" s="46"/>
      <c r="V138" s="46"/>
    </row>
    <row r="139" spans="1:29" ht="25.15" customHeight="1" x14ac:dyDescent="0.25">
      <c r="A139" s="17"/>
      <c r="G139"/>
      <c r="H139"/>
      <c r="J139"/>
      <c r="K139"/>
      <c r="L139"/>
      <c r="M139"/>
      <c r="N139"/>
      <c r="P139"/>
      <c r="Q139"/>
      <c r="R139"/>
      <c r="S139"/>
      <c r="T139"/>
      <c r="U139" s="46"/>
      <c r="V139" s="46"/>
    </row>
    <row r="140" spans="1:29" ht="25.15" customHeight="1" x14ac:dyDescent="0.25">
      <c r="A140" s="17"/>
      <c r="G140"/>
      <c r="H140"/>
      <c r="J140"/>
      <c r="K140"/>
      <c r="L140"/>
      <c r="M140"/>
      <c r="N140"/>
      <c r="P140"/>
      <c r="Q140"/>
      <c r="R140"/>
      <c r="S140"/>
      <c r="T140"/>
      <c r="U140" s="46"/>
      <c r="V140" s="46"/>
    </row>
    <row r="141" spans="1:29" ht="25.15" customHeight="1" x14ac:dyDescent="0.25">
      <c r="A141" s="17"/>
      <c r="G141"/>
      <c r="H141"/>
      <c r="J141"/>
      <c r="K141"/>
      <c r="L141"/>
      <c r="M141"/>
      <c r="N141"/>
      <c r="P141"/>
      <c r="Q141"/>
      <c r="R141"/>
      <c r="S141"/>
      <c r="T141"/>
      <c r="U141" s="46"/>
      <c r="V141" s="46"/>
    </row>
    <row r="142" spans="1:29" ht="25.15" customHeight="1" x14ac:dyDescent="0.25">
      <c r="A142" s="17"/>
      <c r="G142"/>
      <c r="H142"/>
      <c r="J142"/>
      <c r="K142"/>
      <c r="L142"/>
      <c r="M142"/>
      <c r="N142"/>
      <c r="P142"/>
      <c r="Q142"/>
      <c r="R142"/>
      <c r="S142"/>
      <c r="T142"/>
      <c r="U142" s="46"/>
      <c r="V142" s="46"/>
    </row>
    <row r="143" spans="1:29" ht="25.15" customHeight="1" x14ac:dyDescent="0.25">
      <c r="A143" s="17"/>
      <c r="G143"/>
      <c r="H143"/>
      <c r="J143"/>
      <c r="K143"/>
      <c r="L143"/>
      <c r="M143"/>
      <c r="N143"/>
      <c r="P143"/>
      <c r="Q143"/>
      <c r="R143"/>
      <c r="S143"/>
      <c r="T143"/>
      <c r="U143" s="46"/>
      <c r="V143" s="46"/>
    </row>
    <row r="144" spans="1:29" ht="25.15" customHeight="1" x14ac:dyDescent="0.25">
      <c r="A144" s="17"/>
      <c r="G144"/>
      <c r="H144"/>
      <c r="J144"/>
      <c r="K144"/>
      <c r="L144"/>
      <c r="M144"/>
      <c r="N144"/>
      <c r="P144"/>
      <c r="Q144"/>
      <c r="R144"/>
      <c r="S144"/>
      <c r="T144"/>
      <c r="U144" s="46"/>
      <c r="V144" s="46"/>
    </row>
    <row r="145" spans="1:22" ht="25.15" customHeight="1" x14ac:dyDescent="0.25">
      <c r="A145" s="17"/>
      <c r="G145"/>
      <c r="H145"/>
      <c r="J145"/>
      <c r="K145"/>
      <c r="L145"/>
      <c r="M145"/>
      <c r="N145"/>
      <c r="P145"/>
      <c r="Q145"/>
      <c r="R145"/>
      <c r="S145"/>
      <c r="T145"/>
      <c r="U145" s="46"/>
      <c r="V145" s="46"/>
    </row>
    <row r="146" spans="1:22" ht="25.15" customHeight="1" x14ac:dyDescent="0.25">
      <c r="A146" s="17"/>
      <c r="G146"/>
      <c r="H146"/>
      <c r="J146"/>
      <c r="K146"/>
      <c r="L146"/>
      <c r="M146"/>
      <c r="N146"/>
      <c r="P146"/>
      <c r="Q146"/>
      <c r="R146"/>
      <c r="S146"/>
      <c r="T146"/>
      <c r="U146" s="46"/>
      <c r="V146" s="46"/>
    </row>
    <row r="147" spans="1:22" ht="25.15" customHeight="1" x14ac:dyDescent="0.25">
      <c r="A147" s="17"/>
      <c r="G147"/>
      <c r="H147"/>
      <c r="J147"/>
      <c r="K147"/>
      <c r="L147"/>
      <c r="M147"/>
      <c r="N147"/>
      <c r="P147"/>
      <c r="Q147"/>
      <c r="R147"/>
      <c r="S147"/>
      <c r="T147"/>
      <c r="U147" s="46"/>
      <c r="V147" s="46"/>
    </row>
    <row r="148" spans="1:22" ht="25.15" customHeight="1" x14ac:dyDescent="0.25">
      <c r="A148" s="17"/>
      <c r="G148"/>
      <c r="H148"/>
      <c r="J148"/>
      <c r="K148"/>
      <c r="L148"/>
      <c r="M148"/>
      <c r="N148"/>
      <c r="P148"/>
      <c r="Q148"/>
      <c r="R148"/>
      <c r="S148"/>
      <c r="T148"/>
      <c r="U148" s="46"/>
      <c r="V148" s="46"/>
    </row>
    <row r="149" spans="1:22" ht="25.15" customHeight="1" x14ac:dyDescent="0.25">
      <c r="A149" s="17"/>
      <c r="G149"/>
      <c r="H149"/>
      <c r="J149"/>
      <c r="K149"/>
      <c r="L149"/>
      <c r="M149"/>
      <c r="N149"/>
      <c r="P149"/>
      <c r="Q149"/>
      <c r="R149"/>
      <c r="S149"/>
      <c r="T149"/>
      <c r="U149" s="46"/>
      <c r="V149" s="46"/>
    </row>
    <row r="150" spans="1:22" ht="25.15" customHeight="1" x14ac:dyDescent="0.25">
      <c r="A150" s="17"/>
      <c r="G150"/>
      <c r="H150"/>
      <c r="J150"/>
      <c r="K150"/>
      <c r="L150"/>
      <c r="M150"/>
      <c r="N150"/>
      <c r="P150"/>
      <c r="Q150"/>
      <c r="R150"/>
      <c r="S150"/>
      <c r="T150"/>
      <c r="U150" s="46"/>
      <c r="V150" s="46"/>
    </row>
    <row r="151" spans="1:22" ht="25.15" customHeight="1" x14ac:dyDescent="0.25">
      <c r="A151" s="17"/>
      <c r="G151"/>
      <c r="H151"/>
      <c r="J151"/>
      <c r="K151"/>
      <c r="L151"/>
      <c r="M151"/>
      <c r="N151"/>
      <c r="P151"/>
      <c r="Q151"/>
      <c r="R151"/>
      <c r="S151"/>
      <c r="T151"/>
      <c r="U151" s="46"/>
      <c r="V151" s="46"/>
    </row>
    <row r="152" spans="1:22" ht="25.15" customHeight="1" x14ac:dyDescent="0.25">
      <c r="A152" s="17"/>
      <c r="G152"/>
      <c r="H152"/>
      <c r="J152"/>
      <c r="K152"/>
      <c r="L152"/>
      <c r="M152"/>
      <c r="N152"/>
      <c r="P152"/>
      <c r="Q152"/>
      <c r="R152"/>
      <c r="S152"/>
      <c r="T152"/>
      <c r="U152" s="46"/>
      <c r="V152" s="46"/>
    </row>
    <row r="153" spans="1:22" ht="25.15" customHeight="1" x14ac:dyDescent="0.25">
      <c r="A153" s="17"/>
      <c r="G153"/>
      <c r="H153"/>
      <c r="J153"/>
      <c r="K153"/>
      <c r="L153"/>
      <c r="M153"/>
      <c r="N153"/>
      <c r="P153"/>
      <c r="Q153"/>
      <c r="R153"/>
      <c r="S153"/>
      <c r="T153"/>
      <c r="U153" s="46"/>
      <c r="V153" s="46"/>
    </row>
    <row r="154" spans="1:22" ht="25.15" customHeight="1" x14ac:dyDescent="0.25">
      <c r="A154" s="17"/>
      <c r="G154"/>
      <c r="H154"/>
      <c r="J154"/>
      <c r="K154"/>
      <c r="L154"/>
      <c r="M154"/>
      <c r="N154"/>
      <c r="P154"/>
      <c r="Q154"/>
      <c r="R154"/>
      <c r="S154"/>
      <c r="T154"/>
      <c r="U154" s="46"/>
      <c r="V154" s="46"/>
    </row>
    <row r="155" spans="1:22" ht="25.15" customHeight="1" x14ac:dyDescent="0.25">
      <c r="A155" s="17"/>
      <c r="G155"/>
      <c r="H155"/>
      <c r="J155"/>
      <c r="K155"/>
      <c r="L155"/>
      <c r="M155"/>
      <c r="N155"/>
      <c r="P155"/>
      <c r="Q155"/>
      <c r="R155"/>
      <c r="S155"/>
      <c r="T155"/>
      <c r="U155" s="46"/>
      <c r="V155" s="46"/>
    </row>
    <row r="156" spans="1:22" ht="25.15" customHeight="1" x14ac:dyDescent="0.25">
      <c r="A156" s="17"/>
      <c r="G156"/>
      <c r="H156"/>
      <c r="J156"/>
      <c r="K156"/>
      <c r="L156"/>
      <c r="M156"/>
      <c r="N156"/>
      <c r="P156"/>
      <c r="Q156"/>
      <c r="R156"/>
      <c r="S156"/>
      <c r="T156"/>
      <c r="U156" s="46"/>
      <c r="V156" s="46"/>
    </row>
    <row r="157" spans="1:22" ht="25.15" customHeight="1" x14ac:dyDescent="0.25">
      <c r="A157" s="17"/>
      <c r="G157"/>
      <c r="H157"/>
      <c r="J157"/>
      <c r="K157"/>
      <c r="L157"/>
      <c r="M157"/>
      <c r="N157"/>
      <c r="P157"/>
      <c r="Q157"/>
      <c r="R157"/>
      <c r="S157"/>
      <c r="T157"/>
      <c r="U157" s="46"/>
      <c r="V157" s="46"/>
    </row>
    <row r="158" spans="1:22" ht="25.15" customHeight="1" x14ac:dyDescent="0.25">
      <c r="A158" s="17"/>
      <c r="G158"/>
      <c r="H158"/>
      <c r="J158"/>
      <c r="K158"/>
      <c r="L158"/>
      <c r="M158"/>
      <c r="N158"/>
      <c r="P158"/>
      <c r="Q158"/>
      <c r="R158"/>
      <c r="S158"/>
      <c r="T158"/>
      <c r="U158" s="46"/>
      <c r="V158" s="46"/>
    </row>
    <row r="159" spans="1:22" ht="25.15" customHeight="1" x14ac:dyDescent="0.25">
      <c r="A159" s="17"/>
      <c r="G159"/>
      <c r="H159"/>
      <c r="J159"/>
      <c r="K159"/>
      <c r="L159"/>
      <c r="M159"/>
      <c r="N159"/>
      <c r="P159"/>
      <c r="Q159"/>
      <c r="R159"/>
      <c r="S159"/>
      <c r="T159"/>
      <c r="U159" s="46"/>
      <c r="V159" s="46"/>
    </row>
    <row r="160" spans="1:22" ht="25.15" customHeight="1" x14ac:dyDescent="0.25">
      <c r="A160" s="17"/>
      <c r="G160"/>
      <c r="H160"/>
      <c r="J160"/>
      <c r="K160"/>
      <c r="L160"/>
      <c r="M160"/>
      <c r="N160"/>
      <c r="P160"/>
      <c r="Q160"/>
      <c r="R160"/>
      <c r="S160"/>
      <c r="T160"/>
      <c r="U160" s="46"/>
      <c r="V160" s="46"/>
    </row>
    <row r="161" spans="1:22" ht="25.15" customHeight="1" x14ac:dyDescent="0.25">
      <c r="A161" s="17"/>
      <c r="G161"/>
      <c r="H161"/>
      <c r="J161"/>
      <c r="K161"/>
      <c r="L161"/>
      <c r="M161"/>
      <c r="N161"/>
      <c r="P161"/>
      <c r="Q161"/>
      <c r="R161"/>
      <c r="S161"/>
      <c r="T161"/>
      <c r="U161" s="46"/>
      <c r="V161" s="46"/>
    </row>
    <row r="162" spans="1:22" ht="25.15" customHeight="1" x14ac:dyDescent="0.25">
      <c r="A162" s="17"/>
      <c r="G162"/>
      <c r="H162"/>
      <c r="J162"/>
      <c r="K162"/>
      <c r="L162"/>
      <c r="M162"/>
      <c r="N162"/>
      <c r="P162"/>
      <c r="Q162"/>
      <c r="R162"/>
      <c r="S162"/>
      <c r="T162"/>
      <c r="U162" s="46"/>
      <c r="V162" s="46"/>
    </row>
    <row r="163" spans="1:22" ht="25.15" customHeight="1" x14ac:dyDescent="0.25">
      <c r="A163" s="17"/>
      <c r="G163"/>
      <c r="H163"/>
      <c r="J163"/>
      <c r="K163"/>
      <c r="L163"/>
      <c r="M163"/>
      <c r="N163"/>
      <c r="P163"/>
      <c r="Q163"/>
      <c r="R163"/>
      <c r="S163"/>
      <c r="T163"/>
      <c r="U163" s="46"/>
      <c r="V163" s="46"/>
    </row>
    <row r="164" spans="1:22" ht="25.15" customHeight="1" x14ac:dyDescent="0.25">
      <c r="A164" s="17"/>
      <c r="G164"/>
      <c r="H164"/>
      <c r="J164"/>
      <c r="K164"/>
      <c r="L164"/>
      <c r="M164"/>
      <c r="N164"/>
      <c r="P164"/>
      <c r="Q164"/>
      <c r="R164"/>
      <c r="S164"/>
      <c r="T164"/>
      <c r="U164" s="46"/>
      <c r="V164" s="46"/>
    </row>
    <row r="165" spans="1:22" ht="25.15" customHeight="1" x14ac:dyDescent="0.25">
      <c r="A165" s="17"/>
      <c r="G165"/>
      <c r="H165"/>
      <c r="J165"/>
      <c r="K165"/>
      <c r="L165"/>
      <c r="M165"/>
      <c r="N165"/>
      <c r="P165"/>
      <c r="Q165"/>
      <c r="R165"/>
      <c r="S165"/>
      <c r="T165"/>
      <c r="U165" s="46"/>
      <c r="V165" s="46"/>
    </row>
    <row r="166" spans="1:22" ht="25.15" customHeight="1" x14ac:dyDescent="0.25">
      <c r="A166" s="17"/>
      <c r="G166"/>
      <c r="H166"/>
      <c r="J166"/>
      <c r="K166"/>
      <c r="L166"/>
      <c r="M166"/>
      <c r="N166"/>
      <c r="P166"/>
      <c r="Q166"/>
      <c r="R166"/>
      <c r="S166"/>
      <c r="T166"/>
      <c r="U166" s="46"/>
      <c r="V166" s="46"/>
    </row>
    <row r="167" spans="1:22" ht="25.15" customHeight="1" x14ac:dyDescent="0.25">
      <c r="A167" s="17"/>
      <c r="G167"/>
      <c r="H167"/>
      <c r="J167"/>
      <c r="K167"/>
      <c r="L167"/>
      <c r="M167"/>
      <c r="N167"/>
      <c r="P167"/>
      <c r="Q167"/>
      <c r="R167"/>
      <c r="S167"/>
      <c r="T167"/>
      <c r="U167" s="46"/>
      <c r="V167" s="46"/>
    </row>
    <row r="168" spans="1:22" ht="25.15" customHeight="1" x14ac:dyDescent="0.25">
      <c r="A168" s="17"/>
      <c r="G168"/>
      <c r="H168"/>
      <c r="J168"/>
      <c r="K168"/>
      <c r="L168"/>
      <c r="M168"/>
      <c r="N168"/>
      <c r="P168"/>
      <c r="Q168"/>
      <c r="R168"/>
      <c r="S168"/>
      <c r="T168"/>
      <c r="U168" s="46"/>
      <c r="V168" s="46"/>
    </row>
    <row r="169" spans="1:22" ht="25.15" customHeight="1" x14ac:dyDescent="0.25">
      <c r="A169" s="17"/>
      <c r="G169"/>
      <c r="H169"/>
      <c r="J169"/>
      <c r="K169"/>
      <c r="L169"/>
      <c r="M169"/>
      <c r="N169"/>
      <c r="P169"/>
      <c r="Q169"/>
      <c r="R169"/>
      <c r="S169"/>
      <c r="T169"/>
      <c r="U169" s="46"/>
      <c r="V169" s="46"/>
    </row>
    <row r="170" spans="1:22" ht="25.15" customHeight="1" x14ac:dyDescent="0.25">
      <c r="A170" s="17"/>
      <c r="G170"/>
      <c r="H170"/>
      <c r="J170"/>
      <c r="K170"/>
      <c r="L170"/>
      <c r="M170"/>
      <c r="N170"/>
      <c r="P170"/>
      <c r="Q170"/>
      <c r="R170"/>
      <c r="S170"/>
      <c r="T170"/>
      <c r="U170" s="46"/>
      <c r="V170" s="46"/>
    </row>
    <row r="171" spans="1:22" ht="25.15" customHeight="1" x14ac:dyDescent="0.25">
      <c r="A171" s="17"/>
      <c r="G171"/>
      <c r="H171"/>
      <c r="J171"/>
      <c r="K171"/>
      <c r="L171"/>
      <c r="M171"/>
      <c r="N171"/>
      <c r="P171"/>
      <c r="Q171"/>
      <c r="R171"/>
      <c r="S171"/>
      <c r="T171"/>
      <c r="U171" s="46"/>
      <c r="V171" s="46"/>
    </row>
    <row r="172" spans="1:22" ht="25.15" customHeight="1" x14ac:dyDescent="0.25">
      <c r="A172" s="17"/>
      <c r="G172"/>
      <c r="H172"/>
      <c r="J172"/>
      <c r="K172"/>
      <c r="L172"/>
      <c r="M172"/>
      <c r="N172"/>
      <c r="P172"/>
      <c r="Q172"/>
      <c r="R172"/>
      <c r="S172"/>
      <c r="T172"/>
      <c r="U172" s="46"/>
      <c r="V172" s="46"/>
    </row>
    <row r="173" spans="1:22" ht="25.15" customHeight="1" x14ac:dyDescent="0.25">
      <c r="A173" s="17"/>
      <c r="G173"/>
      <c r="H173"/>
      <c r="J173"/>
      <c r="K173"/>
      <c r="L173"/>
      <c r="M173"/>
      <c r="N173"/>
      <c r="P173"/>
      <c r="Q173"/>
      <c r="R173"/>
      <c r="S173"/>
      <c r="T173"/>
      <c r="U173" s="46"/>
      <c r="V173" s="46"/>
    </row>
    <row r="174" spans="1:22" ht="25.15" customHeight="1" x14ac:dyDescent="0.25">
      <c r="A174" s="17"/>
      <c r="G174"/>
      <c r="H174"/>
      <c r="J174"/>
      <c r="K174"/>
      <c r="L174"/>
      <c r="M174"/>
      <c r="N174"/>
      <c r="P174"/>
      <c r="Q174"/>
      <c r="R174"/>
      <c r="S174"/>
      <c r="T174"/>
      <c r="U174" s="46"/>
      <c r="V174" s="46"/>
    </row>
    <row r="175" spans="1:22" ht="25.15" customHeight="1" x14ac:dyDescent="0.25">
      <c r="A175" s="17"/>
      <c r="G175"/>
      <c r="H175"/>
      <c r="J175"/>
      <c r="K175"/>
      <c r="L175"/>
      <c r="M175"/>
      <c r="N175"/>
      <c r="P175"/>
      <c r="Q175"/>
      <c r="R175"/>
      <c r="S175"/>
      <c r="T175"/>
      <c r="U175" s="46"/>
      <c r="V175" s="46"/>
    </row>
    <row r="176" spans="1:22" ht="25.15" customHeight="1" x14ac:dyDescent="0.25">
      <c r="A176" s="17"/>
      <c r="G176"/>
      <c r="H176"/>
      <c r="J176"/>
      <c r="K176"/>
      <c r="L176"/>
      <c r="M176"/>
      <c r="N176"/>
      <c r="P176"/>
      <c r="Q176"/>
      <c r="R176"/>
      <c r="S176"/>
      <c r="T176"/>
      <c r="U176" s="46"/>
      <c r="V176" s="46"/>
    </row>
    <row r="177" spans="1:22" ht="25.15" customHeight="1" x14ac:dyDescent="0.25">
      <c r="A177" s="17"/>
      <c r="G177"/>
      <c r="H177"/>
      <c r="J177"/>
      <c r="K177"/>
      <c r="L177"/>
      <c r="M177"/>
      <c r="N177"/>
      <c r="P177"/>
      <c r="Q177"/>
      <c r="R177"/>
      <c r="S177"/>
      <c r="T177"/>
      <c r="U177" s="46"/>
      <c r="V177" s="46"/>
    </row>
    <row r="178" spans="1:22" ht="25.15" customHeight="1" x14ac:dyDescent="0.25">
      <c r="A178" s="17"/>
      <c r="G178"/>
      <c r="H178"/>
      <c r="J178"/>
      <c r="K178"/>
      <c r="L178"/>
      <c r="M178"/>
      <c r="N178"/>
      <c r="P178"/>
      <c r="Q178"/>
      <c r="R178"/>
      <c r="S178"/>
      <c r="T178"/>
      <c r="U178" s="46"/>
      <c r="V178" s="46"/>
    </row>
    <row r="179" spans="1:22" ht="25.15" customHeight="1" x14ac:dyDescent="0.25">
      <c r="A179" s="17"/>
      <c r="G179"/>
      <c r="H179"/>
      <c r="J179"/>
      <c r="K179"/>
      <c r="L179"/>
      <c r="M179"/>
      <c r="N179"/>
      <c r="P179"/>
      <c r="Q179"/>
      <c r="R179"/>
      <c r="S179"/>
      <c r="T179"/>
      <c r="U179" s="46"/>
      <c r="V179" s="46"/>
    </row>
    <row r="180" spans="1:22" ht="25.15" customHeight="1" x14ac:dyDescent="0.25">
      <c r="A180" s="17"/>
      <c r="G180"/>
      <c r="H180"/>
      <c r="J180"/>
      <c r="K180"/>
      <c r="L180"/>
      <c r="M180"/>
      <c r="N180"/>
      <c r="P180"/>
      <c r="Q180"/>
      <c r="R180"/>
      <c r="S180"/>
      <c r="T180"/>
      <c r="U180" s="46"/>
      <c r="V180" s="46"/>
    </row>
    <row r="181" spans="1:22" ht="25.15" customHeight="1" x14ac:dyDescent="0.25">
      <c r="A181" s="17"/>
      <c r="G181"/>
      <c r="H181"/>
      <c r="J181"/>
      <c r="K181"/>
      <c r="L181"/>
      <c r="M181"/>
      <c r="N181"/>
      <c r="P181"/>
      <c r="Q181"/>
      <c r="R181"/>
      <c r="S181"/>
      <c r="T181"/>
      <c r="U181" s="46"/>
      <c r="V181" s="46"/>
    </row>
    <row r="182" spans="1:22" ht="25.15" customHeight="1" x14ac:dyDescent="0.25">
      <c r="A182" s="17"/>
      <c r="G182"/>
      <c r="H182"/>
      <c r="J182"/>
      <c r="K182"/>
      <c r="L182"/>
      <c r="M182"/>
      <c r="N182"/>
      <c r="P182"/>
      <c r="Q182"/>
      <c r="R182"/>
      <c r="S182"/>
      <c r="T182"/>
      <c r="U182" s="46"/>
      <c r="V182" s="46"/>
    </row>
    <row r="183" spans="1:22" ht="25.15" customHeight="1" x14ac:dyDescent="0.25">
      <c r="A183" s="17"/>
      <c r="G183"/>
      <c r="H183"/>
      <c r="J183"/>
      <c r="K183"/>
      <c r="L183"/>
      <c r="M183"/>
      <c r="N183"/>
      <c r="P183"/>
      <c r="Q183"/>
      <c r="R183"/>
      <c r="S183"/>
      <c r="T183"/>
      <c r="U183" s="46"/>
      <c r="V183" s="46"/>
    </row>
    <row r="184" spans="1:22" ht="25.15" customHeight="1" x14ac:dyDescent="0.25">
      <c r="A184" s="17"/>
      <c r="G184"/>
      <c r="H184"/>
      <c r="J184"/>
      <c r="K184"/>
      <c r="L184"/>
      <c r="M184"/>
      <c r="N184"/>
      <c r="P184"/>
      <c r="Q184"/>
      <c r="R184"/>
      <c r="S184"/>
      <c r="T184"/>
      <c r="U184" s="46"/>
      <c r="V184" s="46"/>
    </row>
    <row r="185" spans="1:22" ht="25.15" customHeight="1" x14ac:dyDescent="0.25">
      <c r="A185" s="17"/>
      <c r="G185"/>
      <c r="H185"/>
      <c r="J185"/>
      <c r="K185"/>
      <c r="L185"/>
      <c r="M185"/>
      <c r="N185"/>
      <c r="P185"/>
      <c r="Q185"/>
      <c r="R185"/>
      <c r="S185"/>
      <c r="T185"/>
      <c r="U185" s="46"/>
      <c r="V185" s="46"/>
    </row>
    <row r="186" spans="1:22" ht="25.15" customHeight="1" x14ac:dyDescent="0.25">
      <c r="A186" s="17"/>
      <c r="G186"/>
      <c r="H186"/>
      <c r="J186"/>
      <c r="K186"/>
      <c r="L186"/>
      <c r="M186"/>
      <c r="N186"/>
      <c r="P186"/>
      <c r="Q186"/>
      <c r="R186"/>
      <c r="S186"/>
      <c r="T186"/>
      <c r="U186" s="46"/>
      <c r="V186" s="46"/>
    </row>
    <row r="187" spans="1:22" ht="25.15" customHeight="1" x14ac:dyDescent="0.25">
      <c r="A187" s="17"/>
      <c r="G187"/>
      <c r="H187"/>
      <c r="J187"/>
      <c r="K187"/>
      <c r="L187"/>
      <c r="M187"/>
      <c r="N187"/>
      <c r="P187"/>
      <c r="Q187"/>
      <c r="R187"/>
      <c r="S187"/>
      <c r="T187"/>
      <c r="U187" s="46"/>
      <c r="V187" s="46"/>
    </row>
    <row r="188" spans="1:22" ht="25.15" customHeight="1" x14ac:dyDescent="0.25">
      <c r="A188" s="17"/>
      <c r="G188"/>
      <c r="H188"/>
      <c r="J188"/>
      <c r="K188"/>
      <c r="L188"/>
      <c r="M188"/>
      <c r="N188"/>
      <c r="P188"/>
      <c r="Q188"/>
      <c r="R188"/>
      <c r="S188"/>
      <c r="T188"/>
      <c r="U188" s="46"/>
      <c r="V188" s="46"/>
    </row>
    <row r="189" spans="1:22" ht="25.15" customHeight="1" x14ac:dyDescent="0.25">
      <c r="A189" s="17"/>
      <c r="G189"/>
      <c r="H189"/>
      <c r="J189"/>
      <c r="K189"/>
      <c r="L189"/>
      <c r="M189"/>
      <c r="N189"/>
      <c r="P189"/>
      <c r="Q189"/>
      <c r="R189"/>
      <c r="S189"/>
      <c r="T189"/>
      <c r="U189" s="46"/>
      <c r="V189" s="46"/>
    </row>
    <row r="190" spans="1:22" ht="25.15" customHeight="1" x14ac:dyDescent="0.25">
      <c r="A190" s="17"/>
      <c r="G190"/>
      <c r="H190"/>
      <c r="J190"/>
      <c r="K190"/>
      <c r="L190"/>
      <c r="M190"/>
      <c r="N190"/>
      <c r="P190"/>
      <c r="Q190"/>
      <c r="R190"/>
      <c r="S190"/>
      <c r="T190"/>
      <c r="U190" s="46"/>
      <c r="V190" s="46"/>
    </row>
    <row r="191" spans="1:22" ht="25.15" customHeight="1" x14ac:dyDescent="0.25">
      <c r="A191" s="17"/>
      <c r="G191"/>
      <c r="H191"/>
      <c r="J191"/>
      <c r="K191"/>
      <c r="L191"/>
      <c r="M191"/>
      <c r="N191"/>
      <c r="P191"/>
      <c r="Q191"/>
      <c r="R191"/>
      <c r="S191"/>
      <c r="T191"/>
      <c r="U191" s="46"/>
      <c r="V191" s="46"/>
    </row>
    <row r="192" spans="1:22" ht="25.15" customHeight="1" x14ac:dyDescent="0.25">
      <c r="A192" s="17"/>
      <c r="G192"/>
      <c r="H192"/>
      <c r="J192"/>
      <c r="K192"/>
      <c r="L192"/>
      <c r="M192"/>
      <c r="N192"/>
      <c r="P192"/>
      <c r="Q192"/>
      <c r="R192"/>
      <c r="S192"/>
      <c r="T192"/>
      <c r="U192" s="46"/>
      <c r="V192" s="46"/>
    </row>
    <row r="193" spans="1:22" ht="25.15" customHeight="1" x14ac:dyDescent="0.25">
      <c r="A193" s="17"/>
      <c r="G193"/>
      <c r="H193"/>
      <c r="J193"/>
      <c r="K193"/>
      <c r="L193"/>
      <c r="M193"/>
      <c r="N193"/>
      <c r="P193"/>
      <c r="Q193"/>
      <c r="R193"/>
      <c r="S193"/>
      <c r="T193"/>
      <c r="U193" s="46"/>
      <c r="V193" s="46"/>
    </row>
    <row r="194" spans="1:22" ht="25.15" customHeight="1" x14ac:dyDescent="0.25">
      <c r="A194" s="17"/>
      <c r="G194"/>
      <c r="H194"/>
      <c r="J194"/>
      <c r="K194"/>
      <c r="L194"/>
      <c r="M194"/>
      <c r="N194"/>
      <c r="P194"/>
      <c r="Q194"/>
      <c r="R194"/>
      <c r="S194"/>
      <c r="T194"/>
      <c r="U194" s="46"/>
      <c r="V194" s="46"/>
    </row>
    <row r="195" spans="1:22" ht="25.15" customHeight="1" x14ac:dyDescent="0.25">
      <c r="A195" s="17"/>
      <c r="G195"/>
      <c r="H195"/>
      <c r="J195"/>
      <c r="K195"/>
      <c r="L195"/>
      <c r="M195"/>
      <c r="N195"/>
      <c r="P195"/>
      <c r="Q195"/>
      <c r="R195"/>
      <c r="S195"/>
      <c r="T195"/>
      <c r="U195" s="46"/>
      <c r="V195" s="46"/>
    </row>
    <row r="196" spans="1:22" ht="25.15" customHeight="1" x14ac:dyDescent="0.25">
      <c r="A196" s="17"/>
      <c r="G196"/>
      <c r="H196"/>
      <c r="J196"/>
      <c r="K196"/>
      <c r="L196"/>
      <c r="M196"/>
      <c r="N196"/>
      <c r="P196"/>
      <c r="Q196"/>
      <c r="R196"/>
      <c r="S196"/>
      <c r="T196"/>
      <c r="U196" s="46"/>
      <c r="V196" s="46"/>
    </row>
    <row r="197" spans="1:22" ht="25.15" customHeight="1" x14ac:dyDescent="0.25">
      <c r="A197" s="17"/>
      <c r="G197"/>
      <c r="H197"/>
      <c r="J197"/>
      <c r="K197"/>
      <c r="L197"/>
      <c r="M197"/>
      <c r="N197"/>
      <c r="P197"/>
      <c r="Q197"/>
      <c r="R197"/>
      <c r="S197"/>
      <c r="T197"/>
      <c r="U197" s="46"/>
      <c r="V197" s="46"/>
    </row>
    <row r="198" spans="1:22" ht="25.15" customHeight="1" x14ac:dyDescent="0.25">
      <c r="A198" s="17"/>
      <c r="G198"/>
      <c r="H198"/>
      <c r="J198"/>
      <c r="K198"/>
      <c r="L198"/>
      <c r="M198"/>
      <c r="N198"/>
      <c r="P198"/>
      <c r="Q198"/>
      <c r="R198"/>
      <c r="S198"/>
      <c r="T198"/>
      <c r="U198" s="46"/>
      <c r="V198" s="46"/>
    </row>
    <row r="199" spans="1:22" ht="25.15" customHeight="1" x14ac:dyDescent="0.25">
      <c r="A199" s="17"/>
      <c r="G199"/>
      <c r="H199"/>
      <c r="J199"/>
      <c r="K199"/>
      <c r="L199"/>
      <c r="M199"/>
      <c r="N199"/>
      <c r="P199"/>
      <c r="Q199"/>
      <c r="R199"/>
      <c r="S199"/>
      <c r="T199"/>
      <c r="U199" s="46"/>
      <c r="V199" s="46"/>
    </row>
    <row r="200" spans="1:22" ht="25.15" customHeight="1" x14ac:dyDescent="0.25">
      <c r="A200" s="17"/>
      <c r="G200"/>
      <c r="H200"/>
      <c r="J200"/>
      <c r="K200"/>
      <c r="L200"/>
      <c r="M200"/>
      <c r="N200"/>
      <c r="P200"/>
      <c r="Q200"/>
      <c r="R200"/>
      <c r="S200"/>
      <c r="T200"/>
      <c r="U200" s="46"/>
      <c r="V200" s="46"/>
    </row>
    <row r="201" spans="1:22" ht="25.15" customHeight="1" x14ac:dyDescent="0.25">
      <c r="A201" s="17"/>
      <c r="G201"/>
      <c r="H201"/>
      <c r="J201"/>
      <c r="K201"/>
      <c r="L201"/>
      <c r="M201"/>
      <c r="N201"/>
      <c r="P201"/>
      <c r="Q201"/>
      <c r="R201"/>
      <c r="S201"/>
      <c r="T201"/>
      <c r="U201" s="46"/>
      <c r="V201" s="46"/>
    </row>
    <row r="202" spans="1:22" ht="25.15" customHeight="1" x14ac:dyDescent="0.25">
      <c r="A202" s="17"/>
      <c r="G202"/>
      <c r="H202"/>
      <c r="J202"/>
      <c r="K202"/>
      <c r="L202"/>
      <c r="M202"/>
      <c r="N202"/>
      <c r="P202"/>
      <c r="Q202"/>
      <c r="R202"/>
      <c r="S202"/>
      <c r="T202"/>
      <c r="U202" s="46"/>
      <c r="V202" s="46"/>
    </row>
    <row r="203" spans="1:22" ht="25.15" customHeight="1" x14ac:dyDescent="0.25">
      <c r="A203" s="17"/>
      <c r="G203"/>
      <c r="H203"/>
      <c r="J203"/>
      <c r="K203"/>
      <c r="L203"/>
      <c r="M203"/>
      <c r="N203"/>
      <c r="P203"/>
      <c r="Q203"/>
      <c r="R203"/>
      <c r="S203"/>
      <c r="T203"/>
      <c r="U203" s="46"/>
      <c r="V203" s="46"/>
    </row>
    <row r="204" spans="1:22" ht="25.15" customHeight="1" x14ac:dyDescent="0.25">
      <c r="A204" s="17"/>
      <c r="G204"/>
      <c r="H204"/>
      <c r="J204"/>
      <c r="K204"/>
      <c r="L204"/>
      <c r="M204"/>
      <c r="N204"/>
      <c r="P204"/>
      <c r="Q204"/>
      <c r="R204"/>
      <c r="S204"/>
      <c r="T204"/>
      <c r="U204" s="46"/>
      <c r="V204" s="46"/>
    </row>
    <row r="205" spans="1:22" ht="25.15" customHeight="1" x14ac:dyDescent="0.25">
      <c r="A205" s="17"/>
      <c r="G205"/>
      <c r="H205"/>
      <c r="J205"/>
      <c r="K205"/>
      <c r="L205"/>
      <c r="M205"/>
      <c r="N205"/>
      <c r="P205"/>
      <c r="Q205"/>
      <c r="R205"/>
      <c r="S205"/>
      <c r="T205"/>
      <c r="U205" s="46"/>
      <c r="V205" s="46"/>
    </row>
    <row r="206" spans="1:22" ht="25.15" customHeight="1" x14ac:dyDescent="0.25">
      <c r="A206" s="17"/>
      <c r="G206"/>
      <c r="H206"/>
      <c r="J206"/>
      <c r="K206"/>
      <c r="L206"/>
      <c r="M206"/>
      <c r="N206"/>
      <c r="P206"/>
      <c r="Q206"/>
      <c r="R206"/>
      <c r="S206"/>
      <c r="T206"/>
      <c r="U206" s="46"/>
      <c r="V206" s="46"/>
    </row>
    <row r="207" spans="1:22" ht="25.15" customHeight="1" x14ac:dyDescent="0.25">
      <c r="A207" s="17"/>
      <c r="G207"/>
      <c r="H207"/>
      <c r="J207"/>
      <c r="K207"/>
      <c r="L207"/>
      <c r="M207"/>
      <c r="N207"/>
      <c r="P207"/>
      <c r="Q207"/>
      <c r="R207"/>
      <c r="S207"/>
      <c r="T207"/>
      <c r="U207" s="46"/>
      <c r="V207" s="46"/>
    </row>
    <row r="208" spans="1:22" ht="25.15" customHeight="1" x14ac:dyDescent="0.25">
      <c r="A208" s="17"/>
      <c r="G208"/>
      <c r="H208"/>
      <c r="J208"/>
      <c r="K208"/>
      <c r="L208"/>
      <c r="M208"/>
      <c r="N208"/>
      <c r="P208"/>
      <c r="Q208"/>
      <c r="R208"/>
      <c r="S208"/>
      <c r="T208"/>
      <c r="U208" s="46"/>
      <c r="V208" s="46"/>
    </row>
    <row r="209" spans="1:22" ht="25.15" customHeight="1" x14ac:dyDescent="0.25">
      <c r="A209" s="17"/>
      <c r="G209"/>
      <c r="H209"/>
      <c r="J209"/>
      <c r="K209"/>
      <c r="L209"/>
      <c r="M209"/>
      <c r="N209"/>
      <c r="P209"/>
      <c r="Q209"/>
      <c r="R209"/>
      <c r="S209"/>
      <c r="T209"/>
      <c r="U209" s="46"/>
      <c r="V209" s="46"/>
    </row>
    <row r="210" spans="1:22" ht="25.15" customHeight="1" x14ac:dyDescent="0.25">
      <c r="A210" s="17"/>
      <c r="G210"/>
      <c r="H210"/>
      <c r="J210"/>
      <c r="K210"/>
      <c r="L210"/>
      <c r="M210"/>
      <c r="N210"/>
      <c r="P210"/>
      <c r="Q210"/>
      <c r="R210"/>
      <c r="S210"/>
      <c r="T210"/>
      <c r="U210" s="46"/>
      <c r="V210" s="46"/>
    </row>
    <row r="211" spans="1:22" ht="25.15" customHeight="1" x14ac:dyDescent="0.25">
      <c r="A211" s="17"/>
      <c r="G211"/>
      <c r="H211"/>
      <c r="J211"/>
      <c r="K211"/>
      <c r="L211"/>
      <c r="M211"/>
      <c r="N211"/>
      <c r="P211"/>
      <c r="Q211"/>
      <c r="R211"/>
      <c r="S211"/>
      <c r="T211"/>
      <c r="U211" s="46"/>
      <c r="V211" s="46"/>
    </row>
    <row r="212" spans="1:22" ht="25.15" customHeight="1" x14ac:dyDescent="0.25">
      <c r="A212" s="17"/>
      <c r="G212"/>
      <c r="H212"/>
      <c r="J212"/>
      <c r="K212"/>
      <c r="L212"/>
      <c r="M212"/>
      <c r="N212"/>
      <c r="P212"/>
      <c r="Q212"/>
      <c r="R212"/>
      <c r="S212"/>
      <c r="T212"/>
      <c r="U212" s="46"/>
      <c r="V212" s="46"/>
    </row>
    <row r="213" spans="1:22" ht="25.15" customHeight="1" x14ac:dyDescent="0.25">
      <c r="A213" s="17"/>
      <c r="G213"/>
      <c r="H213"/>
      <c r="J213"/>
      <c r="K213"/>
      <c r="L213"/>
      <c r="M213"/>
      <c r="N213"/>
      <c r="P213"/>
      <c r="Q213"/>
      <c r="R213"/>
      <c r="S213"/>
      <c r="T213"/>
      <c r="U213" s="46"/>
      <c r="V213" s="46"/>
    </row>
    <row r="214" spans="1:22" ht="25.15" customHeight="1" x14ac:dyDescent="0.25">
      <c r="A214" s="17"/>
      <c r="G214"/>
      <c r="H214"/>
      <c r="J214"/>
      <c r="K214"/>
      <c r="L214"/>
      <c r="M214"/>
      <c r="N214"/>
      <c r="P214"/>
      <c r="Q214"/>
      <c r="R214"/>
      <c r="S214"/>
      <c r="T214"/>
      <c r="U214" s="46"/>
      <c r="V214" s="46"/>
    </row>
    <row r="215" spans="1:22" ht="25.15" customHeight="1" x14ac:dyDescent="0.25">
      <c r="A215" s="17"/>
      <c r="G215"/>
      <c r="H215"/>
      <c r="J215"/>
      <c r="K215"/>
      <c r="L215"/>
      <c r="M215"/>
      <c r="N215"/>
      <c r="P215"/>
      <c r="Q215"/>
      <c r="R215"/>
      <c r="S215"/>
      <c r="T215"/>
      <c r="U215" s="46"/>
      <c r="V215" s="46"/>
    </row>
    <row r="216" spans="1:22" ht="25.15" customHeight="1" x14ac:dyDescent="0.25">
      <c r="A216" s="17"/>
      <c r="G216"/>
      <c r="H216"/>
      <c r="J216"/>
      <c r="K216"/>
      <c r="L216"/>
      <c r="M216"/>
      <c r="N216"/>
      <c r="P216"/>
      <c r="Q216"/>
      <c r="R216"/>
      <c r="S216"/>
      <c r="T216"/>
      <c r="U216" s="46"/>
      <c r="V216" s="46"/>
    </row>
    <row r="217" spans="1:22" ht="25.15" customHeight="1" x14ac:dyDescent="0.25">
      <c r="A217" s="17"/>
      <c r="G217"/>
      <c r="H217"/>
      <c r="J217"/>
      <c r="K217"/>
      <c r="L217"/>
      <c r="M217"/>
      <c r="N217"/>
      <c r="P217"/>
      <c r="Q217"/>
      <c r="R217"/>
      <c r="S217"/>
      <c r="T217"/>
      <c r="U217" s="46"/>
      <c r="V217" s="46"/>
    </row>
    <row r="218" spans="1:22" ht="25.15" customHeight="1" x14ac:dyDescent="0.25">
      <c r="A218" s="17"/>
      <c r="G218"/>
      <c r="H218"/>
      <c r="J218"/>
      <c r="K218"/>
      <c r="L218"/>
      <c r="M218"/>
      <c r="N218"/>
      <c r="P218"/>
      <c r="Q218"/>
      <c r="R218"/>
      <c r="S218"/>
      <c r="T218"/>
      <c r="U218" s="46"/>
      <c r="V218" s="46"/>
    </row>
    <row r="219" spans="1:22" ht="25.15" customHeight="1" x14ac:dyDescent="0.25">
      <c r="A219" s="17"/>
      <c r="G219"/>
      <c r="H219"/>
      <c r="J219"/>
      <c r="K219"/>
      <c r="L219"/>
      <c r="M219"/>
      <c r="N219"/>
      <c r="P219"/>
      <c r="Q219"/>
      <c r="R219"/>
      <c r="S219"/>
      <c r="T219"/>
      <c r="U219" s="46"/>
      <c r="V219" s="46"/>
    </row>
    <row r="220" spans="1:22" ht="25.15" customHeight="1" x14ac:dyDescent="0.25">
      <c r="A220" s="17"/>
      <c r="G220"/>
      <c r="H220"/>
      <c r="J220"/>
      <c r="K220"/>
      <c r="L220"/>
      <c r="M220"/>
      <c r="N220"/>
      <c r="P220"/>
      <c r="Q220"/>
      <c r="R220"/>
      <c r="S220"/>
      <c r="T220"/>
      <c r="U220" s="46"/>
      <c r="V220" s="46"/>
    </row>
    <row r="221" spans="1:22" ht="25.15" customHeight="1" x14ac:dyDescent="0.25">
      <c r="A221" s="17"/>
      <c r="G221"/>
      <c r="H221"/>
      <c r="J221"/>
      <c r="K221"/>
      <c r="L221"/>
      <c r="M221"/>
      <c r="N221"/>
      <c r="P221"/>
      <c r="Q221"/>
      <c r="R221"/>
      <c r="S221"/>
      <c r="T221"/>
      <c r="U221" s="46"/>
      <c r="V221" s="46"/>
    </row>
    <row r="222" spans="1:22" ht="25.15" customHeight="1" x14ac:dyDescent="0.25">
      <c r="A222" s="17"/>
      <c r="G222"/>
      <c r="H222"/>
      <c r="J222"/>
      <c r="K222"/>
      <c r="L222"/>
      <c r="M222"/>
      <c r="N222"/>
      <c r="P222"/>
      <c r="Q222"/>
      <c r="R222"/>
      <c r="S222"/>
      <c r="T222"/>
      <c r="U222" s="46"/>
      <c r="V222" s="46"/>
    </row>
    <row r="223" spans="1:22" ht="25.15" customHeight="1" x14ac:dyDescent="0.25">
      <c r="A223" s="17"/>
      <c r="G223"/>
      <c r="H223"/>
      <c r="J223"/>
      <c r="K223"/>
      <c r="L223"/>
      <c r="M223"/>
      <c r="N223"/>
      <c r="P223"/>
      <c r="Q223"/>
      <c r="R223"/>
      <c r="S223"/>
      <c r="T223"/>
      <c r="U223" s="46"/>
      <c r="V223" s="46"/>
    </row>
    <row r="224" spans="1:22" ht="25.15" customHeight="1" x14ac:dyDescent="0.25">
      <c r="A224" s="17"/>
      <c r="G224"/>
      <c r="H224"/>
      <c r="J224"/>
      <c r="K224"/>
      <c r="L224"/>
      <c r="M224"/>
      <c r="N224"/>
      <c r="P224"/>
      <c r="Q224"/>
      <c r="R224"/>
      <c r="S224"/>
      <c r="T224"/>
      <c r="U224" s="46"/>
      <c r="V224" s="46"/>
    </row>
    <row r="225" spans="1:22" ht="25.15" customHeight="1" x14ac:dyDescent="0.25">
      <c r="A225" s="17"/>
      <c r="G225"/>
      <c r="H225"/>
      <c r="J225"/>
      <c r="K225"/>
      <c r="L225"/>
      <c r="M225"/>
      <c r="N225"/>
      <c r="P225"/>
      <c r="Q225"/>
      <c r="R225"/>
      <c r="S225"/>
      <c r="T225"/>
      <c r="U225" s="46"/>
      <c r="V225" s="46"/>
    </row>
    <row r="226" spans="1:22" ht="25.15" customHeight="1" x14ac:dyDescent="0.25">
      <c r="A226" s="17"/>
      <c r="G226"/>
      <c r="H226"/>
      <c r="J226"/>
      <c r="K226"/>
      <c r="L226"/>
      <c r="M226"/>
      <c r="N226"/>
      <c r="P226"/>
      <c r="Q226"/>
      <c r="R226"/>
      <c r="S226"/>
      <c r="T226"/>
      <c r="U226" s="46"/>
      <c r="V226" s="46"/>
    </row>
    <row r="227" spans="1:22" ht="25.15" customHeight="1" x14ac:dyDescent="0.25">
      <c r="A227" s="17"/>
      <c r="G227"/>
      <c r="H227"/>
      <c r="J227"/>
      <c r="K227"/>
      <c r="L227"/>
      <c r="M227"/>
      <c r="N227"/>
      <c r="P227"/>
      <c r="Q227"/>
      <c r="R227"/>
      <c r="S227"/>
      <c r="T227"/>
      <c r="U227" s="46"/>
      <c r="V227" s="46"/>
    </row>
    <row r="228" spans="1:22" ht="25.15" customHeight="1" x14ac:dyDescent="0.25">
      <c r="A228" s="17"/>
      <c r="G228"/>
      <c r="H228"/>
      <c r="J228"/>
      <c r="K228"/>
      <c r="L228"/>
      <c r="M228"/>
      <c r="N228"/>
      <c r="P228"/>
      <c r="Q228"/>
      <c r="R228"/>
      <c r="S228"/>
      <c r="T228"/>
      <c r="U228" s="46"/>
      <c r="V228" s="46"/>
    </row>
    <row r="229" spans="1:22" ht="25.15" customHeight="1" x14ac:dyDescent="0.25">
      <c r="A229" s="17"/>
      <c r="G229"/>
      <c r="H229"/>
      <c r="J229"/>
      <c r="K229"/>
      <c r="L229"/>
      <c r="M229"/>
      <c r="N229"/>
      <c r="P229"/>
      <c r="Q229"/>
      <c r="R229"/>
      <c r="S229"/>
      <c r="T229"/>
      <c r="U229" s="46"/>
      <c r="V229" s="46"/>
    </row>
    <row r="230" spans="1:22" ht="25.15" customHeight="1" x14ac:dyDescent="0.25">
      <c r="A230" s="17"/>
      <c r="G230"/>
      <c r="H230"/>
      <c r="J230"/>
      <c r="K230"/>
      <c r="L230"/>
      <c r="M230"/>
      <c r="N230"/>
      <c r="P230"/>
      <c r="Q230"/>
      <c r="R230"/>
      <c r="S230"/>
      <c r="T230"/>
      <c r="U230" s="46"/>
      <c r="V230" s="46"/>
    </row>
    <row r="231" spans="1:22" ht="25.15" customHeight="1" x14ac:dyDescent="0.25">
      <c r="A231" s="17"/>
      <c r="G231"/>
      <c r="H231"/>
      <c r="J231"/>
      <c r="K231"/>
      <c r="L231"/>
      <c r="M231"/>
      <c r="N231"/>
      <c r="P231"/>
      <c r="Q231"/>
      <c r="R231"/>
      <c r="S231"/>
      <c r="T231"/>
      <c r="U231" s="46"/>
      <c r="V231" s="46"/>
    </row>
    <row r="232" spans="1:22" ht="25.15" customHeight="1" x14ac:dyDescent="0.25">
      <c r="A232" s="17"/>
      <c r="G232"/>
      <c r="H232"/>
      <c r="J232"/>
      <c r="K232"/>
      <c r="L232"/>
      <c r="M232"/>
      <c r="N232"/>
      <c r="P232"/>
      <c r="Q232"/>
      <c r="R232"/>
      <c r="S232"/>
      <c r="T232"/>
      <c r="U232" s="46"/>
      <c r="V232" s="46"/>
    </row>
    <row r="233" spans="1:22" ht="25.15" customHeight="1" x14ac:dyDescent="0.25">
      <c r="A233" s="17"/>
      <c r="G233"/>
      <c r="H233"/>
      <c r="J233"/>
      <c r="K233"/>
      <c r="L233"/>
      <c r="M233"/>
      <c r="N233"/>
      <c r="P233"/>
      <c r="Q233"/>
      <c r="R233"/>
      <c r="S233"/>
      <c r="T233"/>
      <c r="U233" s="46"/>
      <c r="V233" s="46"/>
    </row>
    <row r="234" spans="1:22" ht="25.15" customHeight="1" x14ac:dyDescent="0.25">
      <c r="A234" s="17"/>
      <c r="G234"/>
      <c r="H234"/>
      <c r="J234"/>
      <c r="K234"/>
      <c r="L234"/>
      <c r="M234"/>
      <c r="N234"/>
      <c r="P234"/>
      <c r="Q234"/>
      <c r="R234"/>
      <c r="S234"/>
      <c r="T234"/>
      <c r="U234" s="46"/>
      <c r="V234" s="46"/>
    </row>
    <row r="235" spans="1:22" ht="25.15" customHeight="1" x14ac:dyDescent="0.25">
      <c r="A235" s="17"/>
      <c r="G235"/>
      <c r="H235"/>
      <c r="J235"/>
      <c r="K235"/>
      <c r="L235"/>
      <c r="M235"/>
      <c r="N235"/>
      <c r="P235"/>
      <c r="Q235"/>
      <c r="R235"/>
      <c r="S235"/>
      <c r="T235"/>
      <c r="U235" s="46"/>
      <c r="V235" s="46"/>
    </row>
    <row r="236" spans="1:22" ht="25.15" customHeight="1" x14ac:dyDescent="0.25">
      <c r="A236" s="17"/>
      <c r="G236"/>
      <c r="H236"/>
      <c r="J236"/>
      <c r="K236"/>
      <c r="L236"/>
      <c r="M236"/>
      <c r="N236"/>
      <c r="P236"/>
      <c r="Q236"/>
      <c r="R236"/>
      <c r="S236"/>
      <c r="T236"/>
      <c r="U236" s="46"/>
      <c r="V236" s="46"/>
    </row>
    <row r="237" spans="1:22" ht="25.15" customHeight="1" x14ac:dyDescent="0.25">
      <c r="A237" s="17"/>
      <c r="G237"/>
      <c r="H237"/>
      <c r="J237"/>
      <c r="K237"/>
      <c r="L237"/>
      <c r="M237"/>
      <c r="N237"/>
      <c r="P237"/>
      <c r="Q237"/>
      <c r="R237"/>
      <c r="S237"/>
      <c r="T237"/>
      <c r="U237" s="46"/>
      <c r="V237" s="46"/>
    </row>
    <row r="238" spans="1:22" ht="25.15" customHeight="1" x14ac:dyDescent="0.25">
      <c r="A238" s="17"/>
      <c r="G238"/>
      <c r="H238"/>
      <c r="J238"/>
      <c r="K238"/>
      <c r="L238"/>
      <c r="M238"/>
      <c r="N238"/>
      <c r="P238"/>
      <c r="Q238"/>
      <c r="R238"/>
      <c r="S238"/>
      <c r="T238"/>
      <c r="U238" s="46"/>
      <c r="V238" s="46"/>
    </row>
    <row r="239" spans="1:22" ht="25.15" customHeight="1" x14ac:dyDescent="0.25">
      <c r="A239" s="17"/>
      <c r="G239"/>
      <c r="H239"/>
      <c r="J239"/>
      <c r="K239"/>
      <c r="L239"/>
      <c r="M239"/>
      <c r="N239"/>
      <c r="P239"/>
      <c r="Q239"/>
      <c r="R239"/>
      <c r="S239"/>
      <c r="T239"/>
      <c r="U239" s="46"/>
      <c r="V239" s="46"/>
    </row>
    <row r="240" spans="1:22" ht="25.15" customHeight="1" x14ac:dyDescent="0.25">
      <c r="A240" s="17"/>
      <c r="G240"/>
      <c r="H240"/>
      <c r="J240"/>
      <c r="K240"/>
      <c r="L240"/>
      <c r="M240"/>
      <c r="N240"/>
      <c r="P240"/>
      <c r="Q240"/>
      <c r="R240"/>
      <c r="S240"/>
      <c r="T240"/>
      <c r="U240" s="46"/>
      <c r="V240" s="46"/>
    </row>
    <row r="241" spans="1:22" ht="25.15" customHeight="1" x14ac:dyDescent="0.25">
      <c r="A241" s="17"/>
      <c r="G241"/>
      <c r="H241"/>
      <c r="J241"/>
      <c r="K241"/>
      <c r="L241"/>
      <c r="M241"/>
      <c r="N241"/>
      <c r="P241"/>
      <c r="Q241"/>
      <c r="R241"/>
      <c r="S241"/>
      <c r="T241"/>
      <c r="U241" s="46"/>
      <c r="V241" s="46"/>
    </row>
    <row r="242" spans="1:22" ht="25.15" customHeight="1" x14ac:dyDescent="0.25">
      <c r="A242" s="17"/>
      <c r="G242"/>
      <c r="H242"/>
      <c r="J242"/>
      <c r="K242"/>
      <c r="L242"/>
      <c r="M242"/>
      <c r="N242"/>
      <c r="P242"/>
      <c r="Q242"/>
      <c r="R242"/>
      <c r="S242"/>
      <c r="T242"/>
      <c r="U242" s="46"/>
      <c r="V242" s="46"/>
    </row>
    <row r="243" spans="1:22" ht="25.15" customHeight="1" x14ac:dyDescent="0.25">
      <c r="A243" s="17"/>
      <c r="G243"/>
      <c r="H243"/>
      <c r="J243"/>
      <c r="K243"/>
      <c r="L243"/>
      <c r="M243"/>
      <c r="N243"/>
      <c r="P243"/>
      <c r="Q243"/>
      <c r="R243"/>
      <c r="S243"/>
      <c r="T243"/>
      <c r="U243" s="46"/>
      <c r="V243" s="46"/>
    </row>
    <row r="244" spans="1:22" ht="25.15" customHeight="1" x14ac:dyDescent="0.25">
      <c r="A244" s="17"/>
      <c r="G244"/>
      <c r="H244"/>
      <c r="J244"/>
      <c r="K244"/>
      <c r="L244"/>
      <c r="M244"/>
      <c r="N244"/>
      <c r="P244"/>
      <c r="Q244"/>
      <c r="R244"/>
      <c r="S244"/>
      <c r="T244"/>
      <c r="U244" s="46"/>
      <c r="V244" s="46"/>
    </row>
    <row r="245" spans="1:22" ht="25.15" customHeight="1" x14ac:dyDescent="0.25">
      <c r="A245" s="17"/>
      <c r="G245"/>
      <c r="H245"/>
      <c r="J245"/>
      <c r="K245"/>
      <c r="L245"/>
      <c r="M245"/>
      <c r="N245"/>
      <c r="P245"/>
      <c r="Q245"/>
      <c r="R245"/>
      <c r="S245"/>
      <c r="T245"/>
      <c r="U245" s="46"/>
      <c r="V245" s="46"/>
    </row>
    <row r="246" spans="1:22" ht="25.15" customHeight="1" x14ac:dyDescent="0.25">
      <c r="A246" s="17"/>
      <c r="G246"/>
      <c r="H246"/>
      <c r="J246"/>
      <c r="K246"/>
      <c r="L246"/>
      <c r="M246"/>
      <c r="N246"/>
      <c r="P246"/>
      <c r="Q246"/>
      <c r="R246"/>
      <c r="S246"/>
      <c r="T246"/>
      <c r="U246" s="46"/>
      <c r="V246" s="46"/>
    </row>
    <row r="247" spans="1:22" ht="25.15" customHeight="1" x14ac:dyDescent="0.25">
      <c r="A247" s="17"/>
      <c r="G247"/>
      <c r="H247"/>
      <c r="J247"/>
      <c r="K247"/>
      <c r="L247"/>
      <c r="M247"/>
      <c r="N247"/>
      <c r="P247"/>
      <c r="Q247"/>
      <c r="R247"/>
      <c r="S247"/>
      <c r="T247"/>
      <c r="U247" s="46"/>
      <c r="V247" s="46"/>
    </row>
    <row r="248" spans="1:22" ht="25.15" customHeight="1" x14ac:dyDescent="0.25">
      <c r="A248" s="17"/>
      <c r="G248"/>
      <c r="H248"/>
      <c r="J248"/>
      <c r="K248"/>
      <c r="L248"/>
      <c r="M248"/>
      <c r="N248"/>
      <c r="P248"/>
      <c r="Q248"/>
      <c r="R248"/>
      <c r="S248"/>
      <c r="T248"/>
      <c r="U248" s="46"/>
      <c r="V248" s="46"/>
    </row>
    <row r="249" spans="1:22" ht="25.15" customHeight="1" x14ac:dyDescent="0.25">
      <c r="A249" s="17"/>
      <c r="G249"/>
      <c r="H249"/>
      <c r="J249"/>
      <c r="K249"/>
      <c r="L249"/>
      <c r="M249"/>
      <c r="N249"/>
      <c r="P249"/>
      <c r="Q249"/>
      <c r="R249"/>
      <c r="S249"/>
      <c r="T249"/>
      <c r="U249" s="46"/>
      <c r="V249" s="46"/>
    </row>
    <row r="250" spans="1:22" ht="25.15" customHeight="1" x14ac:dyDescent="0.25">
      <c r="A250" s="17"/>
      <c r="G250"/>
      <c r="H250"/>
      <c r="J250"/>
      <c r="K250"/>
      <c r="L250"/>
      <c r="M250"/>
      <c r="N250"/>
      <c r="P250"/>
      <c r="Q250"/>
      <c r="R250"/>
      <c r="S250"/>
      <c r="T250"/>
      <c r="U250" s="46"/>
      <c r="V250" s="46"/>
    </row>
    <row r="251" spans="1:22" ht="25.15" customHeight="1" x14ac:dyDescent="0.25">
      <c r="A251" s="17"/>
      <c r="G251"/>
      <c r="H251"/>
      <c r="J251"/>
      <c r="K251"/>
      <c r="L251"/>
      <c r="M251"/>
      <c r="N251"/>
      <c r="P251"/>
      <c r="Q251"/>
      <c r="R251"/>
      <c r="S251"/>
      <c r="T251"/>
      <c r="U251" s="46"/>
      <c r="V251" s="46"/>
    </row>
    <row r="252" spans="1:22" ht="25.15" customHeight="1" x14ac:dyDescent="0.25">
      <c r="A252" s="17"/>
      <c r="G252"/>
      <c r="H252"/>
      <c r="J252"/>
      <c r="K252"/>
      <c r="L252"/>
      <c r="M252"/>
      <c r="N252"/>
      <c r="P252"/>
      <c r="Q252"/>
      <c r="R252"/>
      <c r="S252"/>
      <c r="T252"/>
      <c r="U252" s="46"/>
      <c r="V252" s="46"/>
    </row>
    <row r="253" spans="1:22" ht="25.15" customHeight="1" x14ac:dyDescent="0.25">
      <c r="A253" s="17"/>
      <c r="G253"/>
      <c r="H253"/>
      <c r="J253"/>
      <c r="K253"/>
      <c r="L253"/>
      <c r="M253"/>
      <c r="N253"/>
      <c r="P253"/>
      <c r="Q253"/>
      <c r="R253"/>
      <c r="S253"/>
      <c r="T253"/>
      <c r="U253" s="46"/>
      <c r="V253" s="46"/>
    </row>
    <row r="254" spans="1:22" ht="25.15" customHeight="1" x14ac:dyDescent="0.25">
      <c r="A254" s="17"/>
      <c r="G254"/>
      <c r="H254"/>
      <c r="J254"/>
      <c r="K254"/>
      <c r="L254"/>
      <c r="M254"/>
      <c r="N254"/>
      <c r="P254"/>
      <c r="Q254"/>
      <c r="R254"/>
      <c r="S254"/>
      <c r="T254"/>
      <c r="U254" s="46"/>
      <c r="V254" s="46"/>
    </row>
    <row r="255" spans="1:22" ht="25.15" customHeight="1" x14ac:dyDescent="0.25">
      <c r="A255" s="17"/>
      <c r="G255"/>
      <c r="H255"/>
      <c r="J255"/>
      <c r="K255"/>
      <c r="L255"/>
      <c r="M255"/>
      <c r="N255"/>
      <c r="P255"/>
      <c r="Q255"/>
      <c r="R255"/>
      <c r="S255"/>
      <c r="T255"/>
      <c r="U255" s="46"/>
      <c r="V255" s="46"/>
    </row>
    <row r="256" spans="1:22" ht="25.15" customHeight="1" x14ac:dyDescent="0.25">
      <c r="A256" s="17"/>
      <c r="G256"/>
      <c r="H256"/>
      <c r="J256"/>
      <c r="K256"/>
      <c r="L256"/>
      <c r="M256"/>
      <c r="N256"/>
      <c r="P256"/>
      <c r="Q256"/>
      <c r="R256"/>
      <c r="S256"/>
      <c r="T256"/>
      <c r="U256" s="46"/>
      <c r="V256" s="46"/>
    </row>
    <row r="257" spans="1:22" ht="25.15" customHeight="1" x14ac:dyDescent="0.25">
      <c r="A257" s="17"/>
      <c r="G257"/>
      <c r="H257"/>
      <c r="J257"/>
      <c r="K257"/>
      <c r="L257"/>
      <c r="M257"/>
      <c r="N257"/>
      <c r="P257"/>
      <c r="Q257"/>
      <c r="R257"/>
      <c r="S257"/>
      <c r="T257"/>
      <c r="U257" s="46"/>
      <c r="V257" s="46"/>
    </row>
    <row r="258" spans="1:22" ht="25.15" customHeight="1" x14ac:dyDescent="0.25">
      <c r="A258" s="17"/>
      <c r="G258"/>
      <c r="H258"/>
      <c r="J258"/>
      <c r="K258"/>
      <c r="L258"/>
      <c r="M258"/>
      <c r="N258"/>
      <c r="P258"/>
      <c r="Q258"/>
      <c r="R258"/>
      <c r="S258"/>
      <c r="T258"/>
      <c r="U258" s="46"/>
      <c r="V258" s="46"/>
    </row>
    <row r="259" spans="1:22" ht="25.15" customHeight="1" x14ac:dyDescent="0.25">
      <c r="A259" s="17"/>
      <c r="G259"/>
      <c r="H259"/>
      <c r="J259"/>
      <c r="K259"/>
      <c r="L259"/>
      <c r="M259"/>
      <c r="N259"/>
      <c r="P259"/>
      <c r="Q259"/>
      <c r="R259"/>
      <c r="S259"/>
      <c r="T259"/>
      <c r="U259" s="46"/>
      <c r="V259" s="46"/>
    </row>
    <row r="260" spans="1:22" ht="25.15" customHeight="1" x14ac:dyDescent="0.25">
      <c r="A260" s="17"/>
      <c r="G260"/>
      <c r="H260"/>
      <c r="J260"/>
      <c r="K260"/>
      <c r="L260"/>
      <c r="M260"/>
      <c r="N260"/>
      <c r="P260"/>
      <c r="Q260"/>
      <c r="R260"/>
      <c r="S260"/>
      <c r="T260"/>
      <c r="U260" s="46"/>
      <c r="V260" s="46"/>
    </row>
    <row r="261" spans="1:22" ht="25.15" customHeight="1" x14ac:dyDescent="0.25">
      <c r="A261" s="17"/>
      <c r="G261"/>
      <c r="H261"/>
      <c r="J261"/>
      <c r="K261"/>
      <c r="L261"/>
      <c r="M261"/>
      <c r="N261"/>
      <c r="P261"/>
      <c r="Q261"/>
      <c r="R261"/>
      <c r="S261"/>
      <c r="T261"/>
      <c r="U261" s="46"/>
      <c r="V261" s="46"/>
    </row>
    <row r="262" spans="1:22" ht="25.15" customHeight="1" x14ac:dyDescent="0.25">
      <c r="A262" s="17"/>
      <c r="G262"/>
      <c r="H262"/>
      <c r="J262"/>
      <c r="K262"/>
      <c r="L262"/>
      <c r="M262"/>
      <c r="N262"/>
      <c r="P262"/>
      <c r="Q262"/>
      <c r="R262"/>
      <c r="S262"/>
      <c r="T262"/>
      <c r="U262" s="46"/>
      <c r="V262" s="46"/>
    </row>
    <row r="263" spans="1:22" ht="25.15" customHeight="1" x14ac:dyDescent="0.25">
      <c r="A263" s="17"/>
      <c r="G263"/>
      <c r="H263"/>
      <c r="J263"/>
      <c r="K263"/>
      <c r="L263"/>
      <c r="M263"/>
      <c r="N263"/>
      <c r="P263"/>
      <c r="Q263"/>
      <c r="R263"/>
      <c r="S263"/>
      <c r="T263"/>
      <c r="U263" s="46"/>
      <c r="V263" s="46"/>
    </row>
    <row r="264" spans="1:22" ht="25.15" customHeight="1" x14ac:dyDescent="0.25">
      <c r="A264" s="17"/>
      <c r="G264"/>
      <c r="H264"/>
      <c r="J264"/>
      <c r="K264"/>
      <c r="L264"/>
      <c r="M264"/>
      <c r="N264"/>
      <c r="P264"/>
      <c r="Q264"/>
      <c r="R264"/>
      <c r="S264"/>
      <c r="T264"/>
      <c r="U264" s="46"/>
      <c r="V264" s="46"/>
    </row>
    <row r="265" spans="1:22" ht="25.15" customHeight="1" x14ac:dyDescent="0.25">
      <c r="A265" s="17"/>
      <c r="G265"/>
      <c r="H265"/>
      <c r="J265"/>
      <c r="K265"/>
      <c r="L265"/>
      <c r="M265"/>
      <c r="N265"/>
      <c r="P265"/>
      <c r="Q265"/>
      <c r="R265"/>
      <c r="S265"/>
      <c r="T265"/>
      <c r="U265" s="46"/>
      <c r="V265" s="46"/>
    </row>
    <row r="266" spans="1:22" ht="25.15" customHeight="1" x14ac:dyDescent="0.25">
      <c r="A266" s="17"/>
      <c r="G266"/>
      <c r="H266"/>
      <c r="J266"/>
      <c r="K266"/>
      <c r="L266"/>
      <c r="M266"/>
      <c r="N266"/>
      <c r="P266"/>
      <c r="Q266"/>
      <c r="R266"/>
      <c r="S266"/>
      <c r="T266"/>
      <c r="U266" s="46"/>
      <c r="V266" s="46"/>
    </row>
    <row r="267" spans="1:22" ht="25.15" customHeight="1" x14ac:dyDescent="0.25">
      <c r="A267" s="17"/>
      <c r="G267"/>
      <c r="H267"/>
      <c r="J267"/>
      <c r="K267"/>
      <c r="L267"/>
      <c r="M267"/>
      <c r="N267"/>
      <c r="P267"/>
      <c r="Q267"/>
      <c r="R267"/>
      <c r="S267"/>
      <c r="T267"/>
      <c r="U267" s="46"/>
      <c r="V267" s="46"/>
    </row>
    <row r="268" spans="1:22" ht="25.15" customHeight="1" x14ac:dyDescent="0.25">
      <c r="A268" s="17"/>
      <c r="G268"/>
      <c r="H268"/>
      <c r="J268"/>
      <c r="K268"/>
      <c r="L268"/>
      <c r="M268"/>
      <c r="N268"/>
      <c r="P268"/>
      <c r="Q268"/>
      <c r="R268"/>
      <c r="S268"/>
      <c r="T268"/>
      <c r="U268" s="46"/>
      <c r="V268" s="46"/>
    </row>
    <row r="269" spans="1:22" ht="25.15" customHeight="1" x14ac:dyDescent="0.25">
      <c r="A269" s="17"/>
      <c r="G269"/>
      <c r="H269"/>
      <c r="J269"/>
      <c r="K269"/>
      <c r="L269"/>
      <c r="M269"/>
      <c r="N269"/>
      <c r="P269"/>
      <c r="Q269"/>
      <c r="R269"/>
      <c r="S269"/>
      <c r="T269"/>
      <c r="U269" s="46"/>
      <c r="V269" s="46"/>
    </row>
    <row r="270" spans="1:22" ht="25.15" customHeight="1" x14ac:dyDescent="0.25">
      <c r="A270" s="17"/>
      <c r="G270"/>
      <c r="H270"/>
      <c r="J270"/>
      <c r="K270"/>
      <c r="L270"/>
      <c r="M270"/>
      <c r="N270"/>
      <c r="P270"/>
      <c r="Q270"/>
      <c r="R270"/>
      <c r="S270"/>
      <c r="T270"/>
      <c r="U270" s="46"/>
      <c r="V270" s="46"/>
    </row>
    <row r="271" spans="1:22" ht="25.15" customHeight="1" x14ac:dyDescent="0.25">
      <c r="A271" s="17"/>
      <c r="G271"/>
      <c r="H271"/>
      <c r="J271"/>
      <c r="K271"/>
      <c r="L271"/>
      <c r="M271"/>
      <c r="N271"/>
      <c r="P271"/>
      <c r="Q271"/>
      <c r="R271"/>
      <c r="S271"/>
      <c r="T271"/>
      <c r="U271" s="46"/>
      <c r="V271" s="46"/>
    </row>
    <row r="272" spans="1:22" ht="25.15" customHeight="1" x14ac:dyDescent="0.25">
      <c r="A272" s="17"/>
      <c r="G272"/>
      <c r="H272"/>
      <c r="J272"/>
      <c r="K272"/>
      <c r="L272"/>
      <c r="M272"/>
      <c r="N272"/>
      <c r="P272"/>
      <c r="Q272"/>
      <c r="R272"/>
      <c r="S272"/>
      <c r="T272"/>
      <c r="U272" s="46"/>
      <c r="V272" s="46"/>
    </row>
    <row r="273" spans="1:22" ht="25.15" customHeight="1" x14ac:dyDescent="0.25">
      <c r="A273" s="17"/>
      <c r="G273"/>
      <c r="H273"/>
      <c r="J273"/>
      <c r="K273"/>
      <c r="L273"/>
      <c r="M273"/>
      <c r="N273"/>
      <c r="P273"/>
      <c r="Q273"/>
      <c r="R273"/>
      <c r="S273"/>
      <c r="T273"/>
      <c r="U273" s="46"/>
      <c r="V273" s="46"/>
    </row>
    <row r="274" spans="1:22" ht="25.15" customHeight="1" x14ac:dyDescent="0.25">
      <c r="A274" s="17"/>
      <c r="G274"/>
      <c r="H274"/>
      <c r="J274"/>
      <c r="K274"/>
      <c r="L274"/>
      <c r="M274"/>
      <c r="N274"/>
      <c r="P274"/>
      <c r="Q274"/>
      <c r="R274"/>
      <c r="S274"/>
      <c r="T274"/>
      <c r="U274" s="46"/>
      <c r="V274" s="46"/>
    </row>
    <row r="275" spans="1:22" ht="25.15" customHeight="1" x14ac:dyDescent="0.25">
      <c r="A275" s="17"/>
      <c r="G275"/>
      <c r="H275"/>
      <c r="J275"/>
      <c r="K275"/>
      <c r="L275"/>
      <c r="M275"/>
      <c r="N275"/>
      <c r="P275"/>
      <c r="Q275"/>
      <c r="R275"/>
      <c r="S275"/>
      <c r="T275"/>
      <c r="U275" s="46"/>
      <c r="V275" s="46"/>
    </row>
    <row r="276" spans="1:22" ht="25.15" customHeight="1" x14ac:dyDescent="0.25">
      <c r="A276" s="17"/>
      <c r="G276"/>
      <c r="H276"/>
      <c r="J276"/>
      <c r="K276"/>
      <c r="L276"/>
      <c r="M276"/>
      <c r="N276"/>
      <c r="P276"/>
      <c r="Q276"/>
      <c r="R276"/>
      <c r="S276"/>
      <c r="T276"/>
      <c r="U276" s="46"/>
      <c r="V276" s="46"/>
    </row>
    <row r="277" spans="1:22" ht="25.15" customHeight="1" x14ac:dyDescent="0.25">
      <c r="A277" s="17"/>
      <c r="G277"/>
      <c r="H277"/>
      <c r="J277"/>
      <c r="K277"/>
      <c r="L277"/>
      <c r="M277"/>
      <c r="N277"/>
      <c r="P277"/>
      <c r="Q277"/>
      <c r="R277"/>
      <c r="S277"/>
      <c r="T277"/>
      <c r="U277" s="46"/>
      <c r="V277" s="46"/>
    </row>
    <row r="278" spans="1:22" ht="25.15" customHeight="1" x14ac:dyDescent="0.25">
      <c r="A278" s="17"/>
      <c r="G278"/>
      <c r="H278"/>
      <c r="J278"/>
      <c r="K278"/>
      <c r="L278"/>
      <c r="M278"/>
      <c r="N278"/>
      <c r="P278"/>
      <c r="Q278"/>
      <c r="R278"/>
      <c r="S278"/>
      <c r="T278"/>
      <c r="U278" s="46"/>
      <c r="V278" s="46"/>
    </row>
    <row r="279" spans="1:22" ht="25.15" customHeight="1" x14ac:dyDescent="0.25">
      <c r="A279" s="17"/>
      <c r="G279"/>
      <c r="H279"/>
      <c r="J279"/>
      <c r="K279"/>
      <c r="L279"/>
      <c r="M279"/>
      <c r="N279"/>
      <c r="P279"/>
      <c r="Q279"/>
      <c r="R279"/>
      <c r="S279"/>
      <c r="T279"/>
      <c r="U279" s="46"/>
      <c r="V279" s="46"/>
    </row>
    <row r="280" spans="1:22" ht="25.15" customHeight="1" x14ac:dyDescent="0.25">
      <c r="A280" s="17"/>
      <c r="G280"/>
      <c r="H280"/>
      <c r="J280"/>
      <c r="K280"/>
      <c r="L280"/>
      <c r="M280"/>
      <c r="N280"/>
      <c r="P280"/>
      <c r="Q280"/>
      <c r="R280"/>
      <c r="S280"/>
      <c r="T280"/>
      <c r="U280" s="46"/>
      <c r="V280" s="46"/>
    </row>
    <row r="281" spans="1:22" ht="25.15" customHeight="1" x14ac:dyDescent="0.25">
      <c r="A281" s="17"/>
      <c r="G281"/>
      <c r="H281"/>
      <c r="J281"/>
      <c r="K281"/>
      <c r="L281"/>
      <c r="M281"/>
      <c r="N281"/>
      <c r="P281"/>
      <c r="Q281"/>
      <c r="R281"/>
      <c r="S281"/>
      <c r="T281"/>
      <c r="U281" s="46"/>
      <c r="V281" s="46"/>
    </row>
    <row r="282" spans="1:22" ht="25.15" customHeight="1" x14ac:dyDescent="0.25">
      <c r="A282" s="17"/>
      <c r="G282"/>
      <c r="H282"/>
      <c r="J282"/>
      <c r="K282"/>
      <c r="L282"/>
      <c r="M282"/>
      <c r="N282"/>
      <c r="P282"/>
      <c r="Q282"/>
      <c r="R282"/>
      <c r="S282"/>
      <c r="T282"/>
      <c r="U282" s="46"/>
      <c r="V282" s="46"/>
    </row>
    <row r="283" spans="1:22" ht="25.15" customHeight="1" x14ac:dyDescent="0.25">
      <c r="A283" s="17"/>
      <c r="G283"/>
      <c r="H283"/>
      <c r="J283"/>
      <c r="K283"/>
      <c r="L283"/>
      <c r="M283"/>
      <c r="N283"/>
      <c r="P283"/>
      <c r="Q283"/>
      <c r="R283"/>
      <c r="S283"/>
      <c r="T283"/>
      <c r="U283" s="46"/>
      <c r="V283" s="46"/>
    </row>
    <row r="284" spans="1:22" ht="25.15" customHeight="1" x14ac:dyDescent="0.25">
      <c r="A284" s="17"/>
      <c r="G284"/>
      <c r="H284"/>
      <c r="J284"/>
      <c r="K284"/>
      <c r="L284"/>
      <c r="M284"/>
      <c r="N284"/>
      <c r="P284"/>
      <c r="Q284"/>
      <c r="R284"/>
      <c r="S284"/>
      <c r="T284"/>
      <c r="U284" s="46"/>
      <c r="V284" s="46"/>
    </row>
    <row r="285" spans="1:22" ht="25.15" customHeight="1" x14ac:dyDescent="0.25">
      <c r="A285" s="17"/>
      <c r="G285"/>
      <c r="H285"/>
      <c r="J285"/>
      <c r="K285"/>
      <c r="L285"/>
      <c r="M285"/>
      <c r="N285"/>
      <c r="P285"/>
      <c r="Q285"/>
      <c r="R285"/>
      <c r="S285"/>
      <c r="T285"/>
      <c r="U285" s="46"/>
      <c r="V285" s="46"/>
    </row>
    <row r="286" spans="1:22" ht="25.15" customHeight="1" x14ac:dyDescent="0.25">
      <c r="A286" s="17"/>
      <c r="G286"/>
      <c r="H286"/>
      <c r="J286"/>
      <c r="K286"/>
      <c r="L286"/>
      <c r="M286"/>
      <c r="N286"/>
      <c r="P286"/>
      <c r="Q286"/>
      <c r="R286"/>
      <c r="S286"/>
      <c r="T286"/>
      <c r="U286" s="46"/>
      <c r="V286" s="46"/>
    </row>
    <row r="287" spans="1:22" ht="25.15" customHeight="1" x14ac:dyDescent="0.25">
      <c r="A287" s="17"/>
      <c r="G287"/>
      <c r="H287"/>
      <c r="J287"/>
      <c r="K287"/>
      <c r="L287"/>
      <c r="M287"/>
      <c r="N287"/>
      <c r="P287"/>
      <c r="Q287"/>
      <c r="R287"/>
      <c r="S287"/>
      <c r="T287"/>
      <c r="U287" s="46"/>
      <c r="V287" s="46"/>
    </row>
    <row r="288" spans="1:22" ht="25.15" customHeight="1" x14ac:dyDescent="0.25">
      <c r="A288" s="17"/>
      <c r="G288"/>
      <c r="H288"/>
      <c r="J288"/>
      <c r="K288"/>
      <c r="L288"/>
      <c r="M288"/>
      <c r="N288"/>
      <c r="P288"/>
      <c r="Q288"/>
      <c r="R288"/>
      <c r="S288"/>
      <c r="T288"/>
      <c r="U288" s="46"/>
      <c r="V288" s="46"/>
    </row>
    <row r="289" spans="1:22" ht="25.15" customHeight="1" x14ac:dyDescent="0.25">
      <c r="A289" s="17"/>
      <c r="G289"/>
      <c r="H289"/>
      <c r="J289"/>
      <c r="K289"/>
      <c r="L289"/>
      <c r="M289"/>
      <c r="N289"/>
      <c r="P289"/>
      <c r="Q289"/>
      <c r="R289"/>
      <c r="S289"/>
      <c r="T289"/>
      <c r="U289" s="46"/>
      <c r="V289" s="46"/>
    </row>
    <row r="290" spans="1:22" ht="25.15" customHeight="1" x14ac:dyDescent="0.25">
      <c r="A290" s="17"/>
      <c r="G290"/>
      <c r="H290"/>
      <c r="J290"/>
      <c r="K290"/>
      <c r="L290"/>
      <c r="M290"/>
      <c r="N290"/>
      <c r="P290"/>
      <c r="Q290"/>
      <c r="R290"/>
      <c r="S290"/>
      <c r="T290"/>
      <c r="U290" s="46"/>
      <c r="V290" s="46"/>
    </row>
    <row r="291" spans="1:22" ht="25.15" customHeight="1" x14ac:dyDescent="0.25">
      <c r="A291" s="17"/>
      <c r="G291"/>
      <c r="H291"/>
      <c r="J291"/>
      <c r="K291"/>
      <c r="L291"/>
      <c r="M291"/>
      <c r="N291"/>
      <c r="P291"/>
      <c r="Q291"/>
      <c r="R291"/>
      <c r="S291"/>
      <c r="T291"/>
      <c r="U291" s="46"/>
      <c r="V291" s="46"/>
    </row>
    <row r="292" spans="1:22" ht="25.15" customHeight="1" x14ac:dyDescent="0.25">
      <c r="A292" s="17"/>
      <c r="G292"/>
      <c r="H292"/>
      <c r="J292"/>
      <c r="K292"/>
      <c r="L292"/>
      <c r="M292"/>
      <c r="N292"/>
      <c r="P292"/>
      <c r="Q292"/>
      <c r="R292"/>
      <c r="S292"/>
      <c r="T292"/>
      <c r="U292" s="46"/>
      <c r="V292" s="46"/>
    </row>
    <row r="293" spans="1:22" ht="25.15" customHeight="1" x14ac:dyDescent="0.25">
      <c r="A293" s="17"/>
      <c r="G293"/>
      <c r="H293"/>
      <c r="J293"/>
      <c r="K293"/>
      <c r="L293"/>
      <c r="M293"/>
      <c r="N293"/>
      <c r="P293"/>
      <c r="Q293"/>
      <c r="R293"/>
      <c r="S293"/>
      <c r="T293"/>
      <c r="U293" s="46"/>
      <c r="V293" s="46"/>
    </row>
    <row r="294" spans="1:22" ht="25.15" customHeight="1" x14ac:dyDescent="0.25">
      <c r="A294" s="17"/>
      <c r="G294"/>
      <c r="H294"/>
      <c r="J294"/>
      <c r="K294"/>
      <c r="L294"/>
      <c r="M294"/>
      <c r="N294"/>
      <c r="P294"/>
      <c r="Q294"/>
      <c r="R294"/>
      <c r="S294"/>
      <c r="T294"/>
      <c r="U294" s="46"/>
      <c r="V294" s="46"/>
    </row>
    <row r="295" spans="1:22" ht="25.15" customHeight="1" x14ac:dyDescent="0.25">
      <c r="A295" s="17"/>
      <c r="G295"/>
      <c r="H295"/>
      <c r="J295"/>
      <c r="K295"/>
      <c r="L295"/>
      <c r="M295"/>
      <c r="N295"/>
      <c r="P295"/>
      <c r="Q295"/>
      <c r="R295"/>
      <c r="S295"/>
      <c r="T295"/>
      <c r="U295" s="46"/>
      <c r="V295" s="46"/>
    </row>
    <row r="296" spans="1:22" ht="25.15" customHeight="1" x14ac:dyDescent="0.25">
      <c r="A296" s="17"/>
      <c r="G296"/>
      <c r="H296"/>
      <c r="J296"/>
      <c r="K296"/>
      <c r="L296"/>
      <c r="M296"/>
      <c r="N296"/>
      <c r="P296"/>
      <c r="Q296"/>
      <c r="R296"/>
      <c r="S296"/>
      <c r="T296"/>
      <c r="U296" s="46"/>
      <c r="V296" s="46"/>
    </row>
    <row r="297" spans="1:22" ht="25.15" customHeight="1" x14ac:dyDescent="0.25">
      <c r="A297" s="17"/>
      <c r="G297"/>
      <c r="H297"/>
      <c r="J297"/>
      <c r="K297"/>
      <c r="L297"/>
      <c r="M297"/>
      <c r="N297"/>
      <c r="P297"/>
      <c r="Q297"/>
      <c r="R297"/>
      <c r="S297"/>
      <c r="T297"/>
      <c r="U297" s="46"/>
      <c r="V297" s="46"/>
    </row>
    <row r="298" spans="1:22" ht="25.15" customHeight="1" x14ac:dyDescent="0.25">
      <c r="A298" s="17"/>
      <c r="G298"/>
      <c r="H298"/>
      <c r="J298"/>
      <c r="K298"/>
      <c r="L298"/>
      <c r="M298"/>
      <c r="N298"/>
      <c r="P298"/>
      <c r="Q298"/>
      <c r="R298"/>
      <c r="S298"/>
      <c r="T298"/>
      <c r="U298" s="46"/>
      <c r="V298" s="46"/>
    </row>
    <row r="299" spans="1:22" ht="25.15" customHeight="1" x14ac:dyDescent="0.25">
      <c r="A299" s="17"/>
      <c r="G299"/>
      <c r="H299"/>
      <c r="J299"/>
      <c r="K299"/>
      <c r="L299"/>
      <c r="M299"/>
      <c r="N299"/>
      <c r="P299"/>
      <c r="Q299"/>
      <c r="R299"/>
      <c r="S299"/>
      <c r="T299"/>
      <c r="U299" s="46"/>
      <c r="V299" s="46"/>
    </row>
    <row r="300" spans="1:22" ht="25.15" customHeight="1" x14ac:dyDescent="0.25">
      <c r="A300" s="17"/>
      <c r="G300"/>
      <c r="H300"/>
      <c r="J300"/>
      <c r="K300"/>
      <c r="L300"/>
      <c r="M300"/>
      <c r="N300"/>
      <c r="P300"/>
      <c r="Q300"/>
      <c r="R300"/>
      <c r="S300"/>
      <c r="T300"/>
      <c r="U300" s="46"/>
      <c r="V300" s="46"/>
    </row>
    <row r="301" spans="1:22" ht="25.15" customHeight="1" x14ac:dyDescent="0.25">
      <c r="A301" s="17"/>
      <c r="G301"/>
      <c r="H301"/>
      <c r="J301"/>
      <c r="K301"/>
      <c r="L301"/>
      <c r="M301"/>
      <c r="N301"/>
      <c r="P301"/>
      <c r="Q301"/>
      <c r="R301"/>
      <c r="S301"/>
      <c r="T301"/>
      <c r="U301" s="46"/>
      <c r="V301" s="46"/>
    </row>
    <row r="302" spans="1:22" ht="25.15" customHeight="1" x14ac:dyDescent="0.25">
      <c r="A302" s="17"/>
      <c r="G302"/>
      <c r="H302"/>
      <c r="J302"/>
      <c r="K302"/>
      <c r="L302"/>
      <c r="M302"/>
      <c r="N302"/>
      <c r="P302"/>
      <c r="Q302"/>
      <c r="R302"/>
      <c r="S302"/>
      <c r="T302"/>
      <c r="U302" s="46"/>
      <c r="V302" s="46"/>
    </row>
    <row r="303" spans="1:22" ht="25.15" customHeight="1" x14ac:dyDescent="0.25">
      <c r="A303" s="17"/>
      <c r="G303"/>
      <c r="H303"/>
      <c r="J303"/>
      <c r="K303"/>
      <c r="L303"/>
      <c r="M303"/>
      <c r="N303"/>
      <c r="P303"/>
      <c r="Q303"/>
      <c r="R303"/>
      <c r="S303"/>
      <c r="T303"/>
      <c r="U303" s="46"/>
      <c r="V303" s="46"/>
    </row>
    <row r="304" spans="1:22" ht="25.15" customHeight="1" x14ac:dyDescent="0.25">
      <c r="A304" s="17"/>
      <c r="G304"/>
      <c r="H304"/>
      <c r="J304"/>
      <c r="K304"/>
      <c r="L304"/>
      <c r="M304"/>
      <c r="N304"/>
      <c r="P304"/>
      <c r="Q304"/>
      <c r="R304"/>
      <c r="S304"/>
      <c r="T304"/>
      <c r="U304" s="46"/>
      <c r="V304" s="46"/>
    </row>
    <row r="305" spans="1:22" ht="25.15" customHeight="1" x14ac:dyDescent="0.25">
      <c r="A305" s="17"/>
      <c r="G305"/>
      <c r="H305"/>
      <c r="J305"/>
      <c r="K305"/>
      <c r="L305"/>
      <c r="M305"/>
      <c r="N305"/>
      <c r="P305"/>
      <c r="Q305"/>
      <c r="R305"/>
      <c r="S305"/>
      <c r="T305"/>
      <c r="U305" s="46"/>
      <c r="V305" s="46"/>
    </row>
    <row r="306" spans="1:22" ht="25.15" customHeight="1" x14ac:dyDescent="0.25">
      <c r="A306" s="17"/>
      <c r="G306"/>
      <c r="H306"/>
      <c r="J306"/>
      <c r="K306"/>
      <c r="L306"/>
      <c r="M306"/>
      <c r="N306"/>
      <c r="P306"/>
      <c r="Q306"/>
      <c r="R306"/>
      <c r="S306"/>
      <c r="T306"/>
      <c r="U306" s="46"/>
      <c r="V306" s="46"/>
    </row>
    <row r="307" spans="1:22" ht="25.15" customHeight="1" x14ac:dyDescent="0.25">
      <c r="A307" s="17"/>
      <c r="G307"/>
      <c r="H307"/>
      <c r="J307"/>
      <c r="K307"/>
      <c r="L307"/>
      <c r="M307"/>
      <c r="N307"/>
      <c r="P307"/>
      <c r="Q307"/>
      <c r="R307"/>
      <c r="S307"/>
      <c r="T307"/>
      <c r="U307" s="46"/>
      <c r="V307" s="46"/>
    </row>
    <row r="308" spans="1:22" ht="25.15" customHeight="1" x14ac:dyDescent="0.25">
      <c r="A308" s="17"/>
      <c r="G308"/>
      <c r="H308"/>
      <c r="J308"/>
      <c r="K308"/>
      <c r="L308"/>
      <c r="M308"/>
      <c r="N308"/>
      <c r="P308"/>
      <c r="Q308"/>
      <c r="R308"/>
      <c r="S308"/>
      <c r="T308"/>
      <c r="U308" s="46"/>
      <c r="V308" s="46"/>
    </row>
    <row r="309" spans="1:22" ht="25.15" customHeight="1" x14ac:dyDescent="0.25">
      <c r="A309" s="17"/>
      <c r="G309"/>
      <c r="H309"/>
      <c r="J309"/>
      <c r="K309"/>
      <c r="L309"/>
      <c r="M309"/>
      <c r="N309"/>
      <c r="P309"/>
      <c r="Q309"/>
      <c r="R309"/>
      <c r="S309"/>
      <c r="T309"/>
      <c r="U309" s="46"/>
      <c r="V309" s="46"/>
    </row>
    <row r="310" spans="1:22" ht="25.15" customHeight="1" x14ac:dyDescent="0.25">
      <c r="A310" s="17"/>
      <c r="G310"/>
      <c r="H310"/>
      <c r="J310"/>
      <c r="K310"/>
      <c r="L310"/>
      <c r="M310"/>
      <c r="N310"/>
      <c r="P310"/>
      <c r="Q310"/>
      <c r="R310"/>
      <c r="S310"/>
      <c r="T310"/>
      <c r="U310" s="46"/>
      <c r="V310" s="46"/>
    </row>
    <row r="311" spans="1:22" ht="25.15" customHeight="1" x14ac:dyDescent="0.25">
      <c r="A311" s="17"/>
      <c r="G311"/>
      <c r="H311"/>
      <c r="J311"/>
      <c r="K311"/>
      <c r="L311"/>
      <c r="M311"/>
      <c r="N311"/>
      <c r="P311"/>
      <c r="Q311"/>
      <c r="R311"/>
      <c r="S311"/>
      <c r="T311"/>
      <c r="U311" s="46"/>
      <c r="V311" s="46"/>
    </row>
    <row r="312" spans="1:22" ht="25.15" customHeight="1" x14ac:dyDescent="0.25">
      <c r="A312" s="17"/>
      <c r="G312"/>
      <c r="H312"/>
      <c r="J312"/>
      <c r="K312"/>
      <c r="L312"/>
      <c r="M312"/>
      <c r="N312"/>
      <c r="P312"/>
      <c r="Q312"/>
      <c r="R312"/>
      <c r="S312"/>
      <c r="T312"/>
      <c r="U312" s="46"/>
      <c r="V312" s="46"/>
    </row>
    <row r="313" spans="1:22" ht="25.15" customHeight="1" x14ac:dyDescent="0.25">
      <c r="A313" s="17"/>
      <c r="G313"/>
      <c r="H313"/>
      <c r="J313"/>
      <c r="K313"/>
      <c r="L313"/>
      <c r="M313"/>
      <c r="N313"/>
      <c r="P313"/>
      <c r="Q313"/>
      <c r="R313"/>
      <c r="S313"/>
      <c r="T313"/>
      <c r="U313" s="46"/>
      <c r="V313" s="46"/>
    </row>
    <row r="314" spans="1:22" ht="25.15" customHeight="1" x14ac:dyDescent="0.25">
      <c r="A314" s="17"/>
      <c r="G314"/>
      <c r="H314"/>
      <c r="J314"/>
      <c r="K314"/>
      <c r="L314"/>
      <c r="M314"/>
      <c r="N314"/>
      <c r="P314"/>
      <c r="Q314"/>
      <c r="R314"/>
      <c r="S314"/>
      <c r="T314"/>
      <c r="U314" s="46"/>
      <c r="V314" s="46"/>
    </row>
    <row r="315" spans="1:22" ht="25.15" customHeight="1" x14ac:dyDescent="0.25">
      <c r="A315" s="17"/>
      <c r="G315"/>
      <c r="H315"/>
      <c r="J315"/>
      <c r="K315"/>
      <c r="L315"/>
      <c r="M315"/>
      <c r="N315"/>
      <c r="P315"/>
      <c r="Q315"/>
      <c r="R315"/>
      <c r="S315"/>
      <c r="T315"/>
      <c r="U315" s="46"/>
      <c r="V315" s="46"/>
    </row>
    <row r="316" spans="1:22" ht="25.15" customHeight="1" x14ac:dyDescent="0.25">
      <c r="A316" s="17"/>
      <c r="G316"/>
      <c r="H316"/>
      <c r="J316"/>
      <c r="K316"/>
      <c r="L316"/>
      <c r="M316"/>
      <c r="N316"/>
      <c r="P316"/>
      <c r="Q316"/>
      <c r="R316"/>
      <c r="S316"/>
      <c r="T316"/>
      <c r="U316" s="46"/>
      <c r="V316" s="46"/>
    </row>
    <row r="317" spans="1:22" ht="25.15" customHeight="1" x14ac:dyDescent="0.25">
      <c r="A317" s="17"/>
      <c r="G317"/>
      <c r="H317"/>
      <c r="J317"/>
      <c r="K317"/>
      <c r="L317"/>
      <c r="M317"/>
      <c r="N317"/>
      <c r="P317"/>
      <c r="Q317"/>
      <c r="R317"/>
      <c r="S317"/>
      <c r="T317"/>
      <c r="U317" s="46"/>
      <c r="V317" s="46"/>
    </row>
    <row r="318" spans="1:22" ht="25.15" customHeight="1" x14ac:dyDescent="0.25">
      <c r="A318" s="17"/>
      <c r="G318"/>
      <c r="H318"/>
      <c r="J318"/>
      <c r="K318"/>
      <c r="L318"/>
      <c r="M318"/>
      <c r="N318"/>
      <c r="P318"/>
      <c r="Q318"/>
      <c r="R318"/>
      <c r="S318"/>
      <c r="T318"/>
      <c r="U318" s="46"/>
      <c r="V318" s="46"/>
    </row>
    <row r="319" spans="1:22" ht="25.15" customHeight="1" x14ac:dyDescent="0.25">
      <c r="A319" s="17"/>
      <c r="G319"/>
      <c r="H319"/>
      <c r="J319"/>
      <c r="K319"/>
      <c r="L319"/>
      <c r="M319"/>
      <c r="N319"/>
      <c r="P319"/>
      <c r="Q319"/>
      <c r="R319"/>
      <c r="S319"/>
      <c r="T319"/>
      <c r="U319" s="46"/>
      <c r="V319" s="46"/>
    </row>
    <row r="320" spans="1:22" ht="25.15" customHeight="1" x14ac:dyDescent="0.25">
      <c r="A320" s="17"/>
      <c r="G320"/>
      <c r="H320"/>
      <c r="J320"/>
      <c r="K320"/>
      <c r="L320"/>
      <c r="M320"/>
      <c r="N320"/>
      <c r="P320"/>
      <c r="Q320"/>
      <c r="R320"/>
      <c r="S320"/>
      <c r="T320"/>
      <c r="U320" s="46"/>
      <c r="V320" s="46"/>
    </row>
    <row r="321" spans="1:22" ht="25.15" customHeight="1" x14ac:dyDescent="0.25">
      <c r="A321" s="17"/>
      <c r="G321"/>
      <c r="H321"/>
      <c r="J321"/>
      <c r="K321"/>
      <c r="L321"/>
      <c r="M321"/>
      <c r="N321"/>
      <c r="P321"/>
      <c r="Q321"/>
      <c r="R321"/>
      <c r="S321"/>
      <c r="T321"/>
      <c r="U321" s="46"/>
      <c r="V321" s="46"/>
    </row>
    <row r="322" spans="1:22" ht="25.15" customHeight="1" x14ac:dyDescent="0.25">
      <c r="A322" s="17"/>
      <c r="G322"/>
      <c r="H322"/>
      <c r="J322"/>
      <c r="K322"/>
      <c r="L322"/>
      <c r="M322"/>
      <c r="N322"/>
      <c r="P322"/>
      <c r="Q322"/>
      <c r="R322"/>
      <c r="S322"/>
      <c r="T322"/>
      <c r="U322" s="46"/>
      <c r="V322" s="46"/>
    </row>
    <row r="323" spans="1:22" ht="25.15" customHeight="1" x14ac:dyDescent="0.25">
      <c r="A323" s="17"/>
      <c r="G323"/>
      <c r="H323"/>
      <c r="J323"/>
      <c r="K323"/>
      <c r="L323"/>
      <c r="M323"/>
      <c r="N323"/>
      <c r="P323"/>
      <c r="Q323"/>
      <c r="R323"/>
      <c r="S323"/>
      <c r="T323"/>
      <c r="U323" s="46"/>
      <c r="V323" s="46"/>
    </row>
    <row r="324" spans="1:22" ht="25.15" customHeight="1" x14ac:dyDescent="0.25">
      <c r="A324" s="17"/>
      <c r="G324"/>
      <c r="H324"/>
      <c r="J324"/>
      <c r="K324"/>
      <c r="L324"/>
      <c r="M324"/>
      <c r="N324"/>
      <c r="P324"/>
      <c r="Q324"/>
      <c r="R324"/>
      <c r="S324"/>
      <c r="T324"/>
      <c r="U324" s="46"/>
      <c r="V324" s="46"/>
    </row>
    <row r="325" spans="1:22" ht="25.15" customHeight="1" x14ac:dyDescent="0.25">
      <c r="A325" s="17"/>
      <c r="G325"/>
      <c r="H325"/>
      <c r="J325"/>
      <c r="K325"/>
      <c r="L325"/>
      <c r="M325"/>
      <c r="N325"/>
      <c r="P325"/>
      <c r="Q325"/>
      <c r="R325"/>
      <c r="S325"/>
      <c r="T325"/>
      <c r="U325" s="46"/>
      <c r="V325" s="46"/>
    </row>
    <row r="326" spans="1:22" ht="25.15" customHeight="1" x14ac:dyDescent="0.25">
      <c r="A326" s="17"/>
      <c r="G326"/>
      <c r="H326"/>
      <c r="J326"/>
      <c r="K326"/>
      <c r="L326"/>
      <c r="M326"/>
      <c r="N326"/>
      <c r="P326"/>
      <c r="Q326"/>
      <c r="R326"/>
      <c r="S326"/>
      <c r="T326"/>
      <c r="U326" s="46"/>
      <c r="V326" s="46"/>
    </row>
    <row r="327" spans="1:22" ht="25.15" customHeight="1" x14ac:dyDescent="0.25">
      <c r="A327" s="17"/>
      <c r="G327"/>
      <c r="H327"/>
      <c r="J327"/>
      <c r="K327"/>
      <c r="L327"/>
      <c r="M327"/>
      <c r="N327"/>
      <c r="P327"/>
      <c r="Q327"/>
      <c r="R327"/>
      <c r="S327"/>
      <c r="T327"/>
      <c r="U327" s="46"/>
      <c r="V327" s="46"/>
    </row>
    <row r="328" spans="1:22" ht="25.15" customHeight="1" x14ac:dyDescent="0.25">
      <c r="A328" s="17"/>
      <c r="G328"/>
      <c r="H328"/>
      <c r="J328"/>
      <c r="K328"/>
      <c r="L328"/>
      <c r="M328"/>
      <c r="N328"/>
      <c r="P328"/>
      <c r="Q328"/>
      <c r="R328"/>
      <c r="S328"/>
      <c r="T328"/>
      <c r="U328" s="46"/>
      <c r="V328" s="46"/>
    </row>
    <row r="329" spans="1:22" ht="25.15" customHeight="1" x14ac:dyDescent="0.25">
      <c r="A329" s="17"/>
      <c r="G329"/>
      <c r="H329"/>
      <c r="J329"/>
      <c r="K329"/>
      <c r="L329"/>
      <c r="M329"/>
      <c r="N329"/>
      <c r="P329"/>
      <c r="Q329"/>
      <c r="R329"/>
      <c r="S329"/>
      <c r="T329"/>
      <c r="U329" s="46"/>
      <c r="V329" s="46"/>
    </row>
    <row r="330" spans="1:22" ht="25.15" customHeight="1" x14ac:dyDescent="0.25">
      <c r="A330" s="17"/>
      <c r="G330"/>
      <c r="H330"/>
      <c r="J330"/>
      <c r="K330"/>
      <c r="L330"/>
      <c r="M330"/>
      <c r="N330"/>
      <c r="P330"/>
      <c r="Q330"/>
      <c r="R330"/>
      <c r="S330"/>
      <c r="T330"/>
      <c r="U330" s="46"/>
      <c r="V330" s="46"/>
    </row>
    <row r="331" spans="1:22" ht="25.15" customHeight="1" x14ac:dyDescent="0.25">
      <c r="A331" s="17"/>
      <c r="G331"/>
      <c r="H331"/>
      <c r="J331"/>
      <c r="K331"/>
      <c r="L331"/>
      <c r="M331"/>
      <c r="N331"/>
      <c r="P331"/>
      <c r="Q331"/>
      <c r="R331"/>
      <c r="S331"/>
      <c r="T331"/>
      <c r="U331" s="46"/>
      <c r="V331" s="46"/>
    </row>
    <row r="332" spans="1:22" ht="25.15" customHeight="1" x14ac:dyDescent="0.25">
      <c r="A332" s="17"/>
      <c r="G332"/>
      <c r="H332"/>
      <c r="J332"/>
      <c r="K332"/>
      <c r="L332"/>
      <c r="M332"/>
      <c r="N332"/>
      <c r="P332"/>
      <c r="Q332"/>
      <c r="R332"/>
      <c r="S332"/>
      <c r="T332"/>
      <c r="U332" s="46"/>
      <c r="V332" s="46"/>
    </row>
    <row r="333" spans="1:22" ht="25.15" customHeight="1" x14ac:dyDescent="0.25">
      <c r="A333" s="17"/>
      <c r="G333"/>
      <c r="H333"/>
      <c r="J333"/>
      <c r="K333"/>
      <c r="L333"/>
      <c r="M333"/>
      <c r="N333"/>
      <c r="P333"/>
      <c r="Q333"/>
      <c r="R333"/>
      <c r="S333"/>
      <c r="T333"/>
      <c r="U333" s="46"/>
      <c r="V333" s="46"/>
    </row>
    <row r="334" spans="1:22" ht="25.15" customHeight="1" x14ac:dyDescent="0.25">
      <c r="A334" s="17"/>
      <c r="G334"/>
      <c r="H334"/>
      <c r="J334"/>
      <c r="K334"/>
      <c r="L334"/>
      <c r="M334"/>
      <c r="N334"/>
      <c r="P334"/>
      <c r="Q334"/>
      <c r="R334"/>
      <c r="S334"/>
      <c r="T334"/>
      <c r="U334" s="46"/>
      <c r="V334" s="46"/>
    </row>
    <row r="335" spans="1:22" ht="25.15" customHeight="1" x14ac:dyDescent="0.25">
      <c r="A335" s="17"/>
      <c r="G335"/>
      <c r="H335"/>
      <c r="J335"/>
      <c r="K335"/>
      <c r="L335"/>
      <c r="M335"/>
      <c r="N335"/>
      <c r="P335"/>
      <c r="Q335"/>
      <c r="R335"/>
      <c r="S335"/>
      <c r="T335"/>
      <c r="U335" s="46"/>
      <c r="V335" s="46"/>
    </row>
    <row r="336" spans="1:22" ht="25.15" customHeight="1" x14ac:dyDescent="0.25">
      <c r="A336" s="17"/>
      <c r="G336"/>
      <c r="H336"/>
      <c r="J336"/>
      <c r="K336"/>
      <c r="L336"/>
      <c r="M336"/>
      <c r="N336"/>
      <c r="P336"/>
      <c r="Q336"/>
      <c r="R336"/>
      <c r="S336"/>
      <c r="T336"/>
      <c r="U336" s="46"/>
      <c r="V336" s="46"/>
    </row>
    <row r="337" spans="1:22" ht="25.15" customHeight="1" x14ac:dyDescent="0.25">
      <c r="A337" s="17"/>
      <c r="G337"/>
      <c r="H337"/>
      <c r="J337"/>
      <c r="K337"/>
      <c r="L337"/>
      <c r="M337"/>
      <c r="N337"/>
      <c r="P337"/>
      <c r="Q337"/>
      <c r="R337"/>
      <c r="S337"/>
      <c r="T337"/>
      <c r="U337" s="46"/>
      <c r="V337" s="46"/>
    </row>
    <row r="338" spans="1:22" ht="25.15" customHeight="1" x14ac:dyDescent="0.25">
      <c r="A338" s="17"/>
      <c r="G338"/>
      <c r="H338"/>
      <c r="J338"/>
      <c r="K338"/>
      <c r="L338"/>
      <c r="M338"/>
      <c r="N338"/>
      <c r="P338"/>
      <c r="Q338"/>
      <c r="R338"/>
      <c r="S338"/>
      <c r="T338"/>
      <c r="U338" s="46"/>
      <c r="V338" s="46"/>
    </row>
    <row r="339" spans="1:22" ht="25.15" customHeight="1" x14ac:dyDescent="0.25">
      <c r="A339" s="17"/>
      <c r="G339"/>
      <c r="H339"/>
      <c r="J339"/>
      <c r="K339"/>
      <c r="L339"/>
      <c r="M339"/>
      <c r="N339"/>
      <c r="P339"/>
      <c r="Q339"/>
      <c r="R339"/>
      <c r="S339"/>
      <c r="T339"/>
      <c r="U339" s="46"/>
      <c r="V339" s="46"/>
    </row>
    <row r="340" spans="1:22" ht="25.15" customHeight="1" x14ac:dyDescent="0.25">
      <c r="A340" s="17"/>
      <c r="G340"/>
      <c r="H340"/>
      <c r="J340"/>
      <c r="K340"/>
      <c r="L340"/>
      <c r="M340"/>
      <c r="N340"/>
      <c r="P340"/>
      <c r="Q340"/>
      <c r="R340"/>
      <c r="S340"/>
      <c r="T340"/>
      <c r="U340" s="46"/>
      <c r="V340" s="46"/>
    </row>
    <row r="341" spans="1:22" ht="25.15" customHeight="1" x14ac:dyDescent="0.25">
      <c r="A341" s="17"/>
      <c r="G341"/>
      <c r="H341"/>
      <c r="J341"/>
      <c r="K341"/>
      <c r="L341"/>
      <c r="M341"/>
      <c r="N341"/>
      <c r="P341"/>
      <c r="Q341"/>
      <c r="R341"/>
      <c r="S341"/>
      <c r="T341"/>
      <c r="U341" s="46"/>
      <c r="V341" s="46"/>
    </row>
    <row r="342" spans="1:22" ht="25.15" customHeight="1" x14ac:dyDescent="0.25">
      <c r="A342" s="17"/>
      <c r="G342"/>
      <c r="H342"/>
      <c r="J342"/>
      <c r="K342"/>
      <c r="L342"/>
      <c r="M342"/>
      <c r="N342"/>
      <c r="P342"/>
      <c r="Q342"/>
      <c r="R342"/>
      <c r="S342"/>
      <c r="T342"/>
      <c r="U342" s="46"/>
      <c r="V342" s="46"/>
    </row>
    <row r="343" spans="1:22" ht="25.15" customHeight="1" x14ac:dyDescent="0.25">
      <c r="A343" s="17"/>
      <c r="G343"/>
      <c r="H343"/>
      <c r="J343"/>
      <c r="K343"/>
      <c r="L343"/>
      <c r="M343"/>
      <c r="N343"/>
      <c r="P343"/>
      <c r="Q343"/>
      <c r="R343"/>
      <c r="S343"/>
      <c r="T343"/>
      <c r="U343" s="46"/>
      <c r="V343" s="46"/>
    </row>
    <row r="344" spans="1:22" ht="25.15" customHeight="1" x14ac:dyDescent="0.25">
      <c r="A344" s="17"/>
      <c r="G344"/>
      <c r="H344"/>
      <c r="J344"/>
      <c r="K344"/>
      <c r="L344"/>
      <c r="M344"/>
      <c r="N344"/>
      <c r="P344"/>
      <c r="Q344"/>
      <c r="R344"/>
      <c r="S344"/>
      <c r="T344"/>
      <c r="U344" s="46"/>
      <c r="V344" s="46"/>
    </row>
    <row r="345" spans="1:22" ht="25.15" customHeight="1" x14ac:dyDescent="0.25">
      <c r="A345" s="17"/>
      <c r="G345"/>
      <c r="H345"/>
      <c r="J345"/>
      <c r="K345"/>
      <c r="L345"/>
      <c r="M345"/>
      <c r="N345"/>
      <c r="P345"/>
      <c r="Q345"/>
      <c r="R345"/>
      <c r="S345"/>
      <c r="T345"/>
      <c r="U345" s="46"/>
      <c r="V345" s="46"/>
    </row>
    <row r="346" spans="1:22" ht="25.15" customHeight="1" x14ac:dyDescent="0.25">
      <c r="A346" s="17"/>
      <c r="G346"/>
      <c r="H346"/>
      <c r="J346"/>
      <c r="K346"/>
      <c r="L346"/>
      <c r="M346"/>
      <c r="N346"/>
      <c r="P346"/>
      <c r="Q346"/>
      <c r="R346"/>
      <c r="S346"/>
      <c r="T346"/>
      <c r="U346" s="46"/>
      <c r="V346" s="46"/>
    </row>
    <row r="347" spans="1:22" ht="25.15" customHeight="1" x14ac:dyDescent="0.25">
      <c r="A347" s="17"/>
      <c r="G347"/>
      <c r="H347"/>
      <c r="J347"/>
      <c r="K347"/>
      <c r="L347"/>
      <c r="M347"/>
      <c r="N347"/>
      <c r="P347"/>
      <c r="Q347"/>
      <c r="R347"/>
      <c r="S347"/>
      <c r="T347"/>
      <c r="U347" s="46"/>
      <c r="V347" s="46"/>
    </row>
    <row r="348" spans="1:22" ht="25.15" customHeight="1" x14ac:dyDescent="0.25">
      <c r="A348" s="17"/>
      <c r="G348"/>
      <c r="H348"/>
      <c r="J348"/>
      <c r="K348"/>
      <c r="L348"/>
      <c r="M348"/>
      <c r="N348"/>
      <c r="P348"/>
      <c r="Q348"/>
      <c r="R348"/>
      <c r="S348"/>
      <c r="T348"/>
      <c r="U348" s="46"/>
      <c r="V348" s="46"/>
    </row>
    <row r="349" spans="1:22" ht="25.15" customHeight="1" x14ac:dyDescent="0.25">
      <c r="A349" s="17"/>
      <c r="G349"/>
      <c r="H349"/>
      <c r="J349"/>
      <c r="K349"/>
      <c r="L349"/>
      <c r="M349"/>
      <c r="N349"/>
      <c r="P349"/>
      <c r="Q349"/>
      <c r="R349"/>
      <c r="S349"/>
      <c r="T349"/>
      <c r="U349" s="46"/>
      <c r="V349" s="46"/>
    </row>
    <row r="350" spans="1:22" ht="25.15" customHeight="1" x14ac:dyDescent="0.25">
      <c r="A350" s="17"/>
      <c r="G350"/>
      <c r="H350"/>
      <c r="J350"/>
      <c r="K350"/>
      <c r="L350"/>
      <c r="M350"/>
      <c r="N350"/>
      <c r="P350"/>
      <c r="Q350"/>
      <c r="R350"/>
      <c r="S350"/>
      <c r="T350"/>
      <c r="U350" s="46"/>
      <c r="V350" s="46"/>
    </row>
    <row r="351" spans="1:22" ht="25.15" customHeight="1" x14ac:dyDescent="0.25">
      <c r="A351" s="17"/>
      <c r="G351"/>
      <c r="H351"/>
      <c r="J351"/>
      <c r="K351"/>
      <c r="L351"/>
      <c r="M351"/>
      <c r="N351"/>
      <c r="P351"/>
      <c r="Q351"/>
      <c r="R351"/>
      <c r="S351"/>
      <c r="T351"/>
      <c r="U351" s="46"/>
      <c r="V351" s="46"/>
    </row>
    <row r="352" spans="1:22" ht="25.15" customHeight="1" x14ac:dyDescent="0.25">
      <c r="A352" s="17"/>
      <c r="G352"/>
      <c r="H352"/>
      <c r="J352"/>
      <c r="K352"/>
      <c r="L352"/>
      <c r="M352"/>
      <c r="N352"/>
      <c r="P352"/>
      <c r="Q352"/>
      <c r="R352"/>
      <c r="S352"/>
      <c r="T352"/>
      <c r="U352" s="46"/>
      <c r="V352" s="46"/>
    </row>
    <row r="353" spans="1:22" ht="25.15" customHeight="1" x14ac:dyDescent="0.25">
      <c r="A353" s="17"/>
      <c r="G353"/>
      <c r="H353"/>
      <c r="J353"/>
      <c r="K353"/>
      <c r="L353"/>
      <c r="M353"/>
      <c r="N353"/>
      <c r="P353"/>
      <c r="Q353"/>
      <c r="R353"/>
      <c r="S353"/>
      <c r="T353"/>
      <c r="U353" s="46"/>
      <c r="V353" s="46"/>
    </row>
    <row r="354" spans="1:22" ht="25.15" customHeight="1" x14ac:dyDescent="0.25">
      <c r="A354" s="17"/>
      <c r="G354"/>
      <c r="H354"/>
      <c r="J354"/>
      <c r="K354"/>
      <c r="L354"/>
      <c r="M354"/>
      <c r="N354"/>
      <c r="P354"/>
      <c r="Q354"/>
      <c r="R354"/>
      <c r="S354"/>
      <c r="T354"/>
      <c r="U354" s="46"/>
      <c r="V354" s="46"/>
    </row>
    <row r="355" spans="1:22" ht="25.15" customHeight="1" x14ac:dyDescent="0.25">
      <c r="A355" s="17"/>
      <c r="G355"/>
      <c r="H355"/>
      <c r="J355"/>
      <c r="K355"/>
      <c r="L355"/>
      <c r="M355"/>
      <c r="N355"/>
      <c r="P355"/>
      <c r="Q355"/>
      <c r="R355"/>
      <c r="S355"/>
      <c r="T355"/>
      <c r="U355" s="46"/>
      <c r="V355" s="46"/>
    </row>
    <row r="356" spans="1:22" ht="25.15" customHeight="1" x14ac:dyDescent="0.25">
      <c r="A356" s="17"/>
      <c r="G356"/>
      <c r="H356"/>
      <c r="J356"/>
      <c r="K356"/>
      <c r="L356"/>
      <c r="M356"/>
      <c r="N356"/>
      <c r="P356"/>
      <c r="Q356"/>
      <c r="R356"/>
      <c r="S356"/>
      <c r="T356"/>
      <c r="U356" s="46"/>
      <c r="V356" s="46"/>
    </row>
    <row r="357" spans="1:22" ht="25.15" customHeight="1" x14ac:dyDescent="0.25">
      <c r="A357" s="17"/>
      <c r="G357"/>
      <c r="H357"/>
      <c r="J357"/>
      <c r="K357"/>
      <c r="L357"/>
      <c r="M357"/>
      <c r="N357"/>
      <c r="P357"/>
      <c r="Q357"/>
      <c r="R357"/>
      <c r="S357"/>
      <c r="T357"/>
      <c r="U357" s="46"/>
      <c r="V357" s="46"/>
    </row>
    <row r="358" spans="1:22" ht="25.15" customHeight="1" x14ac:dyDescent="0.25">
      <c r="A358" s="17"/>
      <c r="G358"/>
      <c r="H358"/>
      <c r="J358"/>
      <c r="K358"/>
      <c r="L358"/>
      <c r="M358"/>
      <c r="N358"/>
      <c r="P358"/>
      <c r="Q358"/>
      <c r="R358"/>
      <c r="S358"/>
      <c r="T358"/>
      <c r="U358" s="46"/>
      <c r="V358" s="46"/>
    </row>
    <row r="359" spans="1:22" ht="25.15" customHeight="1" x14ac:dyDescent="0.25">
      <c r="A359" s="17"/>
      <c r="G359"/>
      <c r="H359"/>
      <c r="J359"/>
      <c r="K359"/>
      <c r="L359"/>
      <c r="M359"/>
      <c r="N359"/>
      <c r="P359"/>
      <c r="Q359"/>
      <c r="R359"/>
      <c r="S359"/>
      <c r="T359"/>
      <c r="U359" s="46"/>
      <c r="V359" s="46"/>
    </row>
    <row r="360" spans="1:22" ht="25.15" customHeight="1" x14ac:dyDescent="0.25">
      <c r="A360" s="17"/>
      <c r="G360"/>
      <c r="H360"/>
      <c r="J360"/>
      <c r="K360"/>
      <c r="L360"/>
      <c r="M360"/>
      <c r="N360"/>
      <c r="P360"/>
      <c r="Q360"/>
      <c r="R360"/>
      <c r="S360"/>
      <c r="T360"/>
      <c r="U360" s="46"/>
      <c r="V360" s="46"/>
    </row>
    <row r="361" spans="1:22" ht="25.15" customHeight="1" x14ac:dyDescent="0.25">
      <c r="A361" s="17"/>
      <c r="G361"/>
      <c r="H361"/>
      <c r="J361"/>
      <c r="K361"/>
      <c r="L361"/>
      <c r="M361"/>
      <c r="N361"/>
      <c r="P361"/>
      <c r="Q361"/>
      <c r="R361"/>
      <c r="S361"/>
      <c r="T361"/>
      <c r="U361" s="46"/>
      <c r="V361" s="46"/>
    </row>
    <row r="362" spans="1:22" ht="25.15" customHeight="1" x14ac:dyDescent="0.25">
      <c r="A362" s="17"/>
      <c r="G362"/>
      <c r="H362"/>
      <c r="J362"/>
      <c r="K362"/>
      <c r="L362"/>
      <c r="M362"/>
      <c r="N362"/>
      <c r="P362"/>
      <c r="Q362"/>
      <c r="R362"/>
      <c r="S362"/>
      <c r="T362"/>
      <c r="U362" s="46"/>
      <c r="V362" s="46"/>
    </row>
    <row r="363" spans="1:22" ht="25.15" customHeight="1" x14ac:dyDescent="0.25">
      <c r="A363" s="17"/>
      <c r="G363"/>
      <c r="H363"/>
      <c r="J363"/>
      <c r="K363"/>
      <c r="L363"/>
      <c r="M363"/>
      <c r="N363"/>
      <c r="P363"/>
      <c r="Q363"/>
      <c r="R363"/>
      <c r="S363"/>
      <c r="T363"/>
      <c r="U363" s="46"/>
      <c r="V363" s="46"/>
    </row>
    <row r="364" spans="1:22" ht="25.15" customHeight="1" x14ac:dyDescent="0.25">
      <c r="A364" s="17"/>
      <c r="G364"/>
      <c r="H364"/>
      <c r="J364"/>
      <c r="K364"/>
      <c r="L364"/>
      <c r="M364"/>
      <c r="N364"/>
      <c r="P364"/>
      <c r="Q364"/>
      <c r="R364"/>
      <c r="S364"/>
      <c r="T364"/>
      <c r="U364" s="46"/>
      <c r="V364" s="46"/>
    </row>
    <row r="365" spans="1:22" ht="25.15" customHeight="1" x14ac:dyDescent="0.25">
      <c r="A365" s="17"/>
      <c r="G365"/>
      <c r="H365"/>
      <c r="J365"/>
      <c r="K365"/>
      <c r="L365"/>
      <c r="M365"/>
      <c r="N365"/>
      <c r="P365"/>
      <c r="Q365"/>
      <c r="R365"/>
      <c r="S365"/>
      <c r="T365"/>
      <c r="U365" s="46"/>
      <c r="V365" s="46"/>
    </row>
    <row r="366" spans="1:22" ht="25.15" customHeight="1" x14ac:dyDescent="0.25">
      <c r="A366" s="17"/>
      <c r="G366"/>
      <c r="H366"/>
      <c r="J366"/>
      <c r="K366"/>
      <c r="L366"/>
      <c r="M366"/>
      <c r="N366"/>
      <c r="P366"/>
      <c r="Q366"/>
      <c r="R366"/>
      <c r="S366"/>
      <c r="T366"/>
      <c r="U366" s="46"/>
      <c r="V366" s="46"/>
    </row>
    <row r="367" spans="1:22" ht="25.15" customHeight="1" x14ac:dyDescent="0.25">
      <c r="A367" s="17"/>
      <c r="G367"/>
      <c r="H367"/>
      <c r="J367"/>
      <c r="K367"/>
      <c r="L367"/>
      <c r="M367"/>
      <c r="N367"/>
      <c r="P367"/>
      <c r="Q367"/>
      <c r="R367"/>
      <c r="S367"/>
      <c r="T367"/>
      <c r="U367" s="46"/>
      <c r="V367" s="46"/>
    </row>
    <row r="368" spans="1:22" ht="25.15" customHeight="1" x14ac:dyDescent="0.25">
      <c r="A368" s="17"/>
      <c r="G368"/>
      <c r="H368"/>
      <c r="J368"/>
      <c r="K368"/>
      <c r="L368"/>
      <c r="M368"/>
      <c r="N368"/>
      <c r="P368"/>
      <c r="Q368"/>
      <c r="R368"/>
      <c r="S368"/>
      <c r="T368"/>
      <c r="U368" s="46"/>
      <c r="V368" s="46"/>
    </row>
    <row r="369" spans="1:22" ht="25.15" customHeight="1" x14ac:dyDescent="0.25">
      <c r="A369" s="17"/>
      <c r="G369"/>
      <c r="H369"/>
      <c r="J369"/>
      <c r="K369"/>
      <c r="L369"/>
      <c r="M369"/>
      <c r="N369"/>
      <c r="P369"/>
      <c r="Q369"/>
      <c r="R369"/>
      <c r="S369"/>
      <c r="T369"/>
      <c r="U369" s="46"/>
      <c r="V369" s="46"/>
    </row>
    <row r="370" spans="1:22" ht="25.15" customHeight="1" x14ac:dyDescent="0.25">
      <c r="A370" s="17"/>
      <c r="G370"/>
      <c r="H370"/>
      <c r="J370"/>
      <c r="K370"/>
      <c r="L370"/>
      <c r="M370"/>
      <c r="N370"/>
      <c r="P370"/>
      <c r="Q370"/>
      <c r="R370"/>
      <c r="S370"/>
      <c r="T370"/>
      <c r="U370" s="46"/>
      <c r="V370" s="46"/>
    </row>
    <row r="371" spans="1:22" ht="25.15" customHeight="1" x14ac:dyDescent="0.25">
      <c r="A371" s="17"/>
      <c r="G371"/>
      <c r="H371"/>
      <c r="J371"/>
      <c r="K371"/>
      <c r="L371"/>
      <c r="M371"/>
      <c r="N371"/>
      <c r="P371"/>
      <c r="Q371"/>
      <c r="R371"/>
      <c r="S371"/>
      <c r="T371"/>
      <c r="U371" s="46"/>
      <c r="V371" s="46"/>
    </row>
    <row r="372" spans="1:22" ht="25.15" customHeight="1" x14ac:dyDescent="0.25">
      <c r="A372" s="17"/>
      <c r="G372"/>
      <c r="H372"/>
      <c r="J372"/>
      <c r="K372"/>
      <c r="L372"/>
      <c r="M372"/>
      <c r="N372"/>
      <c r="P372"/>
      <c r="Q372"/>
      <c r="R372"/>
      <c r="S372"/>
      <c r="T372"/>
      <c r="U372" s="46"/>
      <c r="V372" s="46"/>
    </row>
    <row r="373" spans="1:22" ht="25.15" customHeight="1" x14ac:dyDescent="0.25">
      <c r="A373" s="17"/>
      <c r="G373"/>
      <c r="H373"/>
      <c r="J373"/>
      <c r="K373"/>
      <c r="L373"/>
      <c r="M373"/>
      <c r="N373"/>
      <c r="P373"/>
      <c r="Q373"/>
      <c r="R373"/>
      <c r="S373"/>
      <c r="T373"/>
      <c r="U373" s="46"/>
      <c r="V373" s="46"/>
    </row>
    <row r="374" spans="1:22" ht="25.15" customHeight="1" x14ac:dyDescent="0.25">
      <c r="A374" s="17"/>
      <c r="G374"/>
      <c r="H374"/>
      <c r="J374"/>
      <c r="K374"/>
      <c r="L374"/>
      <c r="M374"/>
      <c r="N374"/>
      <c r="P374"/>
      <c r="Q374"/>
      <c r="R374"/>
      <c r="S374"/>
      <c r="T374"/>
      <c r="U374" s="46"/>
      <c r="V374" s="46"/>
    </row>
    <row r="375" spans="1:22" ht="25.15" customHeight="1" x14ac:dyDescent="0.25">
      <c r="A375" s="17"/>
      <c r="G375"/>
      <c r="H375"/>
      <c r="J375"/>
      <c r="K375"/>
      <c r="L375"/>
      <c r="M375"/>
      <c r="N375"/>
      <c r="P375"/>
      <c r="Q375"/>
      <c r="R375"/>
      <c r="S375"/>
      <c r="T375"/>
      <c r="U375" s="46"/>
      <c r="V375" s="46"/>
    </row>
    <row r="376" spans="1:22" ht="25.15" customHeight="1" x14ac:dyDescent="0.25">
      <c r="A376" s="17"/>
      <c r="G376"/>
      <c r="H376"/>
      <c r="J376"/>
      <c r="K376"/>
      <c r="L376"/>
      <c r="M376"/>
      <c r="N376"/>
      <c r="P376"/>
      <c r="Q376"/>
      <c r="R376"/>
      <c r="S376"/>
      <c r="T376"/>
      <c r="U376" s="46"/>
      <c r="V376" s="46"/>
    </row>
    <row r="377" spans="1:22" ht="25.15" customHeight="1" x14ac:dyDescent="0.25">
      <c r="A377" s="17"/>
      <c r="G377"/>
      <c r="H377"/>
      <c r="J377"/>
      <c r="K377"/>
      <c r="L377"/>
      <c r="M377"/>
      <c r="N377"/>
      <c r="P377"/>
      <c r="Q377"/>
      <c r="R377"/>
      <c r="S377"/>
      <c r="T377"/>
      <c r="U377" s="46"/>
      <c r="V377" s="46"/>
    </row>
    <row r="378" spans="1:22" ht="25.15" customHeight="1" x14ac:dyDescent="0.25">
      <c r="A378" s="17"/>
      <c r="G378"/>
      <c r="H378"/>
      <c r="J378"/>
      <c r="K378"/>
      <c r="L378"/>
      <c r="M378"/>
      <c r="N378"/>
      <c r="P378"/>
      <c r="Q378"/>
      <c r="R378"/>
      <c r="S378"/>
      <c r="T378"/>
      <c r="U378" s="46"/>
      <c r="V378" s="46"/>
    </row>
    <row r="379" spans="1:22" ht="25.15" customHeight="1" x14ac:dyDescent="0.25">
      <c r="A379" s="17"/>
      <c r="G379"/>
      <c r="H379"/>
      <c r="J379"/>
      <c r="K379"/>
      <c r="L379"/>
      <c r="M379"/>
      <c r="N379"/>
      <c r="P379"/>
      <c r="Q379"/>
      <c r="R379"/>
      <c r="S379"/>
      <c r="T379"/>
      <c r="U379" s="46"/>
      <c r="V379" s="46"/>
    </row>
    <row r="380" spans="1:22" ht="25.15" customHeight="1" x14ac:dyDescent="0.25">
      <c r="A380" s="17"/>
      <c r="G380"/>
      <c r="H380"/>
      <c r="J380"/>
      <c r="K380"/>
      <c r="L380"/>
      <c r="M380"/>
      <c r="N380"/>
      <c r="P380"/>
      <c r="Q380"/>
      <c r="R380"/>
      <c r="S380"/>
      <c r="T380"/>
      <c r="U380" s="46"/>
      <c r="V380" s="46"/>
    </row>
    <row r="381" spans="1:22" ht="25.15" customHeight="1" x14ac:dyDescent="0.25">
      <c r="A381" s="17"/>
      <c r="G381"/>
      <c r="H381"/>
      <c r="J381"/>
      <c r="K381"/>
      <c r="L381"/>
      <c r="M381"/>
      <c r="N381"/>
      <c r="P381"/>
      <c r="Q381"/>
      <c r="R381"/>
      <c r="S381"/>
      <c r="T381"/>
      <c r="U381" s="46"/>
      <c r="V381" s="46"/>
    </row>
    <row r="382" spans="1:22" ht="25.15" customHeight="1" x14ac:dyDescent="0.25">
      <c r="A382" s="17"/>
      <c r="G382"/>
      <c r="H382"/>
      <c r="J382"/>
      <c r="K382"/>
      <c r="L382"/>
      <c r="M382"/>
      <c r="N382"/>
      <c r="P382"/>
      <c r="Q382"/>
      <c r="R382"/>
      <c r="S382"/>
      <c r="T382"/>
      <c r="U382" s="46"/>
      <c r="V382" s="46"/>
    </row>
    <row r="383" spans="1:22" ht="25.15" customHeight="1" x14ac:dyDescent="0.25">
      <c r="A383" s="17"/>
      <c r="G383"/>
      <c r="H383"/>
      <c r="J383"/>
      <c r="K383"/>
      <c r="L383"/>
      <c r="M383"/>
      <c r="N383"/>
      <c r="P383"/>
      <c r="Q383"/>
      <c r="R383"/>
      <c r="S383"/>
      <c r="T383"/>
      <c r="U383" s="46"/>
      <c r="V383" s="46"/>
    </row>
    <row r="384" spans="1:22" ht="25.15" customHeight="1" x14ac:dyDescent="0.25">
      <c r="A384" s="17"/>
      <c r="G384"/>
      <c r="H384"/>
      <c r="J384"/>
      <c r="K384"/>
      <c r="L384"/>
      <c r="M384"/>
      <c r="N384"/>
      <c r="P384"/>
      <c r="Q384"/>
      <c r="R384"/>
      <c r="S384"/>
      <c r="T384"/>
      <c r="U384" s="46"/>
      <c r="V384" s="46"/>
    </row>
    <row r="385" spans="1:22" ht="25.15" customHeight="1" x14ac:dyDescent="0.25">
      <c r="A385" s="17"/>
      <c r="G385"/>
      <c r="H385"/>
      <c r="J385"/>
      <c r="K385"/>
      <c r="L385"/>
      <c r="M385"/>
      <c r="N385"/>
      <c r="P385"/>
      <c r="Q385"/>
      <c r="R385"/>
      <c r="S385"/>
      <c r="T385"/>
      <c r="U385" s="46"/>
      <c r="V385" s="46"/>
    </row>
    <row r="386" spans="1:22" ht="25.15" customHeight="1" x14ac:dyDescent="0.25">
      <c r="A386" s="17"/>
      <c r="G386"/>
      <c r="H386"/>
      <c r="J386"/>
      <c r="K386"/>
      <c r="L386"/>
      <c r="M386"/>
      <c r="N386"/>
      <c r="P386"/>
      <c r="Q386"/>
      <c r="R386"/>
      <c r="S386"/>
      <c r="T386"/>
      <c r="U386" s="46"/>
      <c r="V386" s="46"/>
    </row>
    <row r="387" spans="1:22" ht="25.15" customHeight="1" x14ac:dyDescent="0.25">
      <c r="A387" s="17"/>
      <c r="G387"/>
      <c r="H387"/>
      <c r="J387"/>
      <c r="K387"/>
      <c r="L387"/>
      <c r="M387"/>
      <c r="N387"/>
      <c r="P387"/>
      <c r="Q387"/>
      <c r="R387"/>
      <c r="S387"/>
      <c r="T387"/>
      <c r="U387" s="46"/>
      <c r="V387" s="46"/>
    </row>
    <row r="388" spans="1:22" ht="25.15" customHeight="1" x14ac:dyDescent="0.25">
      <c r="A388" s="17"/>
      <c r="G388"/>
      <c r="H388"/>
      <c r="J388"/>
      <c r="K388"/>
      <c r="L388"/>
      <c r="M388"/>
      <c r="N388"/>
      <c r="P388"/>
      <c r="Q388"/>
      <c r="R388"/>
      <c r="S388"/>
      <c r="T388"/>
      <c r="U388" s="46"/>
      <c r="V388" s="46"/>
    </row>
    <row r="389" spans="1:22" ht="25.15" customHeight="1" x14ac:dyDescent="0.25">
      <c r="A389" s="17"/>
      <c r="G389"/>
      <c r="H389"/>
      <c r="J389"/>
      <c r="K389"/>
      <c r="L389"/>
      <c r="M389"/>
      <c r="N389"/>
      <c r="P389"/>
      <c r="Q389"/>
      <c r="R389"/>
      <c r="S389"/>
      <c r="T389"/>
      <c r="U389" s="46"/>
      <c r="V389" s="46"/>
    </row>
    <row r="390" spans="1:22" ht="25.15" customHeight="1" x14ac:dyDescent="0.25">
      <c r="A390" s="17"/>
      <c r="G390"/>
      <c r="H390"/>
      <c r="J390"/>
      <c r="K390"/>
      <c r="L390"/>
      <c r="M390"/>
      <c r="N390"/>
      <c r="P390"/>
      <c r="Q390"/>
      <c r="R390"/>
      <c r="S390"/>
      <c r="T390"/>
      <c r="U390" s="46"/>
      <c r="V390" s="46"/>
    </row>
    <row r="391" spans="1:22" ht="25.15" customHeight="1" x14ac:dyDescent="0.25">
      <c r="A391" s="17"/>
      <c r="G391"/>
      <c r="H391"/>
      <c r="J391"/>
      <c r="K391"/>
      <c r="L391"/>
      <c r="M391"/>
      <c r="N391"/>
      <c r="P391"/>
      <c r="Q391"/>
      <c r="R391"/>
      <c r="S391"/>
      <c r="T391"/>
      <c r="U391" s="46"/>
      <c r="V391" s="46"/>
    </row>
    <row r="392" spans="1:22" ht="25.15" customHeight="1" x14ac:dyDescent="0.25">
      <c r="A392" s="17"/>
      <c r="G392"/>
      <c r="H392"/>
      <c r="J392"/>
      <c r="K392"/>
      <c r="L392"/>
      <c r="M392"/>
      <c r="N392"/>
      <c r="P392"/>
      <c r="Q392"/>
      <c r="R392"/>
      <c r="S392"/>
      <c r="T392"/>
      <c r="U392" s="46"/>
      <c r="V392" s="46"/>
    </row>
    <row r="393" spans="1:22" ht="25.15" customHeight="1" x14ac:dyDescent="0.25">
      <c r="A393" s="17"/>
      <c r="G393"/>
      <c r="H393"/>
      <c r="J393"/>
      <c r="K393"/>
      <c r="L393"/>
      <c r="M393"/>
      <c r="N393"/>
      <c r="P393"/>
      <c r="Q393"/>
      <c r="R393"/>
      <c r="S393"/>
      <c r="T393"/>
      <c r="U393" s="46"/>
      <c r="V393" s="46"/>
    </row>
    <row r="394" spans="1:22" ht="25.15" customHeight="1" x14ac:dyDescent="0.25">
      <c r="A394" s="17"/>
      <c r="G394"/>
      <c r="H394"/>
      <c r="J394"/>
      <c r="K394"/>
      <c r="L394"/>
      <c r="M394"/>
      <c r="N394"/>
      <c r="P394"/>
      <c r="Q394"/>
      <c r="R394"/>
      <c r="S394"/>
      <c r="T394"/>
      <c r="U394" s="46"/>
      <c r="V394" s="46"/>
    </row>
    <row r="395" spans="1:22" ht="25.15" customHeight="1" x14ac:dyDescent="0.25">
      <c r="A395" s="17"/>
      <c r="G395"/>
      <c r="H395"/>
      <c r="J395"/>
      <c r="K395"/>
      <c r="L395"/>
      <c r="M395"/>
      <c r="N395"/>
      <c r="P395"/>
      <c r="Q395"/>
      <c r="R395"/>
      <c r="S395"/>
      <c r="T395"/>
      <c r="U395" s="46"/>
      <c r="V395" s="46"/>
    </row>
    <row r="396" spans="1:22" ht="25.15" customHeight="1" x14ac:dyDescent="0.25">
      <c r="A396" s="17"/>
      <c r="G396"/>
      <c r="H396"/>
      <c r="J396"/>
      <c r="K396"/>
      <c r="L396"/>
      <c r="M396"/>
      <c r="N396"/>
      <c r="P396"/>
      <c r="Q396"/>
      <c r="R396"/>
      <c r="S396"/>
      <c r="T396"/>
      <c r="U396" s="46"/>
      <c r="V396" s="46"/>
    </row>
    <row r="397" spans="1:22" ht="25.15" customHeight="1" x14ac:dyDescent="0.25">
      <c r="A397" s="17"/>
      <c r="G397"/>
      <c r="H397"/>
      <c r="J397"/>
      <c r="K397"/>
      <c r="L397"/>
      <c r="M397"/>
      <c r="N397"/>
      <c r="P397"/>
      <c r="Q397"/>
      <c r="R397"/>
      <c r="S397"/>
      <c r="T397"/>
      <c r="U397" s="46"/>
      <c r="V397" s="46"/>
    </row>
    <row r="398" spans="1:22" ht="25.15" customHeight="1" x14ac:dyDescent="0.25">
      <c r="A398" s="17"/>
      <c r="G398"/>
      <c r="H398"/>
      <c r="J398"/>
      <c r="K398"/>
      <c r="L398"/>
      <c r="M398"/>
      <c r="N398"/>
      <c r="P398"/>
      <c r="Q398"/>
      <c r="R398"/>
      <c r="S398"/>
      <c r="T398"/>
      <c r="U398" s="46"/>
      <c r="V398" s="46"/>
    </row>
    <row r="399" spans="1:22" ht="25.15" customHeight="1" x14ac:dyDescent="0.25">
      <c r="A399" s="17"/>
      <c r="G399"/>
      <c r="H399"/>
      <c r="J399"/>
      <c r="K399"/>
      <c r="L399"/>
      <c r="M399"/>
      <c r="N399"/>
      <c r="P399"/>
      <c r="Q399"/>
      <c r="R399"/>
      <c r="S399"/>
      <c r="T399"/>
      <c r="U399" s="46"/>
      <c r="V399" s="46"/>
    </row>
    <row r="400" spans="1:22" ht="25.15" customHeight="1" x14ac:dyDescent="0.25">
      <c r="A400" s="17"/>
      <c r="G400"/>
      <c r="H400"/>
      <c r="J400"/>
      <c r="K400"/>
      <c r="L400"/>
      <c r="M400"/>
      <c r="N400"/>
      <c r="P400"/>
      <c r="Q400"/>
      <c r="R400"/>
      <c r="S400"/>
      <c r="T400"/>
      <c r="U400" s="46"/>
      <c r="V400" s="46"/>
    </row>
    <row r="401" spans="1:22" ht="25.15" customHeight="1" x14ac:dyDescent="0.25">
      <c r="A401" s="17"/>
      <c r="G401"/>
      <c r="H401"/>
      <c r="J401"/>
      <c r="K401"/>
      <c r="L401"/>
      <c r="M401"/>
      <c r="N401"/>
      <c r="P401"/>
      <c r="Q401"/>
      <c r="R401"/>
      <c r="S401"/>
      <c r="T401"/>
      <c r="U401" s="46"/>
      <c r="V401" s="46"/>
    </row>
    <row r="402" spans="1:22" ht="25.15" customHeight="1" x14ac:dyDescent="0.25">
      <c r="A402" s="17"/>
      <c r="G402"/>
      <c r="H402"/>
      <c r="J402"/>
      <c r="K402"/>
      <c r="L402"/>
      <c r="M402"/>
      <c r="N402"/>
      <c r="P402"/>
      <c r="Q402"/>
      <c r="R402"/>
      <c r="S402"/>
      <c r="T402"/>
      <c r="U402" s="46"/>
      <c r="V402" s="46"/>
    </row>
    <row r="403" spans="1:22" ht="25.15" customHeight="1" x14ac:dyDescent="0.25">
      <c r="A403" s="17"/>
      <c r="G403"/>
      <c r="H403"/>
      <c r="J403"/>
      <c r="K403"/>
      <c r="L403"/>
      <c r="M403"/>
      <c r="N403"/>
      <c r="P403"/>
      <c r="Q403"/>
      <c r="R403"/>
      <c r="S403"/>
      <c r="T403"/>
      <c r="U403" s="46"/>
      <c r="V403" s="46"/>
    </row>
    <row r="404" spans="1:22" ht="25.15" customHeight="1" x14ac:dyDescent="0.25">
      <c r="A404" s="17"/>
      <c r="G404"/>
      <c r="H404"/>
      <c r="J404"/>
      <c r="K404"/>
      <c r="L404"/>
      <c r="M404"/>
      <c r="N404"/>
      <c r="P404"/>
      <c r="Q404"/>
      <c r="R404"/>
      <c r="S404"/>
      <c r="T404"/>
      <c r="U404" s="46"/>
      <c r="V404" s="46"/>
    </row>
    <row r="405" spans="1:22" ht="25.15" customHeight="1" x14ac:dyDescent="0.25">
      <c r="A405" s="17"/>
      <c r="G405"/>
      <c r="H405"/>
      <c r="J405"/>
      <c r="K405"/>
      <c r="L405"/>
      <c r="M405"/>
      <c r="N405"/>
      <c r="P405"/>
      <c r="Q405"/>
      <c r="R405"/>
      <c r="S405"/>
      <c r="T405"/>
      <c r="U405" s="46"/>
      <c r="V405" s="46"/>
    </row>
    <row r="406" spans="1:22" ht="25.15" customHeight="1" x14ac:dyDescent="0.25">
      <c r="A406" s="17"/>
      <c r="G406"/>
      <c r="H406"/>
      <c r="J406"/>
      <c r="K406"/>
      <c r="L406"/>
      <c r="M406"/>
      <c r="N406"/>
      <c r="P406"/>
      <c r="Q406"/>
      <c r="R406"/>
      <c r="S406"/>
      <c r="T406"/>
      <c r="U406" s="46"/>
      <c r="V406" s="46"/>
    </row>
    <row r="407" spans="1:22" ht="25.15" customHeight="1" x14ac:dyDescent="0.25">
      <c r="A407" s="17"/>
      <c r="G407"/>
      <c r="H407"/>
      <c r="J407"/>
      <c r="K407"/>
      <c r="L407"/>
      <c r="M407"/>
      <c r="N407"/>
      <c r="P407"/>
      <c r="Q407"/>
      <c r="R407"/>
      <c r="S407"/>
      <c r="T407"/>
      <c r="U407" s="46"/>
      <c r="V407" s="46"/>
    </row>
    <row r="408" spans="1:22" ht="25.15" customHeight="1" x14ac:dyDescent="0.25">
      <c r="A408" s="17"/>
      <c r="G408"/>
      <c r="H408"/>
      <c r="J408"/>
      <c r="K408"/>
      <c r="L408"/>
      <c r="M408"/>
      <c r="N408"/>
      <c r="P408"/>
      <c r="Q408"/>
      <c r="R408"/>
      <c r="S408"/>
      <c r="T408"/>
      <c r="U408" s="46"/>
      <c r="V408" s="46"/>
    </row>
    <row r="409" spans="1:22" ht="25.15" customHeight="1" x14ac:dyDescent="0.25">
      <c r="A409" s="17"/>
      <c r="G409"/>
      <c r="H409"/>
      <c r="J409"/>
      <c r="K409"/>
      <c r="L409"/>
      <c r="M409"/>
      <c r="N409"/>
      <c r="P409"/>
      <c r="Q409"/>
      <c r="R409"/>
      <c r="S409"/>
      <c r="T409"/>
      <c r="U409" s="46"/>
      <c r="V409" s="46"/>
    </row>
    <row r="410" spans="1:22" ht="25.15" customHeight="1" x14ac:dyDescent="0.25">
      <c r="A410" s="17"/>
      <c r="G410"/>
      <c r="H410"/>
      <c r="J410"/>
      <c r="K410"/>
      <c r="L410"/>
      <c r="M410"/>
      <c r="N410"/>
      <c r="P410"/>
      <c r="Q410"/>
      <c r="R410"/>
      <c r="S410"/>
      <c r="T410"/>
      <c r="U410" s="46"/>
      <c r="V410" s="46"/>
    </row>
    <row r="411" spans="1:22" ht="25.15" customHeight="1" x14ac:dyDescent="0.25">
      <c r="A411" s="17"/>
      <c r="G411"/>
      <c r="H411"/>
      <c r="J411"/>
      <c r="K411"/>
      <c r="L411"/>
      <c r="M411"/>
      <c r="N411"/>
      <c r="P411"/>
      <c r="Q411"/>
      <c r="R411"/>
      <c r="S411"/>
      <c r="T411"/>
      <c r="U411" s="46"/>
      <c r="V411" s="46"/>
    </row>
    <row r="412" spans="1:22" ht="25.15" customHeight="1" x14ac:dyDescent="0.25">
      <c r="A412" s="17"/>
      <c r="G412"/>
      <c r="H412"/>
      <c r="J412"/>
      <c r="K412"/>
      <c r="L412"/>
      <c r="M412"/>
      <c r="N412"/>
      <c r="P412"/>
      <c r="Q412"/>
      <c r="R412"/>
      <c r="S412"/>
      <c r="T412"/>
      <c r="U412" s="46"/>
      <c r="V412" s="46"/>
    </row>
    <row r="413" spans="1:22" ht="25.15" customHeight="1" x14ac:dyDescent="0.25">
      <c r="A413" s="17"/>
      <c r="G413"/>
      <c r="H413"/>
      <c r="J413"/>
      <c r="K413"/>
      <c r="L413"/>
      <c r="M413"/>
      <c r="N413"/>
      <c r="P413"/>
      <c r="Q413"/>
      <c r="R413"/>
      <c r="S413"/>
      <c r="T413"/>
      <c r="U413" s="46"/>
      <c r="V413" s="46"/>
    </row>
    <row r="414" spans="1:22" ht="25.15" customHeight="1" x14ac:dyDescent="0.25">
      <c r="A414" s="17"/>
      <c r="G414"/>
      <c r="H414"/>
      <c r="J414"/>
      <c r="K414"/>
      <c r="L414"/>
      <c r="M414"/>
      <c r="N414"/>
      <c r="P414"/>
      <c r="Q414"/>
      <c r="R414"/>
      <c r="S414"/>
      <c r="T414"/>
      <c r="U414" s="46"/>
      <c r="V414" s="46"/>
    </row>
    <row r="415" spans="1:22" ht="25.15" customHeight="1" x14ac:dyDescent="0.25">
      <c r="A415" s="17"/>
      <c r="G415"/>
      <c r="H415"/>
      <c r="J415"/>
      <c r="K415"/>
      <c r="L415"/>
      <c r="M415"/>
      <c r="N415"/>
      <c r="P415"/>
      <c r="Q415"/>
      <c r="R415"/>
      <c r="S415"/>
      <c r="T415"/>
      <c r="U415" s="46"/>
      <c r="V415" s="46"/>
    </row>
    <row r="416" spans="1:22" ht="25.15" customHeight="1" x14ac:dyDescent="0.25">
      <c r="A416" s="17"/>
      <c r="G416"/>
      <c r="H416"/>
      <c r="J416"/>
      <c r="K416"/>
      <c r="L416"/>
      <c r="M416"/>
      <c r="N416"/>
      <c r="P416"/>
      <c r="Q416"/>
      <c r="R416"/>
      <c r="S416"/>
      <c r="T416"/>
      <c r="U416" s="46"/>
      <c r="V416" s="46"/>
    </row>
    <row r="417" spans="1:22" ht="25.15" customHeight="1" x14ac:dyDescent="0.25">
      <c r="A417" s="17"/>
      <c r="G417"/>
      <c r="H417"/>
      <c r="J417"/>
      <c r="K417"/>
      <c r="L417"/>
      <c r="M417"/>
      <c r="N417"/>
      <c r="P417"/>
      <c r="Q417"/>
      <c r="R417"/>
      <c r="S417"/>
      <c r="T417"/>
      <c r="U417" s="46"/>
      <c r="V417" s="46"/>
    </row>
    <row r="418" spans="1:22" ht="25.15" customHeight="1" x14ac:dyDescent="0.25">
      <c r="A418" s="17"/>
      <c r="G418"/>
      <c r="H418"/>
      <c r="J418"/>
      <c r="K418"/>
      <c r="L418"/>
      <c r="M418"/>
      <c r="N418"/>
      <c r="P418"/>
      <c r="Q418"/>
      <c r="R418"/>
      <c r="S418"/>
      <c r="T418"/>
      <c r="U418" s="46"/>
      <c r="V418" s="46"/>
    </row>
    <row r="419" spans="1:22" ht="25.15" customHeight="1" x14ac:dyDescent="0.25">
      <c r="A419" s="17"/>
      <c r="G419"/>
      <c r="H419"/>
      <c r="J419"/>
      <c r="K419"/>
      <c r="L419"/>
      <c r="M419"/>
      <c r="N419"/>
      <c r="P419"/>
      <c r="Q419"/>
      <c r="R419"/>
      <c r="S419"/>
      <c r="T419"/>
      <c r="U419" s="46"/>
      <c r="V419" s="46"/>
    </row>
    <row r="420" spans="1:22" ht="25.15" customHeight="1" x14ac:dyDescent="0.25">
      <c r="A420" s="17"/>
      <c r="G420"/>
      <c r="H420"/>
      <c r="J420"/>
      <c r="K420"/>
      <c r="L420"/>
      <c r="M420"/>
      <c r="N420"/>
      <c r="P420"/>
      <c r="Q420"/>
      <c r="R420"/>
      <c r="S420"/>
      <c r="T420"/>
      <c r="U420" s="46"/>
      <c r="V420" s="46"/>
    </row>
    <row r="421" spans="1:22" ht="25.15" customHeight="1" x14ac:dyDescent="0.25">
      <c r="A421" s="17"/>
      <c r="G421"/>
      <c r="H421"/>
      <c r="J421"/>
      <c r="K421"/>
      <c r="L421"/>
      <c r="M421"/>
      <c r="N421"/>
      <c r="P421"/>
      <c r="Q421"/>
      <c r="R421"/>
      <c r="S421"/>
      <c r="T421"/>
      <c r="U421" s="46"/>
      <c r="V421" s="46"/>
    </row>
    <row r="422" spans="1:22" ht="25.15" customHeight="1" x14ac:dyDescent="0.25">
      <c r="A422" s="17"/>
      <c r="G422"/>
      <c r="H422"/>
      <c r="J422"/>
      <c r="K422"/>
      <c r="L422"/>
      <c r="M422"/>
      <c r="N422"/>
      <c r="P422"/>
      <c r="Q422"/>
      <c r="R422"/>
      <c r="S422"/>
      <c r="T422"/>
      <c r="U422" s="46"/>
      <c r="V422" s="46"/>
    </row>
    <row r="423" spans="1:22" ht="25.15" customHeight="1" x14ac:dyDescent="0.25">
      <c r="A423" s="17"/>
      <c r="G423"/>
      <c r="H423"/>
      <c r="J423"/>
      <c r="K423"/>
      <c r="L423"/>
      <c r="M423"/>
      <c r="N423"/>
      <c r="P423"/>
      <c r="Q423"/>
      <c r="R423"/>
      <c r="S423"/>
      <c r="T423"/>
      <c r="U423" s="46"/>
      <c r="V423" s="46"/>
    </row>
    <row r="424" spans="1:22" ht="25.15" customHeight="1" x14ac:dyDescent="0.25">
      <c r="A424" s="17"/>
      <c r="G424"/>
      <c r="H424"/>
      <c r="J424"/>
      <c r="K424"/>
      <c r="L424"/>
      <c r="M424"/>
      <c r="N424"/>
      <c r="P424"/>
      <c r="Q424"/>
      <c r="R424"/>
      <c r="S424"/>
      <c r="T424"/>
      <c r="U424" s="46"/>
      <c r="V424" s="46"/>
    </row>
    <row r="425" spans="1:22" ht="25.15" customHeight="1" x14ac:dyDescent="0.25">
      <c r="H425"/>
      <c r="U425" s="46"/>
      <c r="V425" s="46"/>
    </row>
    <row r="426" spans="1:22" ht="25.15" customHeight="1" x14ac:dyDescent="0.25">
      <c r="U426" s="46"/>
      <c r="V426" s="46"/>
    </row>
    <row r="427" spans="1:22" ht="25.15" customHeight="1" x14ac:dyDescent="0.25">
      <c r="U427" s="46"/>
      <c r="V427" s="46"/>
    </row>
    <row r="428" spans="1:22" ht="25.15" customHeight="1" x14ac:dyDescent="0.25">
      <c r="U428" s="46"/>
      <c r="V428" s="46"/>
    </row>
    <row r="429" spans="1:22" ht="25.15" customHeight="1" x14ac:dyDescent="0.25">
      <c r="U429" s="46"/>
      <c r="V429" s="46"/>
    </row>
    <row r="430" spans="1:22" ht="25.15" customHeight="1" x14ac:dyDescent="0.25">
      <c r="U430" s="46"/>
      <c r="V430" s="46"/>
    </row>
    <row r="431" spans="1:22" ht="25.15" customHeight="1" x14ac:dyDescent="0.25">
      <c r="U431" s="46"/>
      <c r="V431" s="46"/>
    </row>
  </sheetData>
  <phoneticPr fontId="8" type="noConversion"/>
  <conditionalFormatting sqref="E2:T1048576">
    <cfRule type="cellIs" dxfId="53" priority="1" operator="lessThan">
      <formula>6</formula>
    </cfRule>
  </conditionalFormatting>
  <conditionalFormatting sqref="P1:T1 U32:W32">
    <cfRule type="cellIs" dxfId="52" priority="25" operator="lessThan">
      <formula>6</formula>
    </cfRule>
  </conditionalFormatting>
  <conditionalFormatting sqref="U1:U31 U37:U1048576">
    <cfRule type="cellIs" dxfId="51" priority="24" operator="greaterThan">
      <formula>19</formula>
    </cfRule>
  </conditionalFormatting>
  <conditionalFormatting sqref="V1:V31 V37:V1048576">
    <cfRule type="cellIs" dxfId="50" priority="23" operator="greaterThan">
      <formula>5</formula>
    </cfRule>
  </conditionalFormatting>
  <conditionalFormatting sqref="AE1">
    <cfRule type="cellIs" dxfId="49" priority="21" operator="lessThan">
      <formula>6</formula>
    </cfRule>
  </conditionalFormatting>
  <conditionalFormatting sqref="AG1:AG1048576">
    <cfRule type="cellIs" dxfId="48" priority="19" operator="greaterThan">
      <formula>14</formula>
    </cfRule>
  </conditionalFormatting>
  <conditionalFormatting sqref="AK1:AK1048576">
    <cfRule type="cellIs" dxfId="47" priority="20" operator="greaterThan">
      <formula>4</formula>
    </cfRule>
  </conditionalFormatting>
  <dataValidations xWindow="716" yWindow="573" count="12">
    <dataValidation allowBlank="1" showInputMessage="1" showErrorMessage="1" promptTitle="petunjuk Pengisian " prompt="Izin 20 Hari dalam 1 Semester dapat menurunkan satu nilai akhlaq" sqref="U37:U1048576 U1:U31" xr:uid="{00000000-0002-0000-0600-000000000000}"/>
    <dataValidation allowBlank="1" showInputMessage="1" showErrorMessage="1" promptTitle="Petunjuk Pengisian" prompt="Tidak Izin 6 Hari dalam 1 Semester dapat menurunkan satu nilai akhlaq" sqref="V37:V1048576 V1:V31" xr:uid="{00000000-0002-0000-0600-000001000000}"/>
    <dataValidation allowBlank="1" showInputMessage="1" showErrorMessage="1" promptTitle="Petunjuk pengisian" prompt="Izin 20 Hari dalam 1 Semester dapat menurunkan satu nilai akhlaq" sqref="AE1" xr:uid="{00000000-0002-0000-0600-000002000000}"/>
    <dataValidation allowBlank="1" showInputMessage="1" showErrorMessage="1" promptTitle="Petunjuk Pengisian" prompt="jumlah nilai pelajaran seluruh siswi dibagi Jumlah siswi _x000a_- tanpa mengikutkan yang boyong _x000a_- cuty tetap diikutkan_x000a_- siswi yang her/ tanpa keterangan dikira kirakan 4 nilainya" sqref="H36" xr:uid="{00000000-0002-0000-0600-00000A000000}"/>
    <dataValidation allowBlank="1" showInputMessage="1" showErrorMessage="1" promptTitle="Petunjuk Pengisian" prompt="jumlah nilai pelajaran seluruh siswi dibagi Jumlah siswi _x000a_- tanpa mengikutkan yang boyong/ cuty _x000a_- siswi yang her/ tanpa keterangan dikira kirakan 4 nilainya" sqref="H37:H51" xr:uid="{00000000-0002-0000-0600-00000B000000}"/>
    <dataValidation allowBlank="1" showInputMessage="1" showErrorMessage="1" promptTitle="Petunjuk Pengisian" prompt="Jumlah Nilai pelajaran siswi" sqref="X1:Y1048576" xr:uid="{00000000-0002-0000-0600-000003000000}"/>
    <dataValidation allowBlank="1" showInputMessage="1" showErrorMessage="1" promptTitle="Petunjuk pengisian" prompt="Jumlah Nilai Pelajaran siswi semester I &amp; II" sqref="Z1:Z1048576" xr:uid="{00000000-0002-0000-0600-000004000000}"/>
    <dataValidation allowBlank="1" showInputMessage="1" showErrorMessage="1" promptTitle="Petunjuk Pengisian" prompt="Jumlah Mata pelajran semester I &amp; II" sqref="AA1:AA1048576" xr:uid="{00000000-0002-0000-0600-000005000000}"/>
    <dataValidation allowBlank="1" showInputMessage="1" showErrorMessage="1" promptTitle="petunjuk pengisian" prompt="Jumlah Nilai siswi Semester I &amp; II dibagi Jumlah Pelajaran semster I &amp; II" sqref="AB1:AB1048576" xr:uid="{00000000-0002-0000-0600-000006000000}"/>
    <dataValidation allowBlank="1" showInputMessage="1" showErrorMessage="1" promptTitle="PETUNJUK PENGISIAN" prompt="TIDAK IZIN 5 HARI DALAM 1 TAHUN (SEMESTER I &amp; II )MENURUNKAN SATU NILAI PRESTASI" sqref="AK1:AK1048576" xr:uid="{00000000-0002-0000-0600-000007000000}"/>
    <dataValidation allowBlank="1" showInputMessage="1" showErrorMessage="1" promptTitle="PETUNJUIK PENGISIAN" prompt="IZIN 15 HARI DALAM 1 TAHUN (SEMESTER I &amp; II )MENURUNKAN SATU NILAI PRESTASI" sqref="AG1:AG1048576" xr:uid="{00000000-0002-0000-0600-000008000000}"/>
    <dataValidation allowBlank="1" showInputMessage="1" showErrorMessage="1" promptTitle="Petunjuk Pengisian" prompt="Jika Nilai Rata-ratanya mencapai_x000a_9 : الجيد الأول_x000a_8 : الجيد الثاني_x000a_7 : المتوسط الأول_x000a_6 : المتوسط الثاني_x000a_5 : الرديء/ المثبت" sqref="AC1:AC1048576" xr:uid="{00000000-0002-0000-0600-000009000000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AK435"/>
  <sheetViews>
    <sheetView topLeftCell="C1" zoomScale="64" zoomScaleNormal="64" workbookViewId="0">
      <selection activeCell="H53" sqref="H53"/>
    </sheetView>
  </sheetViews>
  <sheetFormatPr defaultRowHeight="30" x14ac:dyDescent="0.25"/>
  <cols>
    <col min="1" max="1" width="14.85546875" style="35" customWidth="1"/>
    <col min="2" max="2" width="48.7109375" style="81" customWidth="1"/>
    <col min="3" max="3" width="16.85546875" style="7" customWidth="1"/>
    <col min="4" max="4" width="14.85546875" style="7" customWidth="1"/>
    <col min="5" max="5" width="11.7109375" style="3" customWidth="1"/>
    <col min="6" max="6" width="7.42578125" style="5" customWidth="1"/>
    <col min="7" max="7" width="13.5703125" style="5" customWidth="1"/>
    <col min="8" max="8" width="19.5703125" style="5" customWidth="1"/>
    <col min="9" max="9" width="13.85546875" style="25" customWidth="1"/>
    <col min="10" max="10" width="13" style="5" customWidth="1"/>
    <col min="11" max="14" width="17.7109375" style="5" customWidth="1"/>
    <col min="15" max="15" width="17.7109375" style="25" customWidth="1"/>
    <col min="16" max="19" width="17.7109375" style="5" customWidth="1"/>
    <col min="20" max="20" width="13.5703125" style="6" customWidth="1"/>
    <col min="21" max="22" width="8.7109375" style="278" customWidth="1"/>
    <col min="23" max="23" width="7" customWidth="1"/>
    <col min="24" max="24" width="13.42578125" style="30" customWidth="1"/>
    <col min="25" max="25" width="10.140625" style="30" customWidth="1"/>
    <col min="26" max="26" width="14.85546875" style="280" customWidth="1"/>
    <col min="27" max="27" width="24" style="30" customWidth="1"/>
    <col min="28" max="28" width="10.7109375" style="32" customWidth="1"/>
    <col min="29" max="29" width="13.42578125" style="31" customWidth="1"/>
    <col min="31" max="31" width="11" style="53" customWidth="1"/>
    <col min="32" max="32" width="9.140625" style="53" customWidth="1"/>
    <col min="33" max="33" width="21" style="54" customWidth="1"/>
    <col min="34" max="34" width="9.140625" customWidth="1"/>
    <col min="35" max="36" width="9.140625" style="53" customWidth="1"/>
    <col min="37" max="37" width="18.28515625" style="55" customWidth="1"/>
  </cols>
  <sheetData>
    <row r="1" spans="1:37" s="20" customFormat="1" ht="25.15" customHeight="1" thickBot="1" x14ac:dyDescent="0.3">
      <c r="A1" s="34" t="s">
        <v>1</v>
      </c>
      <c r="B1" s="78" t="s">
        <v>0</v>
      </c>
      <c r="C1" s="11" t="s">
        <v>2</v>
      </c>
      <c r="D1" s="11" t="s">
        <v>13</v>
      </c>
      <c r="E1" s="39" t="s">
        <v>3</v>
      </c>
      <c r="F1" s="36"/>
      <c r="G1" s="21" t="s">
        <v>51</v>
      </c>
      <c r="H1" s="21" t="s">
        <v>4</v>
      </c>
      <c r="I1" s="22" t="s">
        <v>52</v>
      </c>
      <c r="J1" s="21" t="s">
        <v>5</v>
      </c>
      <c r="K1" s="21" t="s">
        <v>53</v>
      </c>
      <c r="L1" s="21" t="s">
        <v>73</v>
      </c>
      <c r="M1" s="21" t="s">
        <v>54</v>
      </c>
      <c r="N1" s="21" t="s">
        <v>55</v>
      </c>
      <c r="O1" s="22" t="s">
        <v>57</v>
      </c>
      <c r="P1" s="12" t="s">
        <v>6</v>
      </c>
      <c r="Q1" s="12" t="s">
        <v>7</v>
      </c>
      <c r="R1" s="12" t="s">
        <v>8</v>
      </c>
      <c r="S1" s="12" t="s">
        <v>9</v>
      </c>
      <c r="T1" s="275" t="s">
        <v>10</v>
      </c>
      <c r="U1" s="276" t="s">
        <v>11</v>
      </c>
      <c r="V1" s="276" t="s">
        <v>12</v>
      </c>
      <c r="X1" s="30" t="s">
        <v>58</v>
      </c>
      <c r="Y1" s="30" t="s">
        <v>59</v>
      </c>
      <c r="Z1" s="280" t="s">
        <v>60</v>
      </c>
      <c r="AA1" s="30" t="s">
        <v>61</v>
      </c>
      <c r="AB1" s="26" t="s">
        <v>62</v>
      </c>
      <c r="AC1" s="31" t="s">
        <v>63</v>
      </c>
      <c r="AE1" s="47" t="s">
        <v>67</v>
      </c>
      <c r="AF1" s="48" t="s">
        <v>68</v>
      </c>
      <c r="AG1" s="49" t="s">
        <v>69</v>
      </c>
      <c r="AH1" s="42"/>
      <c r="AI1" s="50" t="s">
        <v>70</v>
      </c>
      <c r="AJ1" s="50" t="s">
        <v>71</v>
      </c>
      <c r="AK1" s="49" t="s">
        <v>72</v>
      </c>
    </row>
    <row r="2" spans="1:37" s="59" customFormat="1" ht="25.15" customHeight="1" thickBot="1" x14ac:dyDescent="0.3">
      <c r="A2" s="58" t="str">
        <f>'2 ALIYAH B'!A2:C33</f>
        <v>01</v>
      </c>
      <c r="B2" s="82" t="str">
        <f>'2 ALIYAH B'!B2:D33</f>
        <v>AINUN NISA</v>
      </c>
      <c r="C2" s="58">
        <f>'2 ALIYAH B'!C2:E33</f>
        <v>2884</v>
      </c>
      <c r="D2" s="150" t="s">
        <v>14</v>
      </c>
      <c r="E2" s="151" t="str">
        <f>TEXT(F2,"[$-2000000]0")</f>
        <v>٧</v>
      </c>
      <c r="F2" s="151">
        <v>7</v>
      </c>
      <c r="G2" s="151" t="s">
        <v>56</v>
      </c>
      <c r="H2" s="151">
        <v>8</v>
      </c>
      <c r="I2" s="151">
        <v>9</v>
      </c>
      <c r="J2" s="151">
        <v>8</v>
      </c>
      <c r="K2" s="151">
        <v>8</v>
      </c>
      <c r="L2" s="151">
        <v>8</v>
      </c>
      <c r="M2" s="151">
        <v>8</v>
      </c>
      <c r="N2" s="151">
        <v>8</v>
      </c>
      <c r="O2" s="151">
        <v>7</v>
      </c>
      <c r="P2" s="151">
        <v>8</v>
      </c>
      <c r="Q2" s="151">
        <v>9</v>
      </c>
      <c r="R2" s="151">
        <v>8</v>
      </c>
      <c r="S2" s="151">
        <v>8</v>
      </c>
      <c r="T2" s="4">
        <f t="shared" ref="T2:T34" si="0">SUM(E2:S2)</f>
        <v>104</v>
      </c>
      <c r="U2" s="142" t="s">
        <v>56</v>
      </c>
      <c r="V2" s="142" t="s">
        <v>56</v>
      </c>
      <c r="X2" s="27">
        <f>'2 ALIYAH B'!T2:T33</f>
        <v>95</v>
      </c>
      <c r="Y2" s="27">
        <f t="shared" ref="Y2:Y34" si="1">T2</f>
        <v>104</v>
      </c>
      <c r="Z2" s="60">
        <f t="shared" ref="Z2:Z33" si="2">X2+Y2</f>
        <v>199</v>
      </c>
      <c r="AA2" s="27">
        <v>26</v>
      </c>
      <c r="AB2" s="60">
        <f>Z2/AA2</f>
        <v>8</v>
      </c>
      <c r="AC2" s="29" t="str">
        <f t="shared" ref="AC2:AC34" si="3">IF(AB2&gt;=8.5,"الجيد الأول",IF(AB2&gt;=7.5,"الجيد الثاني",IF(AB2&gt;=6.5,"المتوسط الأول",IF(AB2&gt;=5.5,"المتوسط الثاني",IF(AB2&gt;=4.5,"الرديء",)))))</f>
        <v>الجيد الثاني</v>
      </c>
      <c r="AE2" s="61" t="str">
        <f>'2 ALIYAH B'!U2:U33</f>
        <v>-</v>
      </c>
      <c r="AF2" s="61" t="str">
        <f>U2:U33</f>
        <v>-</v>
      </c>
      <c r="AG2" s="52">
        <f>SUM(AE2:AF2)</f>
        <v>0</v>
      </c>
      <c r="AI2" s="61">
        <f>'2 ALIYAH B'!V2:V34</f>
        <v>8</v>
      </c>
      <c r="AJ2" s="61" t="str">
        <f t="shared" ref="AJ2:AJ11" si="4">V2:V24</f>
        <v>-</v>
      </c>
      <c r="AK2" s="52">
        <f>SUM(AI2:AJ2)</f>
        <v>8</v>
      </c>
    </row>
    <row r="3" spans="1:37" s="59" customFormat="1" ht="25.15" customHeight="1" thickBot="1" x14ac:dyDescent="0.3">
      <c r="A3" s="58" t="str">
        <f>'2 ALIYAH B'!A3:C34</f>
        <v>02</v>
      </c>
      <c r="B3" s="82" t="str">
        <f>'2 ALIYAH B'!B3:D34</f>
        <v>ALLENTHA SHEYNA LUNAURA Y. P.</v>
      </c>
      <c r="C3" s="58">
        <f>'2 ALIYAH B'!C3:E34</f>
        <v>2722</v>
      </c>
      <c r="D3" s="150" t="s">
        <v>15</v>
      </c>
      <c r="E3" s="151" t="str">
        <f t="shared" ref="E3:E33" si="5">TEXT(F3,"[$-2000000]0")</f>
        <v>٦</v>
      </c>
      <c r="F3" s="151">
        <v>6</v>
      </c>
      <c r="G3" s="151" t="s">
        <v>56</v>
      </c>
      <c r="H3" s="151">
        <v>8</v>
      </c>
      <c r="I3" s="151">
        <v>8</v>
      </c>
      <c r="J3" s="151">
        <v>8</v>
      </c>
      <c r="K3" s="151">
        <v>7</v>
      </c>
      <c r="L3" s="151">
        <v>9</v>
      </c>
      <c r="M3" s="151">
        <v>8</v>
      </c>
      <c r="N3" s="151">
        <v>8</v>
      </c>
      <c r="O3" s="151">
        <v>8</v>
      </c>
      <c r="P3" s="151">
        <v>9</v>
      </c>
      <c r="Q3" s="151">
        <v>9</v>
      </c>
      <c r="R3" s="151">
        <v>8</v>
      </c>
      <c r="S3" s="151">
        <v>8</v>
      </c>
      <c r="T3" s="4">
        <f t="shared" si="0"/>
        <v>104</v>
      </c>
      <c r="U3" s="142">
        <v>1</v>
      </c>
      <c r="V3" s="142">
        <v>9</v>
      </c>
      <c r="X3" s="27">
        <f>'2 ALIYAH B'!T3:T34</f>
        <v>107</v>
      </c>
      <c r="Y3" s="27">
        <f t="shared" si="1"/>
        <v>104</v>
      </c>
      <c r="Z3" s="60">
        <f t="shared" si="2"/>
        <v>211</v>
      </c>
      <c r="AA3" s="27">
        <v>26</v>
      </c>
      <c r="AB3" s="60">
        <f t="shared" ref="AB3:AB33" si="6">Z3/AA3</f>
        <v>8</v>
      </c>
      <c r="AC3" s="29" t="str">
        <f t="shared" si="3"/>
        <v>الجيد الثاني</v>
      </c>
      <c r="AE3" s="61" t="str">
        <f>'2 ALIYAH B'!U3:U34</f>
        <v>-</v>
      </c>
      <c r="AF3" s="61">
        <f>U3:U33</f>
        <v>1</v>
      </c>
      <c r="AG3" s="52">
        <f t="shared" ref="AG3:AG33" si="7">SUM(AE3:AF3)</f>
        <v>1</v>
      </c>
      <c r="AI3" s="61">
        <f>'2 ALIYAH B'!V3:V35</f>
        <v>1</v>
      </c>
      <c r="AJ3" s="61">
        <f t="shared" si="4"/>
        <v>9</v>
      </c>
      <c r="AK3" s="52">
        <f t="shared" ref="AK3:AK33" si="8">SUM(AI3:AJ3)</f>
        <v>10</v>
      </c>
    </row>
    <row r="4" spans="1:37" s="59" customFormat="1" ht="25.15" customHeight="1" thickBot="1" x14ac:dyDescent="0.3">
      <c r="A4" s="58" t="str">
        <f>'2 ALIYAH B'!A4:C35</f>
        <v>03</v>
      </c>
      <c r="B4" s="82" t="str">
        <f>'2 ALIYAH B'!B4:D35</f>
        <v>BINTI MARDLOTILLAH</v>
      </c>
      <c r="C4" s="58">
        <f>'2 ALIYAH B'!C4:E35</f>
        <v>2652</v>
      </c>
      <c r="D4" s="150" t="s">
        <v>16</v>
      </c>
      <c r="E4" s="151" t="str">
        <f t="shared" si="5"/>
        <v>٩</v>
      </c>
      <c r="F4" s="151">
        <v>9</v>
      </c>
      <c r="G4" s="151" t="s">
        <v>56</v>
      </c>
      <c r="H4" s="151">
        <v>9</v>
      </c>
      <c r="I4" s="151">
        <v>9</v>
      </c>
      <c r="J4" s="151">
        <v>9</v>
      </c>
      <c r="K4" s="151">
        <v>9</v>
      </c>
      <c r="L4" s="151">
        <v>9</v>
      </c>
      <c r="M4" s="151">
        <v>9</v>
      </c>
      <c r="N4" s="151">
        <v>8</v>
      </c>
      <c r="O4" s="151">
        <v>9</v>
      </c>
      <c r="P4" s="151">
        <v>8</v>
      </c>
      <c r="Q4" s="151">
        <v>9</v>
      </c>
      <c r="R4" s="151">
        <v>9</v>
      </c>
      <c r="S4" s="151">
        <v>8</v>
      </c>
      <c r="T4" s="4">
        <f t="shared" si="0"/>
        <v>114</v>
      </c>
      <c r="U4" s="142" t="s">
        <v>56</v>
      </c>
      <c r="V4" s="142" t="s">
        <v>56</v>
      </c>
      <c r="X4" s="27">
        <f>'2 ALIYAH B'!T4:T35</f>
        <v>113</v>
      </c>
      <c r="Y4" s="27">
        <f t="shared" si="1"/>
        <v>114</v>
      </c>
      <c r="Z4" s="60">
        <f t="shared" si="2"/>
        <v>227</v>
      </c>
      <c r="AA4" s="27">
        <v>26</v>
      </c>
      <c r="AB4" s="60">
        <f t="shared" si="6"/>
        <v>9</v>
      </c>
      <c r="AC4" s="29" t="str">
        <f t="shared" si="3"/>
        <v>الجيد الأول</v>
      </c>
      <c r="AE4" s="61" t="str">
        <f>'2 ALIYAH B'!U4:U35</f>
        <v>-</v>
      </c>
      <c r="AF4" s="61" t="str">
        <f>U4:U33</f>
        <v>-</v>
      </c>
      <c r="AG4" s="52">
        <f t="shared" si="7"/>
        <v>0</v>
      </c>
      <c r="AI4" s="61" t="str">
        <f>'2 ALIYAH B'!V4:V36</f>
        <v>-</v>
      </c>
      <c r="AJ4" s="61" t="str">
        <f t="shared" si="4"/>
        <v>-</v>
      </c>
      <c r="AK4" s="52">
        <f t="shared" si="8"/>
        <v>0</v>
      </c>
    </row>
    <row r="5" spans="1:37" s="59" customFormat="1" ht="25.15" customHeight="1" thickBot="1" x14ac:dyDescent="0.3">
      <c r="A5" s="58" t="str">
        <f>'2 ALIYAH B'!A5:C36</f>
        <v>04</v>
      </c>
      <c r="B5" s="82" t="str">
        <f>'2 ALIYAH B'!B5:D36</f>
        <v>CHANINA KAMELIA MAHFUDZOTUSSALAMAH</v>
      </c>
      <c r="C5" s="58">
        <f>'2 ALIYAH B'!C5:E36</f>
        <v>2796</v>
      </c>
      <c r="D5" s="150" t="s">
        <v>17</v>
      </c>
      <c r="E5" s="151" t="str">
        <f t="shared" si="5"/>
        <v>٩</v>
      </c>
      <c r="F5" s="151">
        <v>9</v>
      </c>
      <c r="G5" s="151" t="s">
        <v>56</v>
      </c>
      <c r="H5" s="151">
        <v>9</v>
      </c>
      <c r="I5" s="151">
        <v>9</v>
      </c>
      <c r="J5" s="151">
        <v>9</v>
      </c>
      <c r="K5" s="151">
        <v>9</v>
      </c>
      <c r="L5" s="151">
        <v>9</v>
      </c>
      <c r="M5" s="151">
        <v>9</v>
      </c>
      <c r="N5" s="151">
        <v>9</v>
      </c>
      <c r="O5" s="151">
        <v>9</v>
      </c>
      <c r="P5" s="151">
        <v>8</v>
      </c>
      <c r="Q5" s="151">
        <v>9</v>
      </c>
      <c r="R5" s="151">
        <v>9</v>
      </c>
      <c r="S5" s="151">
        <v>8</v>
      </c>
      <c r="T5" s="4">
        <f>SUM(E5:S5)</f>
        <v>115</v>
      </c>
      <c r="U5" s="142">
        <v>7</v>
      </c>
      <c r="V5" s="142" t="s">
        <v>56</v>
      </c>
      <c r="X5" s="27">
        <f>'2 ALIYAH B'!T5:T36</f>
        <v>113</v>
      </c>
      <c r="Y5" s="27">
        <f t="shared" si="1"/>
        <v>115</v>
      </c>
      <c r="Z5" s="60">
        <f t="shared" si="2"/>
        <v>228</v>
      </c>
      <c r="AA5" s="27">
        <v>26</v>
      </c>
      <c r="AB5" s="60">
        <f t="shared" si="6"/>
        <v>9</v>
      </c>
      <c r="AC5" s="29" t="str">
        <f t="shared" si="3"/>
        <v>الجيد الأول</v>
      </c>
      <c r="AE5" s="61">
        <f>'2 ALIYAH B'!U5:U36</f>
        <v>4</v>
      </c>
      <c r="AF5" s="61">
        <f>U5:U33</f>
        <v>7</v>
      </c>
      <c r="AG5" s="52">
        <f t="shared" si="7"/>
        <v>11</v>
      </c>
      <c r="AI5" s="61" t="str">
        <f>'2 ALIYAH B'!V5:V37</f>
        <v>-</v>
      </c>
      <c r="AJ5" s="61" t="str">
        <f t="shared" si="4"/>
        <v>-</v>
      </c>
      <c r="AK5" s="52">
        <f t="shared" si="8"/>
        <v>0</v>
      </c>
    </row>
    <row r="6" spans="1:37" s="59" customFormat="1" ht="25.15" customHeight="1" thickBot="1" x14ac:dyDescent="0.3">
      <c r="A6" s="58" t="str">
        <f>'2 ALIYAH B'!A6:C37</f>
        <v>05</v>
      </c>
      <c r="B6" s="82" t="str">
        <f>'2 ALIYAH B'!B6:D37</f>
        <v>DHOU'UHA YUDHI'U FALABIQOH</v>
      </c>
      <c r="C6" s="58">
        <f>'2 ALIYAH B'!C6:E37</f>
        <v>2799</v>
      </c>
      <c r="D6" s="150" t="s">
        <v>18</v>
      </c>
      <c r="E6" s="151" t="str">
        <f t="shared" si="5"/>
        <v>٩</v>
      </c>
      <c r="F6" s="151">
        <v>9</v>
      </c>
      <c r="G6" s="151" t="s">
        <v>56</v>
      </c>
      <c r="H6" s="151">
        <v>9</v>
      </c>
      <c r="I6" s="151">
        <v>9</v>
      </c>
      <c r="J6" s="151">
        <v>9</v>
      </c>
      <c r="K6" s="151">
        <v>9</v>
      </c>
      <c r="L6" s="151">
        <v>9</v>
      </c>
      <c r="M6" s="151">
        <v>9</v>
      </c>
      <c r="N6" s="151">
        <v>9</v>
      </c>
      <c r="O6" s="151">
        <v>9</v>
      </c>
      <c r="P6" s="151">
        <v>8</v>
      </c>
      <c r="Q6" s="151">
        <v>9</v>
      </c>
      <c r="R6" s="151">
        <v>9</v>
      </c>
      <c r="S6" s="151">
        <v>8</v>
      </c>
      <c r="T6" s="4">
        <f t="shared" si="0"/>
        <v>115</v>
      </c>
      <c r="U6" s="142">
        <v>1</v>
      </c>
      <c r="V6" s="142" t="s">
        <v>56</v>
      </c>
      <c r="X6" s="27">
        <f>'2 ALIYAH B'!T6:T37</f>
        <v>112</v>
      </c>
      <c r="Y6" s="27">
        <f t="shared" si="1"/>
        <v>115</v>
      </c>
      <c r="Z6" s="60">
        <f t="shared" si="2"/>
        <v>227</v>
      </c>
      <c r="AA6" s="27">
        <v>26</v>
      </c>
      <c r="AB6" s="60">
        <f t="shared" si="6"/>
        <v>9</v>
      </c>
      <c r="AC6" s="29" t="str">
        <f t="shared" si="3"/>
        <v>الجيد الأول</v>
      </c>
      <c r="AE6" s="61" t="str">
        <f>'2 ALIYAH B'!U6:U37</f>
        <v>-</v>
      </c>
      <c r="AF6" s="61">
        <f>U6:U33</f>
        <v>1</v>
      </c>
      <c r="AG6" s="52">
        <f t="shared" si="7"/>
        <v>1</v>
      </c>
      <c r="AI6" s="61" t="str">
        <f>'2 ALIYAH B'!V6:V38</f>
        <v>-</v>
      </c>
      <c r="AJ6" s="61" t="str">
        <f t="shared" si="4"/>
        <v>-</v>
      </c>
      <c r="AK6" s="52">
        <f t="shared" si="8"/>
        <v>0</v>
      </c>
    </row>
    <row r="7" spans="1:37" s="59" customFormat="1" ht="25.15" customHeight="1" thickBot="1" x14ac:dyDescent="0.3">
      <c r="A7" s="58" t="str">
        <f>'2 ALIYAH B'!A7:C38</f>
        <v>06</v>
      </c>
      <c r="B7" s="82" t="str">
        <f>'2 ALIYAH B'!B7:D38</f>
        <v>EFI ZULIYANI</v>
      </c>
      <c r="C7" s="58">
        <f>'2 ALIYAH B'!C7:E38</f>
        <v>2730</v>
      </c>
      <c r="D7" s="150" t="s">
        <v>19</v>
      </c>
      <c r="E7" s="151" t="str">
        <f t="shared" si="5"/>
        <v>٦</v>
      </c>
      <c r="F7" s="151">
        <v>6</v>
      </c>
      <c r="G7" s="151" t="s">
        <v>56</v>
      </c>
      <c r="H7" s="151">
        <v>8</v>
      </c>
      <c r="I7" s="151">
        <v>9</v>
      </c>
      <c r="J7" s="151">
        <v>6</v>
      </c>
      <c r="K7" s="151">
        <v>5</v>
      </c>
      <c r="L7" s="151">
        <v>9</v>
      </c>
      <c r="M7" s="151">
        <v>6</v>
      </c>
      <c r="N7" s="151">
        <v>7</v>
      </c>
      <c r="O7" s="151">
        <v>6</v>
      </c>
      <c r="P7" s="151">
        <v>8</v>
      </c>
      <c r="Q7" s="151">
        <v>8</v>
      </c>
      <c r="R7" s="151">
        <v>8</v>
      </c>
      <c r="S7" s="151">
        <v>8</v>
      </c>
      <c r="T7" s="4">
        <f t="shared" si="0"/>
        <v>94</v>
      </c>
      <c r="U7" s="142" t="s">
        <v>56</v>
      </c>
      <c r="V7" s="142" t="s">
        <v>56</v>
      </c>
      <c r="X7" s="27">
        <f>'2 ALIYAH B'!T7:T38</f>
        <v>98</v>
      </c>
      <c r="Y7" s="27">
        <f t="shared" si="1"/>
        <v>94</v>
      </c>
      <c r="Z7" s="60">
        <f t="shared" si="2"/>
        <v>192</v>
      </c>
      <c r="AA7" s="27">
        <v>26</v>
      </c>
      <c r="AB7" s="60">
        <f t="shared" si="6"/>
        <v>7</v>
      </c>
      <c r="AC7" s="29" t="str">
        <f t="shared" si="3"/>
        <v>المتوسط الأول</v>
      </c>
      <c r="AE7" s="61" t="str">
        <f>'2 ALIYAH B'!U7:U38</f>
        <v>-</v>
      </c>
      <c r="AF7" s="61" t="str">
        <f>U7:U33</f>
        <v>-</v>
      </c>
      <c r="AG7" s="52">
        <f t="shared" si="7"/>
        <v>0</v>
      </c>
      <c r="AI7" s="61" t="str">
        <f>'2 ALIYAH B'!V7:V39</f>
        <v>-</v>
      </c>
      <c r="AJ7" s="61" t="str">
        <f t="shared" si="4"/>
        <v>-</v>
      </c>
      <c r="AK7" s="52">
        <f t="shared" si="8"/>
        <v>0</v>
      </c>
    </row>
    <row r="8" spans="1:37" s="59" customFormat="1" ht="25.15" customHeight="1" thickBot="1" x14ac:dyDescent="0.3">
      <c r="A8" s="58" t="str">
        <f>'2 ALIYAH B'!A8:C39</f>
        <v>07</v>
      </c>
      <c r="B8" s="82" t="str">
        <f>'2 ALIYAH B'!B8:D39</f>
        <v>FARICHA NAJLA NADIA</v>
      </c>
      <c r="C8" s="58">
        <f>'2 ALIYAH B'!C8:E39</f>
        <v>2690</v>
      </c>
      <c r="D8" s="150" t="s">
        <v>20</v>
      </c>
      <c r="E8" s="151" t="str">
        <f t="shared" si="5"/>
        <v>٦</v>
      </c>
      <c r="F8" s="151">
        <v>6</v>
      </c>
      <c r="G8" s="151" t="s">
        <v>56</v>
      </c>
      <c r="H8" s="151">
        <v>9</v>
      </c>
      <c r="I8" s="151">
        <v>7</v>
      </c>
      <c r="J8" s="151">
        <v>6</v>
      </c>
      <c r="K8" s="151">
        <v>6</v>
      </c>
      <c r="L8" s="151">
        <v>8</v>
      </c>
      <c r="M8" s="151">
        <v>4</v>
      </c>
      <c r="N8" s="151">
        <v>6</v>
      </c>
      <c r="O8" s="151">
        <v>7</v>
      </c>
      <c r="P8" s="151">
        <v>8</v>
      </c>
      <c r="Q8" s="151">
        <v>8</v>
      </c>
      <c r="R8" s="151">
        <v>8</v>
      </c>
      <c r="S8" s="151">
        <v>8</v>
      </c>
      <c r="T8" s="4">
        <f t="shared" si="0"/>
        <v>91</v>
      </c>
      <c r="U8" s="142">
        <v>2</v>
      </c>
      <c r="V8" s="142" t="s">
        <v>56</v>
      </c>
      <c r="X8" s="27">
        <f>'2 ALIYAH B'!T8:T39</f>
        <v>91</v>
      </c>
      <c r="Y8" s="27">
        <f t="shared" si="1"/>
        <v>91</v>
      </c>
      <c r="Z8" s="60">
        <f t="shared" si="2"/>
        <v>182</v>
      </c>
      <c r="AA8" s="27">
        <v>26</v>
      </c>
      <c r="AB8" s="60">
        <f t="shared" si="6"/>
        <v>7</v>
      </c>
      <c r="AC8" s="29" t="str">
        <f t="shared" si="3"/>
        <v>المتوسط الأول</v>
      </c>
      <c r="AE8" s="61">
        <f>'2 ALIYAH B'!U8:U39</f>
        <v>2</v>
      </c>
      <c r="AF8" s="61">
        <f>U8:U33</f>
        <v>2</v>
      </c>
      <c r="AG8" s="52">
        <f t="shared" si="7"/>
        <v>4</v>
      </c>
      <c r="AI8" s="61" t="str">
        <f>'2 ALIYAH B'!V8:V40</f>
        <v>-</v>
      </c>
      <c r="AJ8" s="61" t="str">
        <f t="shared" si="4"/>
        <v>-</v>
      </c>
      <c r="AK8" s="52">
        <f t="shared" si="8"/>
        <v>0</v>
      </c>
    </row>
    <row r="9" spans="1:37" s="59" customFormat="1" ht="25.15" customHeight="1" thickBot="1" x14ac:dyDescent="0.3">
      <c r="A9" s="58" t="str">
        <f>'2 ALIYAH B'!A9:C40</f>
        <v>08</v>
      </c>
      <c r="B9" s="82" t="str">
        <f>'2 ALIYAH B'!B9:D40</f>
        <v>HANIN ATIQOTUR RIF'AH SHODIQ</v>
      </c>
      <c r="C9" s="58">
        <f>'2 ALIYAH B'!C9:E40</f>
        <v>2761</v>
      </c>
      <c r="D9" s="150" t="s">
        <v>21</v>
      </c>
      <c r="E9" s="151" t="str">
        <f t="shared" si="5"/>
        <v>٥</v>
      </c>
      <c r="F9" s="151">
        <v>5</v>
      </c>
      <c r="G9" s="151" t="s">
        <v>56</v>
      </c>
      <c r="H9" s="151">
        <v>7</v>
      </c>
      <c r="I9" s="151">
        <v>9</v>
      </c>
      <c r="J9" s="151">
        <v>6</v>
      </c>
      <c r="K9" s="151">
        <v>5</v>
      </c>
      <c r="L9" s="151">
        <v>7</v>
      </c>
      <c r="M9" s="151">
        <v>5</v>
      </c>
      <c r="N9" s="151">
        <v>5</v>
      </c>
      <c r="O9" s="151">
        <v>6</v>
      </c>
      <c r="P9" s="151">
        <v>8</v>
      </c>
      <c r="Q9" s="151">
        <v>8</v>
      </c>
      <c r="R9" s="151">
        <v>8</v>
      </c>
      <c r="S9" s="151">
        <v>8</v>
      </c>
      <c r="T9" s="4">
        <f t="shared" si="0"/>
        <v>87</v>
      </c>
      <c r="U9" s="142" t="s">
        <v>56</v>
      </c>
      <c r="V9" s="142" t="s">
        <v>56</v>
      </c>
      <c r="X9" s="27">
        <f>'2 ALIYAH B'!T9:T40</f>
        <v>88</v>
      </c>
      <c r="Y9" s="27">
        <f t="shared" si="1"/>
        <v>87</v>
      </c>
      <c r="Z9" s="60">
        <f t="shared" si="2"/>
        <v>175</v>
      </c>
      <c r="AA9" s="27">
        <v>26</v>
      </c>
      <c r="AB9" s="60">
        <f t="shared" si="6"/>
        <v>7</v>
      </c>
      <c r="AC9" s="29" t="str">
        <f t="shared" si="3"/>
        <v>المتوسط الأول</v>
      </c>
      <c r="AE9" s="61" t="str">
        <f>'2 ALIYAH B'!U9:U40</f>
        <v>-</v>
      </c>
      <c r="AF9" s="61" t="str">
        <f>U9:U33</f>
        <v>-</v>
      </c>
      <c r="AG9" s="52">
        <f t="shared" si="7"/>
        <v>0</v>
      </c>
      <c r="AI9" s="61" t="str">
        <f>'2 ALIYAH B'!V9:V41</f>
        <v>-</v>
      </c>
      <c r="AJ9" s="61" t="str">
        <f t="shared" si="4"/>
        <v>-</v>
      </c>
      <c r="AK9" s="52">
        <f t="shared" si="8"/>
        <v>0</v>
      </c>
    </row>
    <row r="10" spans="1:37" s="59" customFormat="1" ht="25.15" customHeight="1" thickBot="1" x14ac:dyDescent="0.3">
      <c r="A10" s="58" t="str">
        <f>'2 ALIYAH B'!A10:C41</f>
        <v>09</v>
      </c>
      <c r="B10" s="82" t="str">
        <f>'2 ALIYAH B'!B10:D41</f>
        <v>HUMAIRO' ALMUFIDAH</v>
      </c>
      <c r="C10" s="58">
        <f>'2 ALIYAH B'!C10:E41</f>
        <v>2892</v>
      </c>
      <c r="D10" s="150" t="s">
        <v>22</v>
      </c>
      <c r="E10" s="151" t="str">
        <f t="shared" si="5"/>
        <v>٥</v>
      </c>
      <c r="F10" s="151">
        <v>5</v>
      </c>
      <c r="G10" s="151" t="s">
        <v>56</v>
      </c>
      <c r="H10" s="151">
        <v>9</v>
      </c>
      <c r="I10" s="151">
        <v>6</v>
      </c>
      <c r="J10" s="151">
        <v>5</v>
      </c>
      <c r="K10" s="151">
        <v>6</v>
      </c>
      <c r="L10" s="151">
        <v>5</v>
      </c>
      <c r="M10" s="151">
        <v>7</v>
      </c>
      <c r="N10" s="151">
        <v>7</v>
      </c>
      <c r="O10" s="151">
        <v>6</v>
      </c>
      <c r="P10" s="151">
        <v>8</v>
      </c>
      <c r="Q10" s="151">
        <v>8</v>
      </c>
      <c r="R10" s="151">
        <v>8</v>
      </c>
      <c r="S10" s="151">
        <v>8</v>
      </c>
      <c r="T10" s="4">
        <f t="shared" si="0"/>
        <v>88</v>
      </c>
      <c r="U10" s="142">
        <v>2</v>
      </c>
      <c r="V10" s="142" t="s">
        <v>56</v>
      </c>
      <c r="X10" s="27">
        <f>'2 ALIYAH B'!T10:T41</f>
        <v>86</v>
      </c>
      <c r="Y10" s="27">
        <f t="shared" si="1"/>
        <v>88</v>
      </c>
      <c r="Z10" s="60">
        <f t="shared" si="2"/>
        <v>174</v>
      </c>
      <c r="AA10" s="27">
        <v>26</v>
      </c>
      <c r="AB10" s="60">
        <f t="shared" si="6"/>
        <v>7</v>
      </c>
      <c r="AC10" s="29" t="str">
        <f t="shared" si="3"/>
        <v>المتوسط الأول</v>
      </c>
      <c r="AE10" s="61">
        <f>'2 ALIYAH B'!U10:U41</f>
        <v>3</v>
      </c>
      <c r="AF10" s="61">
        <f>U10:U33</f>
        <v>2</v>
      </c>
      <c r="AG10" s="52">
        <f t="shared" si="7"/>
        <v>5</v>
      </c>
      <c r="AI10" s="61" t="str">
        <f>'2 ALIYAH B'!V10:V42</f>
        <v>-</v>
      </c>
      <c r="AJ10" s="61" t="str">
        <f t="shared" si="4"/>
        <v>-</v>
      </c>
      <c r="AK10" s="52">
        <f t="shared" si="8"/>
        <v>0</v>
      </c>
    </row>
    <row r="11" spans="1:37" s="59" customFormat="1" ht="25.15" customHeight="1" thickBot="1" x14ac:dyDescent="0.3">
      <c r="A11" s="58">
        <f>'2 ALIYAH B'!A10:C42</f>
        <v>10</v>
      </c>
      <c r="B11" s="82" t="str">
        <f>'2 ALIYAH B'!B10:D42</f>
        <v>INDAH ASHLIHAH AZMIROTUSSALAMAH</v>
      </c>
      <c r="C11" s="58">
        <f>'2 ALIYAH B'!C10:E42</f>
        <v>2762</v>
      </c>
      <c r="D11" s="150" t="s">
        <v>23</v>
      </c>
      <c r="E11" s="151" t="str">
        <f t="shared" si="5"/>
        <v>٨</v>
      </c>
      <c r="F11" s="151">
        <v>8</v>
      </c>
      <c r="G11" s="151" t="s">
        <v>56</v>
      </c>
      <c r="H11" s="151">
        <v>5</v>
      </c>
      <c r="I11" s="151">
        <v>9</v>
      </c>
      <c r="J11" s="151">
        <v>5</v>
      </c>
      <c r="K11" s="151">
        <v>6</v>
      </c>
      <c r="L11" s="151">
        <v>6</v>
      </c>
      <c r="M11" s="151">
        <v>4</v>
      </c>
      <c r="N11" s="151">
        <v>6</v>
      </c>
      <c r="O11" s="151">
        <v>6</v>
      </c>
      <c r="P11" s="151">
        <v>8</v>
      </c>
      <c r="Q11" s="151">
        <v>8</v>
      </c>
      <c r="R11" s="151">
        <v>8</v>
      </c>
      <c r="S11" s="151">
        <v>8</v>
      </c>
      <c r="T11" s="4">
        <f t="shared" si="0"/>
        <v>87</v>
      </c>
      <c r="U11" s="142">
        <v>1</v>
      </c>
      <c r="V11" s="142" t="s">
        <v>56</v>
      </c>
      <c r="X11" s="27">
        <f>'2 ALIYAH B'!T11:T42</f>
        <v>82</v>
      </c>
      <c r="Y11" s="27">
        <f t="shared" si="1"/>
        <v>87</v>
      </c>
      <c r="Z11" s="60">
        <f t="shared" si="2"/>
        <v>169</v>
      </c>
      <c r="AA11" s="27">
        <v>26</v>
      </c>
      <c r="AB11" s="60">
        <f t="shared" si="6"/>
        <v>7</v>
      </c>
      <c r="AC11" s="29" t="str">
        <f t="shared" si="3"/>
        <v>المتوسط الأول</v>
      </c>
      <c r="AE11" s="61">
        <f>'2 ALIYAH B'!U10:U42</f>
        <v>2</v>
      </c>
      <c r="AF11" s="61">
        <f>U11:U33</f>
        <v>1</v>
      </c>
      <c r="AG11" s="52">
        <f t="shared" si="7"/>
        <v>3</v>
      </c>
      <c r="AI11" s="61" t="str">
        <f>'2 ALIYAH B'!V10:V43</f>
        <v>-</v>
      </c>
      <c r="AJ11" s="61" t="str">
        <f t="shared" si="4"/>
        <v>-</v>
      </c>
      <c r="AK11" s="52">
        <f t="shared" si="8"/>
        <v>0</v>
      </c>
    </row>
    <row r="12" spans="1:37" s="59" customFormat="1" ht="25.15" customHeight="1" thickBot="1" x14ac:dyDescent="0.3">
      <c r="A12" s="58">
        <f>'2 ALIYAH B'!A11:C43</f>
        <v>11</v>
      </c>
      <c r="B12" s="82" t="str">
        <f>'2 ALIYAH B'!B11:D43</f>
        <v>ISNIATUN</v>
      </c>
      <c r="C12" s="58">
        <f>'2 ALIYAH B'!C11:E43</f>
        <v>2805</v>
      </c>
      <c r="D12" s="150" t="s">
        <v>24</v>
      </c>
      <c r="E12" s="151" t="str">
        <f t="shared" si="5"/>
        <v>٦</v>
      </c>
      <c r="F12" s="151">
        <v>6</v>
      </c>
      <c r="G12" s="151" t="s">
        <v>56</v>
      </c>
      <c r="H12" s="151">
        <v>9</v>
      </c>
      <c r="I12" s="151">
        <v>6</v>
      </c>
      <c r="J12" s="151">
        <v>6</v>
      </c>
      <c r="K12" s="151">
        <v>6</v>
      </c>
      <c r="L12" s="151">
        <v>6</v>
      </c>
      <c r="M12" s="151">
        <v>6</v>
      </c>
      <c r="N12" s="151">
        <v>5</v>
      </c>
      <c r="O12" s="151">
        <v>7</v>
      </c>
      <c r="P12" s="151">
        <v>8</v>
      </c>
      <c r="Q12" s="151">
        <v>7</v>
      </c>
      <c r="R12" s="151">
        <v>8</v>
      </c>
      <c r="S12" s="151">
        <v>8</v>
      </c>
      <c r="T12" s="4">
        <f>SUM(E12:S12)</f>
        <v>88</v>
      </c>
      <c r="U12" s="142" t="s">
        <v>56</v>
      </c>
      <c r="V12" s="142" t="s">
        <v>56</v>
      </c>
      <c r="X12" s="27">
        <f>'2 ALIYAH B'!T12:T43</f>
        <v>74</v>
      </c>
      <c r="Y12" s="27">
        <f t="shared" si="1"/>
        <v>88</v>
      </c>
      <c r="Z12" s="60">
        <f t="shared" si="2"/>
        <v>162</v>
      </c>
      <c r="AA12" s="27">
        <v>26</v>
      </c>
      <c r="AB12" s="60">
        <f t="shared" si="6"/>
        <v>6</v>
      </c>
      <c r="AC12" s="29" t="str">
        <f t="shared" si="3"/>
        <v>المتوسط الثاني</v>
      </c>
      <c r="AE12" s="61" t="str">
        <f>'2 ALIYAH B'!U11:U43</f>
        <v>-</v>
      </c>
      <c r="AF12" s="61" t="str">
        <f>U12:U33</f>
        <v>-</v>
      </c>
      <c r="AG12" s="52">
        <f t="shared" si="7"/>
        <v>0</v>
      </c>
      <c r="AI12" s="61" t="str">
        <f>'2 ALIYAH B'!V11:V44</f>
        <v>-</v>
      </c>
      <c r="AJ12" s="61" t="str">
        <f>V12:V33</f>
        <v>-</v>
      </c>
      <c r="AK12" s="52">
        <f t="shared" si="8"/>
        <v>0</v>
      </c>
    </row>
    <row r="13" spans="1:37" s="59" customFormat="1" ht="25.15" customHeight="1" thickBot="1" x14ac:dyDescent="0.3">
      <c r="A13" s="58">
        <f>'2 ALIYAH B'!A13:C45</f>
        <v>12</v>
      </c>
      <c r="B13" s="82" t="str">
        <f>'2 ALIYAH B'!B13:D45</f>
        <v>LAURA NASIKA FATMA PADANGENG WULAN</v>
      </c>
      <c r="C13" s="58">
        <f>'2 ALIYAH B'!C13:E45</f>
        <v>2698</v>
      </c>
      <c r="D13" s="150" t="s">
        <v>25</v>
      </c>
      <c r="E13" s="151" t="str">
        <f t="shared" si="5"/>
        <v>٩</v>
      </c>
      <c r="F13" s="151">
        <v>9</v>
      </c>
      <c r="G13" s="151" t="s">
        <v>56</v>
      </c>
      <c r="H13" s="151">
        <v>9</v>
      </c>
      <c r="I13" s="151">
        <v>9</v>
      </c>
      <c r="J13" s="151">
        <v>7</v>
      </c>
      <c r="K13" s="151">
        <v>6</v>
      </c>
      <c r="L13" s="151">
        <v>9</v>
      </c>
      <c r="M13" s="151">
        <v>9</v>
      </c>
      <c r="N13" s="151">
        <v>9</v>
      </c>
      <c r="O13" s="151">
        <v>9</v>
      </c>
      <c r="P13" s="151">
        <v>8</v>
      </c>
      <c r="Q13" s="151">
        <v>8</v>
      </c>
      <c r="R13" s="151">
        <v>8</v>
      </c>
      <c r="S13" s="151">
        <v>8</v>
      </c>
      <c r="T13" s="4">
        <f t="shared" si="0"/>
        <v>108</v>
      </c>
      <c r="U13" s="142">
        <v>1</v>
      </c>
      <c r="V13" s="142" t="s">
        <v>56</v>
      </c>
      <c r="X13" s="27">
        <f>'2 ALIYAH B'!T13:T44</f>
        <v>99</v>
      </c>
      <c r="Y13" s="27">
        <f t="shared" si="1"/>
        <v>108</v>
      </c>
      <c r="Z13" s="60">
        <f t="shared" si="2"/>
        <v>207</v>
      </c>
      <c r="AA13" s="27">
        <v>26</v>
      </c>
      <c r="AB13" s="60">
        <f t="shared" si="6"/>
        <v>8</v>
      </c>
      <c r="AC13" s="29" t="str">
        <f t="shared" si="3"/>
        <v>الجيد الثاني</v>
      </c>
      <c r="AE13" s="61">
        <f>'2 ALIYAH B'!U13:U45</f>
        <v>2</v>
      </c>
      <c r="AF13" s="61">
        <f>U13:U33</f>
        <v>1</v>
      </c>
      <c r="AG13" s="52">
        <f t="shared" si="7"/>
        <v>3</v>
      </c>
      <c r="AI13" s="61" t="str">
        <f>'2 ALIYAH B'!V13:V46</f>
        <v>-</v>
      </c>
      <c r="AJ13" s="61" t="str">
        <f>V13:V33</f>
        <v>-</v>
      </c>
      <c r="AK13" s="52">
        <f t="shared" si="8"/>
        <v>0</v>
      </c>
    </row>
    <row r="14" spans="1:37" s="59" customFormat="1" ht="25.15" customHeight="1" thickBot="1" x14ac:dyDescent="0.3">
      <c r="A14" s="58">
        <f>'2 ALIYAH B'!A13:C46</f>
        <v>13</v>
      </c>
      <c r="B14" s="82" t="str">
        <f>'2 ALIYAH B'!B13:D46</f>
        <v>LIYAL HUSNA WAZIYADA</v>
      </c>
      <c r="C14" s="58">
        <f>'2 ALIYAH B'!C13:E46</f>
        <v>2700</v>
      </c>
      <c r="D14" s="150" t="s">
        <v>26</v>
      </c>
      <c r="E14" s="151" t="str">
        <f t="shared" si="5"/>
        <v>٩</v>
      </c>
      <c r="F14" s="151">
        <v>9</v>
      </c>
      <c r="G14" s="151" t="s">
        <v>56</v>
      </c>
      <c r="H14" s="151">
        <v>8</v>
      </c>
      <c r="I14" s="151">
        <v>8</v>
      </c>
      <c r="J14" s="151">
        <v>7</v>
      </c>
      <c r="K14" s="151">
        <v>9</v>
      </c>
      <c r="L14" s="151">
        <v>9</v>
      </c>
      <c r="M14" s="151">
        <v>9</v>
      </c>
      <c r="N14" s="151">
        <v>9</v>
      </c>
      <c r="O14" s="151">
        <v>9</v>
      </c>
      <c r="P14" s="151">
        <v>8</v>
      </c>
      <c r="Q14" s="151">
        <v>8</v>
      </c>
      <c r="R14" s="151">
        <v>8</v>
      </c>
      <c r="S14" s="151">
        <v>8</v>
      </c>
      <c r="T14" s="4">
        <f t="shared" si="0"/>
        <v>109</v>
      </c>
      <c r="U14" s="142" t="s">
        <v>56</v>
      </c>
      <c r="V14" s="142" t="s">
        <v>56</v>
      </c>
      <c r="X14" s="27">
        <f>'2 ALIYAH B'!T14:T45</f>
        <v>109</v>
      </c>
      <c r="Y14" s="27">
        <f t="shared" si="1"/>
        <v>109</v>
      </c>
      <c r="Z14" s="60">
        <f t="shared" si="2"/>
        <v>218</v>
      </c>
      <c r="AA14" s="27">
        <v>26</v>
      </c>
      <c r="AB14" s="60">
        <f t="shared" si="6"/>
        <v>8</v>
      </c>
      <c r="AC14" s="29" t="str">
        <f t="shared" si="3"/>
        <v>الجيد الثاني</v>
      </c>
      <c r="AE14" s="61" t="str">
        <f>'2 ALIYAH B'!U13:U46</f>
        <v>-</v>
      </c>
      <c r="AF14" s="61" t="str">
        <f>U14:U33</f>
        <v>-</v>
      </c>
      <c r="AG14" s="52">
        <f t="shared" si="7"/>
        <v>0</v>
      </c>
      <c r="AI14" s="61" t="str">
        <f>'2 ALIYAH B'!V13:V47</f>
        <v>-</v>
      </c>
      <c r="AJ14" s="61" t="str">
        <f>V14:V33</f>
        <v>-</v>
      </c>
      <c r="AK14" s="52">
        <f t="shared" si="8"/>
        <v>0</v>
      </c>
    </row>
    <row r="15" spans="1:37" s="59" customFormat="1" ht="25.15" customHeight="1" thickBot="1" x14ac:dyDescent="0.3">
      <c r="A15" s="58">
        <f>'2 ALIYAH B'!A14:C47</f>
        <v>14</v>
      </c>
      <c r="B15" s="82" t="str">
        <f>'2 ALIYAH B'!B14:D47</f>
        <v>MAHBUBATUL JANAH</v>
      </c>
      <c r="C15" s="58">
        <f>'2 ALIYAH B'!C14:E47</f>
        <v>2660</v>
      </c>
      <c r="D15" s="150" t="s">
        <v>27</v>
      </c>
      <c r="E15" s="151" t="str">
        <f t="shared" si="5"/>
        <v>٨</v>
      </c>
      <c r="F15" s="151">
        <v>8</v>
      </c>
      <c r="G15" s="151" t="s">
        <v>56</v>
      </c>
      <c r="H15" s="151">
        <v>9</v>
      </c>
      <c r="I15" s="151">
        <v>7</v>
      </c>
      <c r="J15" s="151">
        <v>9</v>
      </c>
      <c r="K15" s="151">
        <v>9</v>
      </c>
      <c r="L15" s="151">
        <v>9</v>
      </c>
      <c r="M15" s="151">
        <v>9</v>
      </c>
      <c r="N15" s="151">
        <v>9</v>
      </c>
      <c r="O15" s="151">
        <v>9</v>
      </c>
      <c r="P15" s="151">
        <v>8</v>
      </c>
      <c r="Q15" s="151">
        <v>9</v>
      </c>
      <c r="R15" s="151">
        <v>9</v>
      </c>
      <c r="S15" s="151">
        <v>8</v>
      </c>
      <c r="T15" s="4">
        <f t="shared" si="0"/>
        <v>112</v>
      </c>
      <c r="U15" s="142" t="s">
        <v>56</v>
      </c>
      <c r="V15" s="142" t="s">
        <v>56</v>
      </c>
      <c r="X15" s="27">
        <f>'2 ALIYAH B'!T15:T46</f>
        <v>112</v>
      </c>
      <c r="Y15" s="27">
        <f t="shared" si="1"/>
        <v>112</v>
      </c>
      <c r="Z15" s="60">
        <f t="shared" si="2"/>
        <v>224</v>
      </c>
      <c r="AA15" s="27">
        <v>26</v>
      </c>
      <c r="AB15" s="60">
        <f t="shared" si="6"/>
        <v>9</v>
      </c>
      <c r="AC15" s="29" t="str">
        <f t="shared" si="3"/>
        <v>الجيد الأول</v>
      </c>
      <c r="AE15" s="61" t="str">
        <f>'2 ALIYAH B'!U14:U47</f>
        <v>-</v>
      </c>
      <c r="AF15" s="61" t="str">
        <f>U15:U33</f>
        <v>-</v>
      </c>
      <c r="AG15" s="52">
        <f t="shared" si="7"/>
        <v>0</v>
      </c>
      <c r="AI15" s="61" t="str">
        <f>'2 ALIYAH B'!V14:V48</f>
        <v>-</v>
      </c>
      <c r="AJ15" s="61" t="str">
        <f>V15:V33</f>
        <v>-</v>
      </c>
      <c r="AK15" s="52">
        <f t="shared" si="8"/>
        <v>0</v>
      </c>
    </row>
    <row r="16" spans="1:37" s="59" customFormat="1" ht="25.15" customHeight="1" thickBot="1" x14ac:dyDescent="0.3">
      <c r="A16" s="58">
        <f>'2 ALIYAH B'!A15:C48</f>
        <v>15</v>
      </c>
      <c r="B16" s="82" t="str">
        <f>'2 ALIYAH B'!B15:D48</f>
        <v>MAISAROH</v>
      </c>
      <c r="C16" s="58">
        <f>'2 ALIYAH B'!C15:E48</f>
        <v>2701</v>
      </c>
      <c r="D16" s="150" t="s">
        <v>28</v>
      </c>
      <c r="E16" s="151" t="str">
        <f t="shared" si="5"/>
        <v>٩</v>
      </c>
      <c r="F16" s="151">
        <v>9</v>
      </c>
      <c r="G16" s="151" t="s">
        <v>56</v>
      </c>
      <c r="H16" s="151">
        <v>9</v>
      </c>
      <c r="I16" s="151">
        <v>9</v>
      </c>
      <c r="J16" s="151">
        <v>9</v>
      </c>
      <c r="K16" s="151">
        <v>8</v>
      </c>
      <c r="L16" s="151">
        <v>8</v>
      </c>
      <c r="M16" s="151">
        <v>8</v>
      </c>
      <c r="N16" s="151">
        <v>9</v>
      </c>
      <c r="O16" s="151">
        <v>7</v>
      </c>
      <c r="P16" s="151">
        <v>8</v>
      </c>
      <c r="Q16" s="151">
        <v>8</v>
      </c>
      <c r="R16" s="151">
        <v>8</v>
      </c>
      <c r="S16" s="151">
        <v>8</v>
      </c>
      <c r="T16" s="4">
        <f t="shared" si="0"/>
        <v>108</v>
      </c>
      <c r="U16" s="142" t="s">
        <v>56</v>
      </c>
      <c r="V16" s="142" t="s">
        <v>56</v>
      </c>
      <c r="X16" s="27">
        <f>'2 ALIYAH B'!T16:T47</f>
        <v>104</v>
      </c>
      <c r="Y16" s="27">
        <f t="shared" si="1"/>
        <v>108</v>
      </c>
      <c r="Z16" s="60">
        <f t="shared" si="2"/>
        <v>212</v>
      </c>
      <c r="AA16" s="27">
        <v>26</v>
      </c>
      <c r="AB16" s="60">
        <f t="shared" si="6"/>
        <v>8</v>
      </c>
      <c r="AC16" s="29" t="str">
        <f t="shared" si="3"/>
        <v>الجيد الثاني</v>
      </c>
      <c r="AE16" s="61">
        <f>'2 ALIYAH B'!U15:U48</f>
        <v>1</v>
      </c>
      <c r="AF16" s="61" t="str">
        <f>U16:U33</f>
        <v>-</v>
      </c>
      <c r="AG16" s="52">
        <f t="shared" si="7"/>
        <v>1</v>
      </c>
      <c r="AI16" s="61" t="str">
        <f>'2 ALIYAH B'!V15:V49</f>
        <v>-</v>
      </c>
      <c r="AJ16" s="61" t="str">
        <f>V16:V33</f>
        <v>-</v>
      </c>
      <c r="AK16" s="52">
        <f t="shared" si="8"/>
        <v>0</v>
      </c>
    </row>
    <row r="17" spans="1:37" s="59" customFormat="1" ht="25.15" customHeight="1" thickBot="1" x14ac:dyDescent="0.3">
      <c r="A17" s="58">
        <f>'2 ALIYAH B'!A15:C49</f>
        <v>16</v>
      </c>
      <c r="B17" s="82" t="str">
        <f>'2 ALIYAH B'!B15:D49</f>
        <v>MEI NANGIMAH</v>
      </c>
      <c r="C17" s="58">
        <f>'2 ALIYAH B'!C15:E49</f>
        <v>2871</v>
      </c>
      <c r="D17" s="150" t="s">
        <v>29</v>
      </c>
      <c r="E17" s="151" t="str">
        <f t="shared" si="5"/>
        <v>٥</v>
      </c>
      <c r="F17" s="151">
        <v>5</v>
      </c>
      <c r="G17" s="151" t="s">
        <v>56</v>
      </c>
      <c r="H17" s="151">
        <v>5</v>
      </c>
      <c r="I17" s="151">
        <v>6</v>
      </c>
      <c r="J17" s="151">
        <v>6</v>
      </c>
      <c r="K17" s="151">
        <v>6</v>
      </c>
      <c r="L17" s="151">
        <v>5</v>
      </c>
      <c r="M17" s="151">
        <v>7</v>
      </c>
      <c r="N17" s="151">
        <v>7</v>
      </c>
      <c r="O17" s="151">
        <v>9</v>
      </c>
      <c r="P17" s="151">
        <v>8</v>
      </c>
      <c r="Q17" s="151">
        <v>7</v>
      </c>
      <c r="R17" s="151">
        <v>8</v>
      </c>
      <c r="S17" s="151">
        <v>8</v>
      </c>
      <c r="T17" s="4">
        <f t="shared" si="0"/>
        <v>87</v>
      </c>
      <c r="U17" s="142">
        <v>1</v>
      </c>
      <c r="V17" s="142" t="s">
        <v>56</v>
      </c>
      <c r="X17" s="27">
        <f>'2 ALIYAH B'!T17:T48</f>
        <v>85</v>
      </c>
      <c r="Y17" s="27">
        <f t="shared" si="1"/>
        <v>87</v>
      </c>
      <c r="Z17" s="60">
        <f t="shared" si="2"/>
        <v>172</v>
      </c>
      <c r="AA17" s="27">
        <v>26</v>
      </c>
      <c r="AB17" s="60">
        <f t="shared" si="6"/>
        <v>7</v>
      </c>
      <c r="AC17" s="29" t="str">
        <f t="shared" si="3"/>
        <v>المتوسط الأول</v>
      </c>
      <c r="AE17" s="61" t="str">
        <f>'2 ALIYAH B'!U15:U49</f>
        <v>-</v>
      </c>
      <c r="AF17" s="61">
        <f>U17:U33</f>
        <v>1</v>
      </c>
      <c r="AG17" s="52">
        <f t="shared" si="7"/>
        <v>1</v>
      </c>
      <c r="AI17" s="61" t="str">
        <f>'2 ALIYAH B'!V15:V50</f>
        <v>-</v>
      </c>
      <c r="AJ17" s="61" t="str">
        <f>V17:V33</f>
        <v>-</v>
      </c>
      <c r="AK17" s="52">
        <f t="shared" si="8"/>
        <v>0</v>
      </c>
    </row>
    <row r="18" spans="1:37" s="59" customFormat="1" ht="25.15" customHeight="1" thickBot="1" x14ac:dyDescent="0.3">
      <c r="A18" s="58">
        <f>'2 ALIYAH B'!A15:C50</f>
        <v>17</v>
      </c>
      <c r="B18" s="82" t="str">
        <f>'2 ALIYAH B'!B15:D50</f>
        <v>MINKKA QISTHY AL HIMNA</v>
      </c>
      <c r="C18" s="58">
        <f>'2 ALIYAH B'!C15:E50</f>
        <v>2702</v>
      </c>
      <c r="D18" s="150" t="s">
        <v>30</v>
      </c>
      <c r="E18" s="151" t="str">
        <f t="shared" si="5"/>
        <v>٨</v>
      </c>
      <c r="F18" s="151">
        <v>8</v>
      </c>
      <c r="G18" s="151" t="s">
        <v>56</v>
      </c>
      <c r="H18" s="151">
        <v>9</v>
      </c>
      <c r="I18" s="151">
        <v>9</v>
      </c>
      <c r="J18" s="151">
        <v>9</v>
      </c>
      <c r="K18" s="151">
        <v>9</v>
      </c>
      <c r="L18" s="151">
        <v>9</v>
      </c>
      <c r="M18" s="151">
        <v>6</v>
      </c>
      <c r="N18" s="151">
        <v>8</v>
      </c>
      <c r="O18" s="151">
        <v>5</v>
      </c>
      <c r="P18" s="151">
        <v>8</v>
      </c>
      <c r="Q18" s="151">
        <v>8</v>
      </c>
      <c r="R18" s="151">
        <v>8</v>
      </c>
      <c r="S18" s="151">
        <v>8</v>
      </c>
      <c r="T18" s="4">
        <f t="shared" si="0"/>
        <v>104</v>
      </c>
      <c r="U18" s="142">
        <v>1</v>
      </c>
      <c r="V18" s="142" t="s">
        <v>56</v>
      </c>
      <c r="X18" s="27">
        <f>'2 ALIYAH B'!T18:T49</f>
        <v>107</v>
      </c>
      <c r="Y18" s="27">
        <f t="shared" si="1"/>
        <v>104</v>
      </c>
      <c r="Z18" s="60">
        <f t="shared" si="2"/>
        <v>211</v>
      </c>
      <c r="AA18" s="27">
        <v>26</v>
      </c>
      <c r="AB18" s="60">
        <f t="shared" si="6"/>
        <v>8</v>
      </c>
      <c r="AC18" s="29" t="str">
        <f t="shared" si="3"/>
        <v>الجيد الثاني</v>
      </c>
      <c r="AE18" s="61">
        <f>'2 ALIYAH B'!U15:U50</f>
        <v>1</v>
      </c>
      <c r="AF18" s="61">
        <f>U18:U33</f>
        <v>1</v>
      </c>
      <c r="AG18" s="52">
        <f t="shared" si="7"/>
        <v>2</v>
      </c>
      <c r="AI18" s="61" t="str">
        <f>'2 ALIYAH B'!V15:V51</f>
        <v>-</v>
      </c>
      <c r="AJ18" s="61" t="str">
        <f>V18:V33</f>
        <v>-</v>
      </c>
      <c r="AK18" s="52">
        <f t="shared" si="8"/>
        <v>0</v>
      </c>
    </row>
    <row r="19" spans="1:37" s="59" customFormat="1" ht="25.15" customHeight="1" thickBot="1" x14ac:dyDescent="0.3">
      <c r="A19" s="58">
        <f>'2 ALIYAH B'!A16:C51</f>
        <v>18</v>
      </c>
      <c r="B19" s="82" t="str">
        <f>'2 ALIYAH B'!B16:D51</f>
        <v>NAFIATUD DAROINI</v>
      </c>
      <c r="C19" s="58">
        <f>'2 ALIYAH B'!C16:E51</f>
        <v>2664</v>
      </c>
      <c r="D19" s="150" t="s">
        <v>31</v>
      </c>
      <c r="E19" s="151" t="str">
        <f t="shared" si="5"/>
        <v>٩</v>
      </c>
      <c r="F19" s="151">
        <v>9</v>
      </c>
      <c r="G19" s="151" t="s">
        <v>56</v>
      </c>
      <c r="H19" s="151">
        <v>9</v>
      </c>
      <c r="I19" s="151">
        <v>9</v>
      </c>
      <c r="J19" s="151">
        <v>6</v>
      </c>
      <c r="K19" s="151">
        <v>9</v>
      </c>
      <c r="L19" s="151">
        <v>9</v>
      </c>
      <c r="M19" s="151">
        <v>6</v>
      </c>
      <c r="N19" s="151">
        <v>9</v>
      </c>
      <c r="O19" s="151">
        <v>8</v>
      </c>
      <c r="P19" s="151">
        <v>8</v>
      </c>
      <c r="Q19" s="151">
        <v>8</v>
      </c>
      <c r="R19" s="151">
        <v>8</v>
      </c>
      <c r="S19" s="151">
        <v>8</v>
      </c>
      <c r="T19" s="4">
        <f t="shared" si="0"/>
        <v>106</v>
      </c>
      <c r="U19" s="142">
        <v>5</v>
      </c>
      <c r="V19" s="142" t="s">
        <v>56</v>
      </c>
      <c r="X19" s="27">
        <f>'2 ALIYAH B'!T19:T50</f>
        <v>107</v>
      </c>
      <c r="Y19" s="27">
        <f t="shared" si="1"/>
        <v>106</v>
      </c>
      <c r="Z19" s="60">
        <f t="shared" si="2"/>
        <v>213</v>
      </c>
      <c r="AA19" s="27">
        <v>26</v>
      </c>
      <c r="AB19" s="60">
        <f t="shared" si="6"/>
        <v>8</v>
      </c>
      <c r="AC19" s="29" t="str">
        <f t="shared" si="3"/>
        <v>الجيد الثاني</v>
      </c>
      <c r="AE19" s="61">
        <f>'2 ALIYAH B'!U16:U51</f>
        <v>6</v>
      </c>
      <c r="AF19" s="61">
        <f>U19:U33</f>
        <v>5</v>
      </c>
      <c r="AG19" s="52">
        <f t="shared" si="7"/>
        <v>11</v>
      </c>
      <c r="AI19" s="61" t="str">
        <f>'2 ALIYAH B'!V16:V52</f>
        <v>-</v>
      </c>
      <c r="AJ19" s="61" t="str">
        <f>V19:V33</f>
        <v>-</v>
      </c>
      <c r="AK19" s="52">
        <f t="shared" si="8"/>
        <v>0</v>
      </c>
    </row>
    <row r="20" spans="1:37" s="59" customFormat="1" ht="25.15" customHeight="1" thickBot="1" x14ac:dyDescent="0.3">
      <c r="A20" s="58">
        <f>'2 ALIYAH B'!A17:C52</f>
        <v>19</v>
      </c>
      <c r="B20" s="82" t="str">
        <f>'2 ALIYAH B'!B17:D52</f>
        <v>NAILUN NAJAH ALJADIDAH</v>
      </c>
      <c r="C20" s="58">
        <f>'2 ALIYAH B'!C17:E52</f>
        <v>2704</v>
      </c>
      <c r="D20" s="150" t="s">
        <v>32</v>
      </c>
      <c r="E20" s="151" t="str">
        <f t="shared" si="5"/>
        <v>٩</v>
      </c>
      <c r="F20" s="151">
        <v>9</v>
      </c>
      <c r="G20" s="151" t="s">
        <v>56</v>
      </c>
      <c r="H20" s="151">
        <v>6</v>
      </c>
      <c r="I20" s="151">
        <v>9</v>
      </c>
      <c r="J20" s="151">
        <v>9</v>
      </c>
      <c r="K20" s="151">
        <v>9</v>
      </c>
      <c r="L20" s="151">
        <v>9</v>
      </c>
      <c r="M20" s="151">
        <v>9</v>
      </c>
      <c r="N20" s="151">
        <v>7</v>
      </c>
      <c r="O20" s="151">
        <v>9</v>
      </c>
      <c r="P20" s="151">
        <v>8</v>
      </c>
      <c r="Q20" s="151">
        <v>8</v>
      </c>
      <c r="R20" s="151">
        <v>8</v>
      </c>
      <c r="S20" s="151">
        <v>8</v>
      </c>
      <c r="T20" s="4">
        <f t="shared" si="0"/>
        <v>108</v>
      </c>
      <c r="U20" s="142" t="s">
        <v>56</v>
      </c>
      <c r="V20" s="142" t="s">
        <v>56</v>
      </c>
      <c r="X20" s="27">
        <f>'2 ALIYAH B'!T20:T51</f>
        <v>108</v>
      </c>
      <c r="Y20" s="27">
        <f t="shared" si="1"/>
        <v>108</v>
      </c>
      <c r="Z20" s="60">
        <f t="shared" si="2"/>
        <v>216</v>
      </c>
      <c r="AA20" s="27">
        <v>26</v>
      </c>
      <c r="AB20" s="60">
        <f t="shared" si="6"/>
        <v>8</v>
      </c>
      <c r="AC20" s="29" t="str">
        <f t="shared" si="3"/>
        <v>الجيد الثاني</v>
      </c>
      <c r="AE20" s="61">
        <f>'2 ALIYAH B'!U17:U52</f>
        <v>1</v>
      </c>
      <c r="AF20" s="61" t="str">
        <f>U20:U33</f>
        <v>-</v>
      </c>
      <c r="AG20" s="52">
        <f t="shared" si="7"/>
        <v>1</v>
      </c>
      <c r="AI20" s="61" t="str">
        <f>'2 ALIYAH B'!V17:V53</f>
        <v>-</v>
      </c>
      <c r="AJ20" s="61" t="str">
        <f>V20:V33</f>
        <v>-</v>
      </c>
      <c r="AK20" s="52">
        <f t="shared" si="8"/>
        <v>0</v>
      </c>
    </row>
    <row r="21" spans="1:37" s="59" customFormat="1" ht="25.15" customHeight="1" thickBot="1" x14ac:dyDescent="0.3">
      <c r="A21" s="58">
        <f>'2 ALIYAH B'!A18:C53</f>
        <v>20</v>
      </c>
      <c r="B21" s="82" t="str">
        <f>'2 ALIYAH B'!B18:D53</f>
        <v>NIDA RAHMA KHASANI</v>
      </c>
      <c r="C21" s="58">
        <f>'2 ALIYAH B'!C18:E53</f>
        <v>2900</v>
      </c>
      <c r="D21" s="150" t="s">
        <v>33</v>
      </c>
      <c r="E21" s="151" t="str">
        <f t="shared" si="5"/>
        <v>٨</v>
      </c>
      <c r="F21" s="151">
        <v>8</v>
      </c>
      <c r="G21" s="151" t="s">
        <v>56</v>
      </c>
      <c r="H21" s="151">
        <v>9</v>
      </c>
      <c r="I21" s="151">
        <v>9</v>
      </c>
      <c r="J21" s="151">
        <v>9</v>
      </c>
      <c r="K21" s="151">
        <v>5</v>
      </c>
      <c r="L21" s="151">
        <v>9</v>
      </c>
      <c r="M21" s="151">
        <v>8</v>
      </c>
      <c r="N21" s="151">
        <v>6</v>
      </c>
      <c r="O21" s="151">
        <v>7</v>
      </c>
      <c r="P21" s="151">
        <v>8</v>
      </c>
      <c r="Q21" s="151">
        <v>8</v>
      </c>
      <c r="R21" s="151">
        <v>8</v>
      </c>
      <c r="S21" s="151">
        <v>8</v>
      </c>
      <c r="T21" s="4">
        <f t="shared" si="0"/>
        <v>102</v>
      </c>
      <c r="U21" s="142">
        <v>1</v>
      </c>
      <c r="V21" s="142" t="s">
        <v>56</v>
      </c>
      <c r="X21" s="27">
        <f>'2 ALIYAH B'!T21:T52</f>
        <v>96</v>
      </c>
      <c r="Y21" s="27">
        <f t="shared" si="1"/>
        <v>102</v>
      </c>
      <c r="Z21" s="60">
        <f t="shared" si="2"/>
        <v>198</v>
      </c>
      <c r="AA21" s="27">
        <v>26</v>
      </c>
      <c r="AB21" s="60">
        <f t="shared" si="6"/>
        <v>8</v>
      </c>
      <c r="AC21" s="29" t="str">
        <f t="shared" si="3"/>
        <v>الجيد الثاني</v>
      </c>
      <c r="AE21" s="61">
        <f>'2 ALIYAH B'!U18:U53</f>
        <v>3</v>
      </c>
      <c r="AF21" s="61">
        <f>U21:U33</f>
        <v>1</v>
      </c>
      <c r="AG21" s="52">
        <f t="shared" si="7"/>
        <v>4</v>
      </c>
      <c r="AI21" s="61">
        <f>'2 ALIYAH B'!V18:V54</f>
        <v>3</v>
      </c>
      <c r="AJ21" s="61" t="str">
        <f>V21:V33</f>
        <v>-</v>
      </c>
      <c r="AK21" s="52">
        <f t="shared" si="8"/>
        <v>3</v>
      </c>
    </row>
    <row r="22" spans="1:37" s="59" customFormat="1" ht="25.15" customHeight="1" thickBot="1" x14ac:dyDescent="0.3">
      <c r="A22" s="58">
        <f>'2 ALIYAH B'!A19:C54</f>
        <v>21</v>
      </c>
      <c r="B22" s="82" t="str">
        <f>'2 ALIYAH B'!B19:D54</f>
        <v>NIHLAH SALIMAH FIDDAROIN</v>
      </c>
      <c r="C22" s="58">
        <f>'2 ALIYAH B'!C19:E54</f>
        <v>2668</v>
      </c>
      <c r="D22" s="150" t="s">
        <v>34</v>
      </c>
      <c r="E22" s="151" t="str">
        <f t="shared" si="5"/>
        <v>٩</v>
      </c>
      <c r="F22" s="151">
        <v>9</v>
      </c>
      <c r="G22" s="151" t="s">
        <v>56</v>
      </c>
      <c r="H22" s="151">
        <v>9</v>
      </c>
      <c r="I22" s="151">
        <v>9</v>
      </c>
      <c r="J22" s="151">
        <v>9</v>
      </c>
      <c r="K22" s="151">
        <v>6</v>
      </c>
      <c r="L22" s="151">
        <v>9</v>
      </c>
      <c r="M22" s="151">
        <v>8</v>
      </c>
      <c r="N22" s="151">
        <v>9</v>
      </c>
      <c r="O22" s="151">
        <v>9</v>
      </c>
      <c r="P22" s="151">
        <v>8</v>
      </c>
      <c r="Q22" s="151">
        <v>9</v>
      </c>
      <c r="R22" s="151">
        <v>9</v>
      </c>
      <c r="S22" s="151">
        <v>8</v>
      </c>
      <c r="T22" s="4">
        <f t="shared" si="0"/>
        <v>111</v>
      </c>
      <c r="U22" s="142">
        <v>1</v>
      </c>
      <c r="V22" s="142" t="s">
        <v>56</v>
      </c>
      <c r="X22" s="27">
        <f>'2 ALIYAH B'!T22:T53</f>
        <v>112</v>
      </c>
      <c r="Y22" s="27">
        <f t="shared" si="1"/>
        <v>111</v>
      </c>
      <c r="Z22" s="60">
        <f t="shared" si="2"/>
        <v>223</v>
      </c>
      <c r="AA22" s="27">
        <v>26</v>
      </c>
      <c r="AB22" s="60">
        <f t="shared" si="6"/>
        <v>9</v>
      </c>
      <c r="AC22" s="29" t="str">
        <f t="shared" si="3"/>
        <v>الجيد الأول</v>
      </c>
      <c r="AE22" s="61">
        <f>'2 ALIYAH B'!U19:U54</f>
        <v>1</v>
      </c>
      <c r="AF22" s="61">
        <f>U22:U33</f>
        <v>1</v>
      </c>
      <c r="AG22" s="52">
        <f t="shared" si="7"/>
        <v>2</v>
      </c>
      <c r="AI22" s="61" t="str">
        <f>'2 ALIYAH B'!V19:V55</f>
        <v>-</v>
      </c>
      <c r="AJ22" s="61" t="str">
        <f>V22:V33</f>
        <v>-</v>
      </c>
      <c r="AK22" s="52">
        <f t="shared" si="8"/>
        <v>0</v>
      </c>
    </row>
    <row r="23" spans="1:37" s="59" customFormat="1" ht="25.15" customHeight="1" thickBot="1" x14ac:dyDescent="0.3">
      <c r="A23" s="58">
        <v>23</v>
      </c>
      <c r="B23" s="244" t="s">
        <v>125</v>
      </c>
      <c r="C23" s="58">
        <f>'2 ALIYAH B'!C22:E57</f>
        <v>2815</v>
      </c>
      <c r="D23" s="150" t="s">
        <v>35</v>
      </c>
      <c r="E23" s="151" t="str">
        <f t="shared" si="5"/>
        <v>٨</v>
      </c>
      <c r="F23" s="151">
        <v>8</v>
      </c>
      <c r="G23" s="151" t="s">
        <v>56</v>
      </c>
      <c r="H23" s="151">
        <v>8</v>
      </c>
      <c r="I23" s="151">
        <v>7</v>
      </c>
      <c r="J23" s="151">
        <v>8</v>
      </c>
      <c r="K23" s="151">
        <v>7</v>
      </c>
      <c r="L23" s="151">
        <v>6</v>
      </c>
      <c r="M23" s="151">
        <v>7</v>
      </c>
      <c r="N23" s="151">
        <v>8</v>
      </c>
      <c r="O23" s="151">
        <v>8</v>
      </c>
      <c r="P23" s="151">
        <v>8</v>
      </c>
      <c r="Q23" s="151">
        <v>8</v>
      </c>
      <c r="R23" s="151">
        <v>8</v>
      </c>
      <c r="S23" s="151">
        <v>8</v>
      </c>
      <c r="T23" s="4">
        <f t="shared" si="0"/>
        <v>99</v>
      </c>
      <c r="U23" s="142">
        <v>3</v>
      </c>
      <c r="V23" s="142" t="s">
        <v>56</v>
      </c>
      <c r="X23" s="27">
        <f>'2 ALIYAH B'!T23:T54</f>
        <v>70</v>
      </c>
      <c r="Y23" s="27">
        <f t="shared" si="1"/>
        <v>99</v>
      </c>
      <c r="Z23" s="60">
        <f t="shared" si="2"/>
        <v>169</v>
      </c>
      <c r="AA23" s="27">
        <v>26</v>
      </c>
      <c r="AB23" s="60">
        <f t="shared" si="6"/>
        <v>7</v>
      </c>
      <c r="AC23" s="29" t="s">
        <v>341</v>
      </c>
      <c r="AE23" s="61">
        <f>'2 ALIYAH B'!U22:U57</f>
        <v>6</v>
      </c>
      <c r="AF23" s="61">
        <f t="shared" ref="AF23:AF33" si="9">U23:U35</f>
        <v>3</v>
      </c>
      <c r="AG23" s="52">
        <f t="shared" si="7"/>
        <v>9</v>
      </c>
      <c r="AI23" s="61">
        <f>'2 ALIYAH B'!V22:V58</f>
        <v>9</v>
      </c>
      <c r="AJ23" s="61" t="str">
        <f>V23:V33</f>
        <v>-</v>
      </c>
      <c r="AK23" s="52">
        <f t="shared" si="8"/>
        <v>9</v>
      </c>
    </row>
    <row r="24" spans="1:37" s="59" customFormat="1" ht="25.15" customHeight="1" thickBot="1" x14ac:dyDescent="0.3">
      <c r="A24" s="58">
        <v>24</v>
      </c>
      <c r="B24" s="149" t="s">
        <v>126</v>
      </c>
      <c r="C24" s="58">
        <f>'2 ALIYAH B'!C23:E58</f>
        <v>2676</v>
      </c>
      <c r="D24" s="150" t="s">
        <v>36</v>
      </c>
      <c r="E24" s="151" t="str">
        <f t="shared" si="5"/>
        <v>٩</v>
      </c>
      <c r="F24" s="151">
        <v>9</v>
      </c>
      <c r="G24" s="151" t="s">
        <v>56</v>
      </c>
      <c r="H24" s="151">
        <v>9</v>
      </c>
      <c r="I24" s="151">
        <v>9</v>
      </c>
      <c r="J24" s="151">
        <v>6</v>
      </c>
      <c r="K24" s="151">
        <v>8</v>
      </c>
      <c r="L24" s="151">
        <v>9</v>
      </c>
      <c r="M24" s="151">
        <v>7</v>
      </c>
      <c r="N24" s="151">
        <v>8</v>
      </c>
      <c r="O24" s="151">
        <v>9</v>
      </c>
      <c r="P24" s="151">
        <v>8</v>
      </c>
      <c r="Q24" s="151">
        <v>8</v>
      </c>
      <c r="R24" s="151">
        <v>9</v>
      </c>
      <c r="S24" s="151">
        <v>8</v>
      </c>
      <c r="T24" s="4">
        <f t="shared" si="0"/>
        <v>107</v>
      </c>
      <c r="U24" s="142">
        <v>1</v>
      </c>
      <c r="V24" s="142" t="s">
        <v>56</v>
      </c>
      <c r="X24" s="27">
        <f>'2 ALIYAH B'!T24:T55</f>
        <v>105</v>
      </c>
      <c r="Y24" s="27">
        <f t="shared" si="1"/>
        <v>107</v>
      </c>
      <c r="Z24" s="60">
        <f t="shared" si="2"/>
        <v>212</v>
      </c>
      <c r="AA24" s="27">
        <v>26</v>
      </c>
      <c r="AB24" s="60">
        <f t="shared" si="6"/>
        <v>8</v>
      </c>
      <c r="AC24" s="29" t="str">
        <f t="shared" si="3"/>
        <v>الجيد الثاني</v>
      </c>
      <c r="AE24" s="61" t="str">
        <f>'2 ALIYAH B'!U23:U58</f>
        <v>-</v>
      </c>
      <c r="AF24" s="61">
        <f t="shared" si="9"/>
        <v>1</v>
      </c>
      <c r="AG24" s="52">
        <f t="shared" si="7"/>
        <v>1</v>
      </c>
      <c r="AI24" s="61" t="str">
        <f>'2 ALIYAH B'!V23:V59</f>
        <v>-</v>
      </c>
      <c r="AJ24" s="61" t="str">
        <f>V24:V33</f>
        <v>-</v>
      </c>
      <c r="AK24" s="52">
        <f t="shared" si="8"/>
        <v>0</v>
      </c>
    </row>
    <row r="25" spans="1:37" s="59" customFormat="1" ht="25.15" customHeight="1" thickBot="1" x14ac:dyDescent="0.3">
      <c r="A25" s="58">
        <v>25</v>
      </c>
      <c r="B25" s="149" t="s">
        <v>127</v>
      </c>
      <c r="C25" s="58">
        <f>'2 ALIYAH B'!C24:E59</f>
        <v>2678</v>
      </c>
      <c r="D25" s="150" t="s">
        <v>37</v>
      </c>
      <c r="E25" s="151" t="str">
        <f t="shared" si="5"/>
        <v>٤</v>
      </c>
      <c r="F25" s="151">
        <v>4</v>
      </c>
      <c r="G25" s="151" t="s">
        <v>56</v>
      </c>
      <c r="H25" s="151">
        <v>9</v>
      </c>
      <c r="I25" s="151">
        <v>9</v>
      </c>
      <c r="J25" s="151">
        <v>7</v>
      </c>
      <c r="K25" s="151">
        <v>7</v>
      </c>
      <c r="L25" s="151">
        <v>8</v>
      </c>
      <c r="M25" s="151">
        <v>8</v>
      </c>
      <c r="N25" s="151">
        <v>7</v>
      </c>
      <c r="O25" s="151">
        <v>5</v>
      </c>
      <c r="P25" s="151">
        <v>8</v>
      </c>
      <c r="Q25" s="151">
        <v>8</v>
      </c>
      <c r="R25" s="151">
        <v>7</v>
      </c>
      <c r="S25" s="151">
        <v>8</v>
      </c>
      <c r="T25" s="4">
        <f t="shared" si="0"/>
        <v>95</v>
      </c>
      <c r="U25" s="142" t="s">
        <v>56</v>
      </c>
      <c r="V25" s="142" t="s">
        <v>56</v>
      </c>
      <c r="X25" s="27">
        <f>'2 ALIYAH B'!T25:T56</f>
        <v>88</v>
      </c>
      <c r="Y25" s="27">
        <f t="shared" si="1"/>
        <v>95</v>
      </c>
      <c r="Z25" s="60">
        <f t="shared" si="2"/>
        <v>183</v>
      </c>
      <c r="AA25" s="27">
        <v>26</v>
      </c>
      <c r="AB25" s="60">
        <f t="shared" si="6"/>
        <v>7</v>
      </c>
      <c r="AC25" s="29" t="str">
        <f t="shared" si="3"/>
        <v>المتوسط الأول</v>
      </c>
      <c r="AE25" s="61" t="str">
        <f>'2 ALIYAH B'!U24:U59</f>
        <v>-</v>
      </c>
      <c r="AF25" s="61" t="str">
        <f t="shared" si="9"/>
        <v>-</v>
      </c>
      <c r="AG25" s="52">
        <f t="shared" si="7"/>
        <v>0</v>
      </c>
      <c r="AI25" s="61" t="str">
        <f>'2 ALIYAH B'!V24:V60</f>
        <v>-</v>
      </c>
      <c r="AJ25" s="61" t="str">
        <f>V25:V33</f>
        <v>-</v>
      </c>
      <c r="AK25" s="52">
        <f t="shared" si="8"/>
        <v>0</v>
      </c>
    </row>
    <row r="26" spans="1:37" s="62" customFormat="1" ht="25.15" customHeight="1" thickBot="1" x14ac:dyDescent="0.3">
      <c r="A26" s="58">
        <v>26</v>
      </c>
      <c r="B26" s="149" t="s">
        <v>128</v>
      </c>
      <c r="C26" s="58">
        <f>'2 ALIYAH B'!C25:E60</f>
        <v>2750</v>
      </c>
      <c r="D26" s="150" t="s">
        <v>38</v>
      </c>
      <c r="E26" s="151" t="str">
        <f t="shared" si="5"/>
        <v>٧</v>
      </c>
      <c r="F26" s="151">
        <v>7</v>
      </c>
      <c r="G26" s="151" t="s">
        <v>56</v>
      </c>
      <c r="H26" s="151">
        <v>9</v>
      </c>
      <c r="I26" s="151">
        <v>9</v>
      </c>
      <c r="J26" s="151">
        <v>8</v>
      </c>
      <c r="K26" s="151">
        <v>9</v>
      </c>
      <c r="L26" s="151">
        <v>9</v>
      </c>
      <c r="M26" s="151">
        <v>8</v>
      </c>
      <c r="N26" s="151">
        <v>8</v>
      </c>
      <c r="O26" s="151">
        <v>8</v>
      </c>
      <c r="P26" s="151">
        <v>8</v>
      </c>
      <c r="Q26" s="151">
        <v>8</v>
      </c>
      <c r="R26" s="151">
        <v>8</v>
      </c>
      <c r="S26" s="151">
        <v>8</v>
      </c>
      <c r="T26" s="4">
        <f t="shared" si="0"/>
        <v>107</v>
      </c>
      <c r="U26" s="142">
        <v>1</v>
      </c>
      <c r="V26" s="142" t="s">
        <v>56</v>
      </c>
      <c r="X26" s="27">
        <f>'2 ALIYAH B'!T26:T57</f>
        <v>105</v>
      </c>
      <c r="Y26" s="27">
        <f t="shared" si="1"/>
        <v>107</v>
      </c>
      <c r="Z26" s="60">
        <f t="shared" si="2"/>
        <v>212</v>
      </c>
      <c r="AA26" s="27">
        <v>26</v>
      </c>
      <c r="AB26" s="60">
        <f t="shared" si="6"/>
        <v>8</v>
      </c>
      <c r="AC26" s="29" t="str">
        <f t="shared" si="3"/>
        <v>الجيد الثاني</v>
      </c>
      <c r="AE26" s="61">
        <f>'2 ALIYAH B'!U25:U60</f>
        <v>1</v>
      </c>
      <c r="AF26" s="61">
        <f t="shared" si="9"/>
        <v>1</v>
      </c>
      <c r="AG26" s="52">
        <f t="shared" si="7"/>
        <v>2</v>
      </c>
      <c r="AH26" s="59"/>
      <c r="AI26" s="61" t="str">
        <f>'2 ALIYAH B'!V25:V61</f>
        <v>-</v>
      </c>
      <c r="AJ26" s="61" t="str">
        <f>V26:V33</f>
        <v>-</v>
      </c>
      <c r="AK26" s="52">
        <f t="shared" si="8"/>
        <v>0</v>
      </c>
    </row>
    <row r="27" spans="1:37" s="62" customFormat="1" ht="25.15" customHeight="1" thickBot="1" x14ac:dyDescent="0.3">
      <c r="A27" s="58">
        <v>27</v>
      </c>
      <c r="B27" s="149" t="s">
        <v>129</v>
      </c>
      <c r="C27" s="58">
        <f>'2 ALIYAH B'!C27:E61</f>
        <v>2681</v>
      </c>
      <c r="D27" s="150" t="s">
        <v>39</v>
      </c>
      <c r="E27" s="151" t="str">
        <f t="shared" si="5"/>
        <v>٩</v>
      </c>
      <c r="F27" s="151">
        <v>9</v>
      </c>
      <c r="G27" s="151" t="s">
        <v>56</v>
      </c>
      <c r="H27" s="151">
        <v>9</v>
      </c>
      <c r="I27" s="151">
        <v>9</v>
      </c>
      <c r="J27" s="151">
        <v>7</v>
      </c>
      <c r="K27" s="151">
        <v>8</v>
      </c>
      <c r="L27" s="151">
        <v>9</v>
      </c>
      <c r="M27" s="151">
        <v>7</v>
      </c>
      <c r="N27" s="151">
        <v>9</v>
      </c>
      <c r="O27" s="151">
        <v>9</v>
      </c>
      <c r="P27" s="151">
        <v>8</v>
      </c>
      <c r="Q27" s="151">
        <v>8</v>
      </c>
      <c r="R27" s="151">
        <v>8</v>
      </c>
      <c r="S27" s="151">
        <v>8</v>
      </c>
      <c r="T27" s="4">
        <f t="shared" si="0"/>
        <v>108</v>
      </c>
      <c r="U27" s="142" t="s">
        <v>56</v>
      </c>
      <c r="V27" s="142" t="s">
        <v>56</v>
      </c>
      <c r="X27" s="27">
        <f>'2 ALIYAH B'!T27:T58</f>
        <v>102</v>
      </c>
      <c r="Y27" s="27">
        <f t="shared" si="1"/>
        <v>108</v>
      </c>
      <c r="Z27" s="60">
        <f t="shared" si="2"/>
        <v>210</v>
      </c>
      <c r="AA27" s="27">
        <v>26</v>
      </c>
      <c r="AB27" s="60">
        <f t="shared" si="6"/>
        <v>8</v>
      </c>
      <c r="AC27" s="29" t="str">
        <f t="shared" si="3"/>
        <v>الجيد الثاني</v>
      </c>
      <c r="AE27" s="61">
        <f>'2 ALIYAH B'!U27:U61</f>
        <v>1</v>
      </c>
      <c r="AF27" s="61" t="str">
        <f t="shared" si="9"/>
        <v>-</v>
      </c>
      <c r="AG27" s="52">
        <f t="shared" si="7"/>
        <v>1</v>
      </c>
      <c r="AH27" s="59"/>
      <c r="AI27" s="61">
        <f>'2 ALIYAH B'!V27:V62</f>
        <v>1</v>
      </c>
      <c r="AJ27" s="61" t="str">
        <f>V27:V33</f>
        <v>-</v>
      </c>
      <c r="AK27" s="52">
        <f t="shared" si="8"/>
        <v>1</v>
      </c>
    </row>
    <row r="28" spans="1:37" s="62" customFormat="1" ht="25.15" customHeight="1" thickBot="1" x14ac:dyDescent="0.3">
      <c r="A28" s="58">
        <v>28</v>
      </c>
      <c r="B28" s="149" t="s">
        <v>130</v>
      </c>
      <c r="C28" s="58">
        <f>'2 ALIYAH B'!C28:E62</f>
        <v>2682</v>
      </c>
      <c r="D28" s="150" t="s">
        <v>40</v>
      </c>
      <c r="E28" s="151" t="str">
        <f t="shared" si="5"/>
        <v>٩</v>
      </c>
      <c r="F28" s="151">
        <v>9</v>
      </c>
      <c r="G28" s="151" t="s">
        <v>56</v>
      </c>
      <c r="H28" s="151">
        <v>8</v>
      </c>
      <c r="I28" s="151">
        <v>9</v>
      </c>
      <c r="J28" s="151">
        <v>8</v>
      </c>
      <c r="K28" s="151">
        <v>9</v>
      </c>
      <c r="L28" s="151">
        <v>8</v>
      </c>
      <c r="M28" s="151">
        <v>9</v>
      </c>
      <c r="N28" s="151">
        <v>9</v>
      </c>
      <c r="O28" s="151">
        <v>9</v>
      </c>
      <c r="P28" s="151">
        <v>8</v>
      </c>
      <c r="Q28" s="151">
        <v>8</v>
      </c>
      <c r="R28" s="151">
        <v>9</v>
      </c>
      <c r="S28" s="151">
        <v>8</v>
      </c>
      <c r="T28" s="4">
        <f t="shared" si="0"/>
        <v>111</v>
      </c>
      <c r="U28" s="142">
        <v>1</v>
      </c>
      <c r="V28" s="142" t="s">
        <v>56</v>
      </c>
      <c r="X28" s="27">
        <f>'2 ALIYAH B'!T28:T59</f>
        <v>113</v>
      </c>
      <c r="Y28" s="27">
        <f t="shared" si="1"/>
        <v>111</v>
      </c>
      <c r="Z28" s="60">
        <f t="shared" si="2"/>
        <v>224</v>
      </c>
      <c r="AA28" s="27">
        <v>26</v>
      </c>
      <c r="AB28" s="60">
        <f t="shared" si="6"/>
        <v>9</v>
      </c>
      <c r="AC28" s="29" t="str">
        <f t="shared" si="3"/>
        <v>الجيد الأول</v>
      </c>
      <c r="AE28" s="61" t="str">
        <f>'2 ALIYAH B'!U28:U62</f>
        <v>-</v>
      </c>
      <c r="AF28" s="61">
        <f t="shared" si="9"/>
        <v>1</v>
      </c>
      <c r="AG28" s="52">
        <f t="shared" si="7"/>
        <v>1</v>
      </c>
      <c r="AH28" s="59"/>
      <c r="AI28" s="61">
        <f>'2 ALIYAH B'!V28:V63</f>
        <v>1</v>
      </c>
      <c r="AJ28" s="61" t="str">
        <f>V28:V33</f>
        <v>-</v>
      </c>
      <c r="AK28" s="52">
        <f t="shared" si="8"/>
        <v>1</v>
      </c>
    </row>
    <row r="29" spans="1:37" s="270" customFormat="1" ht="25.15" customHeight="1" thickBot="1" x14ac:dyDescent="0.3">
      <c r="A29" s="269">
        <v>29</v>
      </c>
      <c r="B29" s="149" t="s">
        <v>131</v>
      </c>
      <c r="C29" s="269">
        <f>'2 ALIYAH B'!C29:E63</f>
        <v>2909</v>
      </c>
      <c r="D29" s="150" t="s">
        <v>41</v>
      </c>
      <c r="E29" s="151" t="str">
        <f t="shared" si="5"/>
        <v>٥</v>
      </c>
      <c r="F29" s="151">
        <v>5</v>
      </c>
      <c r="G29" s="151" t="s">
        <v>56</v>
      </c>
      <c r="H29" s="151">
        <v>5</v>
      </c>
      <c r="I29" s="151">
        <v>9</v>
      </c>
      <c r="J29" s="151">
        <v>8</v>
      </c>
      <c r="K29" s="151">
        <v>7</v>
      </c>
      <c r="L29" s="151">
        <v>5</v>
      </c>
      <c r="M29" s="151">
        <v>5</v>
      </c>
      <c r="N29" s="151">
        <v>6</v>
      </c>
      <c r="O29" s="151">
        <v>6</v>
      </c>
      <c r="P29" s="151">
        <v>8</v>
      </c>
      <c r="Q29" s="151">
        <v>8</v>
      </c>
      <c r="R29" s="151">
        <v>8</v>
      </c>
      <c r="S29" s="151">
        <v>8</v>
      </c>
      <c r="T29" s="4">
        <f t="shared" si="0"/>
        <v>88</v>
      </c>
      <c r="U29" s="142" t="s">
        <v>56</v>
      </c>
      <c r="V29" s="142" t="s">
        <v>56</v>
      </c>
      <c r="X29" s="27">
        <f>'2 ALIYAH B'!T29:T60</f>
        <v>85</v>
      </c>
      <c r="Y29" s="27">
        <f t="shared" si="1"/>
        <v>88</v>
      </c>
      <c r="Z29" s="271">
        <f t="shared" si="2"/>
        <v>173</v>
      </c>
      <c r="AA29" s="27">
        <v>26</v>
      </c>
      <c r="AB29" s="271">
        <f t="shared" si="6"/>
        <v>7</v>
      </c>
      <c r="AC29" s="29" t="str">
        <f t="shared" si="3"/>
        <v>المتوسط الأول</v>
      </c>
      <c r="AE29" s="272" t="str">
        <f>'2 ALIYAH B'!U29:U63</f>
        <v>-</v>
      </c>
      <c r="AF29" s="272" t="str">
        <f t="shared" si="9"/>
        <v>-</v>
      </c>
      <c r="AG29" s="57">
        <f t="shared" si="7"/>
        <v>0</v>
      </c>
      <c r="AH29" s="273"/>
      <c r="AI29" s="272">
        <f>'2 ALIYAH B'!V29:V64</f>
        <v>1</v>
      </c>
      <c r="AJ29" s="272" t="str">
        <f>V29:V33</f>
        <v>-</v>
      </c>
      <c r="AK29" s="57">
        <f t="shared" si="8"/>
        <v>1</v>
      </c>
    </row>
    <row r="30" spans="1:37" s="270" customFormat="1" ht="25.15" customHeight="1" thickBot="1" x14ac:dyDescent="0.3">
      <c r="A30" s="269">
        <v>30</v>
      </c>
      <c r="B30" s="203" t="s">
        <v>135</v>
      </c>
      <c r="C30" s="132">
        <v>2684</v>
      </c>
      <c r="D30" s="150" t="s">
        <v>42</v>
      </c>
      <c r="E30" s="151" t="str">
        <f t="shared" si="5"/>
        <v>٨</v>
      </c>
      <c r="F30" s="151">
        <v>8</v>
      </c>
      <c r="G30" s="151" t="s">
        <v>56</v>
      </c>
      <c r="H30" s="151">
        <v>9</v>
      </c>
      <c r="I30" s="151">
        <v>9</v>
      </c>
      <c r="J30" s="151">
        <v>9</v>
      </c>
      <c r="K30" s="151">
        <v>9</v>
      </c>
      <c r="L30" s="151">
        <v>9</v>
      </c>
      <c r="M30" s="151">
        <v>6</v>
      </c>
      <c r="N30" s="151">
        <v>8</v>
      </c>
      <c r="O30" s="151">
        <v>9</v>
      </c>
      <c r="P30" s="151">
        <v>8</v>
      </c>
      <c r="Q30" s="151">
        <v>8</v>
      </c>
      <c r="R30" s="151">
        <v>8</v>
      </c>
      <c r="S30" s="151">
        <v>8</v>
      </c>
      <c r="T30" s="56">
        <f t="shared" si="0"/>
        <v>108</v>
      </c>
      <c r="U30" s="142" t="s">
        <v>56</v>
      </c>
      <c r="V30" s="142" t="s">
        <v>56</v>
      </c>
      <c r="X30" s="27">
        <f>'2 ALIYAH B'!T30:T61</f>
        <v>109</v>
      </c>
      <c r="Y30" s="27">
        <f t="shared" si="1"/>
        <v>108</v>
      </c>
      <c r="Z30" s="271">
        <f t="shared" si="2"/>
        <v>217</v>
      </c>
      <c r="AA30" s="27">
        <v>26</v>
      </c>
      <c r="AB30" s="271">
        <f t="shared" si="6"/>
        <v>8</v>
      </c>
      <c r="AC30" s="29" t="str">
        <f t="shared" si="3"/>
        <v>الجيد الثاني</v>
      </c>
      <c r="AE30" s="272" t="str">
        <f>'2 ALIYAH B'!U30:U64</f>
        <v>-</v>
      </c>
      <c r="AF30" s="272" t="str">
        <f t="shared" si="9"/>
        <v>-</v>
      </c>
      <c r="AG30" s="57">
        <f t="shared" si="7"/>
        <v>0</v>
      </c>
      <c r="AH30" s="273"/>
      <c r="AI30" s="272" t="str">
        <f>'2 ALIYAH B'!V30:V65</f>
        <v>-</v>
      </c>
      <c r="AJ30" s="272" t="str">
        <f>V30:V33</f>
        <v>-</v>
      </c>
      <c r="AK30" s="57">
        <f t="shared" si="8"/>
        <v>0</v>
      </c>
    </row>
    <row r="31" spans="1:37" s="62" customFormat="1" ht="25.15" customHeight="1" thickBot="1" x14ac:dyDescent="0.3">
      <c r="A31" s="58">
        <v>31</v>
      </c>
      <c r="B31" s="244" t="s">
        <v>132</v>
      </c>
      <c r="C31" s="132">
        <v>2685</v>
      </c>
      <c r="D31" s="150" t="s">
        <v>43</v>
      </c>
      <c r="E31" s="151" t="str">
        <f t="shared" si="5"/>
        <v>٥</v>
      </c>
      <c r="F31" s="151">
        <v>5</v>
      </c>
      <c r="G31" s="151" t="s">
        <v>56</v>
      </c>
      <c r="H31" s="151">
        <v>7</v>
      </c>
      <c r="I31" s="151">
        <v>8</v>
      </c>
      <c r="J31" s="151">
        <v>4</v>
      </c>
      <c r="K31" s="151">
        <v>6</v>
      </c>
      <c r="L31" s="151">
        <v>6</v>
      </c>
      <c r="M31" s="151">
        <v>6</v>
      </c>
      <c r="N31" s="151">
        <v>6</v>
      </c>
      <c r="O31" s="151">
        <v>5</v>
      </c>
      <c r="P31" s="151">
        <v>8</v>
      </c>
      <c r="Q31" s="151">
        <v>8</v>
      </c>
      <c r="R31" s="151">
        <v>8</v>
      </c>
      <c r="S31" s="151">
        <v>8</v>
      </c>
      <c r="T31" s="56">
        <f t="shared" si="0"/>
        <v>85</v>
      </c>
      <c r="U31" s="142" t="s">
        <v>56</v>
      </c>
      <c r="V31" s="142" t="s">
        <v>56</v>
      </c>
      <c r="X31" s="27">
        <f>'2 ALIYAH B'!T31:T62</f>
        <v>83</v>
      </c>
      <c r="Y31" s="27">
        <f t="shared" si="1"/>
        <v>85</v>
      </c>
      <c r="Z31" s="60">
        <f t="shared" si="2"/>
        <v>168</v>
      </c>
      <c r="AA31" s="27">
        <v>26</v>
      </c>
      <c r="AB31" s="60">
        <f t="shared" si="6"/>
        <v>6</v>
      </c>
      <c r="AC31" s="29" t="str">
        <f t="shared" si="3"/>
        <v>المتوسط الثاني</v>
      </c>
      <c r="AE31" s="61" t="str">
        <f>'2 ALIYAH B'!U31:U65</f>
        <v>-</v>
      </c>
      <c r="AF31" s="61" t="str">
        <f t="shared" si="9"/>
        <v>-</v>
      </c>
      <c r="AG31" s="52">
        <f t="shared" si="7"/>
        <v>0</v>
      </c>
      <c r="AH31" s="59"/>
      <c r="AI31" s="61" t="str">
        <f>'2 ALIYAH B'!V31:V66</f>
        <v>-</v>
      </c>
      <c r="AJ31" s="61" t="str">
        <f>V31:V33</f>
        <v>-</v>
      </c>
      <c r="AK31" s="52">
        <f t="shared" si="8"/>
        <v>0</v>
      </c>
    </row>
    <row r="32" spans="1:37" s="62" customFormat="1" ht="25.15" customHeight="1" thickBot="1" x14ac:dyDescent="0.3">
      <c r="A32" s="58">
        <v>32</v>
      </c>
      <c r="B32" s="149" t="s">
        <v>133</v>
      </c>
      <c r="C32" s="85">
        <v>2786</v>
      </c>
      <c r="D32" s="150" t="s">
        <v>44</v>
      </c>
      <c r="E32" s="151" t="str">
        <f t="shared" si="5"/>
        <v>٥</v>
      </c>
      <c r="F32" s="151">
        <v>5</v>
      </c>
      <c r="G32" s="151" t="s">
        <v>56</v>
      </c>
      <c r="H32" s="151">
        <v>8</v>
      </c>
      <c r="I32" s="151">
        <v>8</v>
      </c>
      <c r="J32" s="151">
        <v>7</v>
      </c>
      <c r="K32" s="151">
        <v>8</v>
      </c>
      <c r="L32" s="151">
        <v>9</v>
      </c>
      <c r="M32" s="151">
        <v>6</v>
      </c>
      <c r="N32" s="151">
        <v>4</v>
      </c>
      <c r="O32" s="151">
        <v>7</v>
      </c>
      <c r="P32" s="151">
        <v>8</v>
      </c>
      <c r="Q32" s="151">
        <v>8</v>
      </c>
      <c r="R32" s="151">
        <v>8</v>
      </c>
      <c r="S32" s="151">
        <v>8</v>
      </c>
      <c r="T32" s="4">
        <f t="shared" si="0"/>
        <v>94</v>
      </c>
      <c r="U32" s="142" t="s">
        <v>56</v>
      </c>
      <c r="V32" s="142" t="s">
        <v>56</v>
      </c>
      <c r="X32" s="27">
        <f>'2 ALIYAH B'!T32:T63</f>
        <v>82</v>
      </c>
      <c r="Y32" s="27">
        <f t="shared" si="1"/>
        <v>94</v>
      </c>
      <c r="Z32" s="60">
        <f t="shared" si="2"/>
        <v>176</v>
      </c>
      <c r="AA32" s="27">
        <v>26</v>
      </c>
      <c r="AB32" s="60">
        <f t="shared" si="6"/>
        <v>7</v>
      </c>
      <c r="AC32" s="29" t="str">
        <f t="shared" si="3"/>
        <v>المتوسط الأول</v>
      </c>
      <c r="AE32" s="61">
        <f>'2 ALIYAH B'!U32:U66</f>
        <v>4</v>
      </c>
      <c r="AF32" s="61" t="str">
        <f t="shared" si="9"/>
        <v>-</v>
      </c>
      <c r="AG32" s="52">
        <f t="shared" si="7"/>
        <v>4</v>
      </c>
      <c r="AH32" s="59"/>
      <c r="AI32" s="61" t="str">
        <f>'2 ALIYAH B'!V32:V67</f>
        <v>-</v>
      </c>
      <c r="AJ32" s="61" t="str">
        <f>V32:V33</f>
        <v>-</v>
      </c>
      <c r="AK32" s="52">
        <f t="shared" si="8"/>
        <v>0</v>
      </c>
    </row>
    <row r="33" spans="1:37" s="62" customFormat="1" ht="25.15" customHeight="1" thickBot="1" x14ac:dyDescent="0.3">
      <c r="A33" s="58">
        <v>33</v>
      </c>
      <c r="B33" s="274" t="s">
        <v>134</v>
      </c>
      <c r="C33" s="85">
        <v>2912</v>
      </c>
      <c r="D33" s="150" t="s">
        <v>45</v>
      </c>
      <c r="E33" s="151" t="str">
        <f t="shared" si="5"/>
        <v>٧</v>
      </c>
      <c r="F33" s="151">
        <v>7</v>
      </c>
      <c r="G33" s="151" t="s">
        <v>56</v>
      </c>
      <c r="H33" s="151">
        <v>9</v>
      </c>
      <c r="I33" s="151">
        <v>9</v>
      </c>
      <c r="J33" s="151">
        <v>6</v>
      </c>
      <c r="K33" s="151">
        <v>7</v>
      </c>
      <c r="L33" s="151">
        <v>9</v>
      </c>
      <c r="M33" s="151">
        <v>6</v>
      </c>
      <c r="N33" s="151">
        <v>6</v>
      </c>
      <c r="O33" s="151">
        <v>5</v>
      </c>
      <c r="P33" s="151">
        <v>8</v>
      </c>
      <c r="Q33" s="151">
        <v>8</v>
      </c>
      <c r="R33" s="151">
        <v>8</v>
      </c>
      <c r="S33" s="151">
        <v>8</v>
      </c>
      <c r="T33" s="4">
        <f t="shared" si="0"/>
        <v>96</v>
      </c>
      <c r="U33" s="142" t="s">
        <v>56</v>
      </c>
      <c r="V33" s="142">
        <v>1</v>
      </c>
      <c r="X33" s="27">
        <f>'2 ALIYAH B'!T33:T64</f>
        <v>92</v>
      </c>
      <c r="Y33" s="27">
        <f t="shared" si="1"/>
        <v>96</v>
      </c>
      <c r="Z33" s="60">
        <f t="shared" si="2"/>
        <v>188</v>
      </c>
      <c r="AA33" s="27">
        <v>26</v>
      </c>
      <c r="AB33" s="60">
        <f t="shared" si="6"/>
        <v>7</v>
      </c>
      <c r="AC33" s="29" t="str">
        <f t="shared" si="3"/>
        <v>المتوسط الأول</v>
      </c>
      <c r="AE33" s="61" t="str">
        <f>'2 ALIYAH B'!U33:U67</f>
        <v>-</v>
      </c>
      <c r="AF33" s="61" t="str">
        <f t="shared" si="9"/>
        <v>-</v>
      </c>
      <c r="AG33" s="52">
        <f t="shared" si="7"/>
        <v>0</v>
      </c>
      <c r="AH33" s="59"/>
      <c r="AI33" s="61" t="str">
        <f>'2 ALIYAH B'!V33:V68</f>
        <v>-</v>
      </c>
      <c r="AJ33" s="61">
        <f>V33:V33</f>
        <v>1</v>
      </c>
      <c r="AK33" s="52">
        <f t="shared" si="8"/>
        <v>1</v>
      </c>
    </row>
    <row r="34" spans="1:37" s="2" customFormat="1" ht="25.15" customHeight="1" x14ac:dyDescent="0.25">
      <c r="A34" s="35"/>
      <c r="B34" s="80" t="s">
        <v>50</v>
      </c>
      <c r="C34" s="7"/>
      <c r="D34" s="7"/>
      <c r="E34" s="3" t="str">
        <f t="shared" ref="E34" si="10">TEXT(F34,"[$-2000000]0")</f>
        <v>٢٣٥</v>
      </c>
      <c r="F34" s="38">
        <f t="shared" ref="F34:S34" si="11">SUM(F2:F33)</f>
        <v>235</v>
      </c>
      <c r="G34" s="8">
        <f t="shared" si="11"/>
        <v>0</v>
      </c>
      <c r="H34" s="8">
        <f t="shared" si="11"/>
        <v>262</v>
      </c>
      <c r="I34" s="24">
        <f t="shared" si="11"/>
        <v>269</v>
      </c>
      <c r="J34" s="8">
        <f t="shared" si="11"/>
        <v>235</v>
      </c>
      <c r="K34" s="8">
        <f t="shared" si="11"/>
        <v>237</v>
      </c>
      <c r="L34" s="8">
        <f t="shared" si="11"/>
        <v>257</v>
      </c>
      <c r="M34" s="8">
        <f t="shared" si="11"/>
        <v>229</v>
      </c>
      <c r="N34" s="8">
        <f t="shared" si="11"/>
        <v>239</v>
      </c>
      <c r="O34" s="24">
        <f t="shared" si="11"/>
        <v>241</v>
      </c>
      <c r="P34" s="8">
        <f t="shared" si="11"/>
        <v>257</v>
      </c>
      <c r="Q34" s="8">
        <f t="shared" si="11"/>
        <v>261</v>
      </c>
      <c r="R34" s="8">
        <f t="shared" si="11"/>
        <v>262</v>
      </c>
      <c r="S34" s="8">
        <f t="shared" si="11"/>
        <v>256</v>
      </c>
      <c r="T34" s="4">
        <f t="shared" si="0"/>
        <v>3240</v>
      </c>
      <c r="U34" s="142" t="s">
        <v>56</v>
      </c>
      <c r="V34" s="142" t="s">
        <v>56</v>
      </c>
      <c r="X34" s="27">
        <f>'2 ALIYAH B'!T34:T65</f>
        <v>3132</v>
      </c>
      <c r="Y34" s="27">
        <f t="shared" si="1"/>
        <v>3240</v>
      </c>
      <c r="Z34" s="60">
        <f t="shared" ref="Z34" si="12">X34+Y34</f>
        <v>6372</v>
      </c>
      <c r="AA34" s="27">
        <v>26</v>
      </c>
      <c r="AB34" s="28">
        <f t="shared" ref="AB34" si="13">Z34/AA34</f>
        <v>245</v>
      </c>
      <c r="AC34" s="29"/>
      <c r="AE34" s="51" t="str">
        <f>'2 ALIYAH B'!U34:U80</f>
        <v>-</v>
      </c>
      <c r="AF34" s="51" t="str">
        <f t="shared" ref="AF34" si="14">U34:U58</f>
        <v>-</v>
      </c>
      <c r="AG34" s="52">
        <f t="shared" ref="AG34" si="15">SUM(AE34:AF34)</f>
        <v>0</v>
      </c>
      <c r="AH34" s="1"/>
      <c r="AI34" s="51" t="str">
        <f>'2 ALIYAH B'!V34:V81</f>
        <v>-</v>
      </c>
      <c r="AJ34" s="51" t="str">
        <f t="shared" ref="AJ34:AJ35" si="16">V34:V34</f>
        <v>-</v>
      </c>
      <c r="AK34" s="52">
        <f t="shared" ref="AK34:AK35" si="17">SUM(AI34:AJ34)</f>
        <v>0</v>
      </c>
    </row>
    <row r="35" spans="1:37" s="2" customFormat="1" ht="25.15" customHeight="1" x14ac:dyDescent="0.25">
      <c r="A35" s="17"/>
      <c r="B35" s="81"/>
      <c r="C35" s="7"/>
      <c r="D35" s="7"/>
      <c r="E35" s="3"/>
      <c r="F35" s="5"/>
      <c r="G35" s="5"/>
      <c r="H35" s="5"/>
      <c r="I35" s="25"/>
      <c r="J35" s="5"/>
      <c r="K35" s="5"/>
      <c r="L35" s="5"/>
      <c r="M35" s="5"/>
      <c r="N35" s="5"/>
      <c r="O35" s="25"/>
      <c r="P35" s="5"/>
      <c r="Q35" s="5"/>
      <c r="R35" s="5"/>
      <c r="S35" s="5"/>
      <c r="T35" s="6"/>
      <c r="U35" s="277"/>
      <c r="V35" s="277"/>
      <c r="X35" s="281"/>
      <c r="Y35" s="281"/>
      <c r="Z35" s="62"/>
      <c r="AA35" s="281"/>
      <c r="AC35" s="247"/>
      <c r="AG35" s="247"/>
      <c r="AH35" s="1"/>
      <c r="AI35" s="51" t="str">
        <f>'2 ALIYAH B'!V34:V82</f>
        <v>-</v>
      </c>
      <c r="AJ35" s="51">
        <f t="shared" si="16"/>
        <v>0</v>
      </c>
      <c r="AK35" s="52">
        <f t="shared" si="17"/>
        <v>0</v>
      </c>
    </row>
    <row r="36" spans="1:37" s="2" customFormat="1" ht="25.15" customHeight="1" x14ac:dyDescent="0.25">
      <c r="A36" s="17"/>
      <c r="B36" s="81"/>
      <c r="C36" s="7"/>
      <c r="D36" s="7"/>
      <c r="E36" s="3"/>
      <c r="F36" s="5"/>
      <c r="G36" s="5"/>
      <c r="H36" s="5"/>
      <c r="I36" s="25"/>
      <c r="J36" s="5"/>
      <c r="K36" s="5"/>
      <c r="L36" s="5"/>
      <c r="M36" s="5"/>
      <c r="N36" s="5"/>
      <c r="O36" s="25"/>
      <c r="P36" s="5"/>
      <c r="Q36" s="5"/>
      <c r="R36" s="5"/>
      <c r="S36" s="5"/>
      <c r="T36" s="6"/>
      <c r="U36" s="277"/>
      <c r="V36" s="277"/>
      <c r="X36" s="27"/>
      <c r="Y36" s="27"/>
      <c r="Z36" s="60"/>
      <c r="AA36" s="27"/>
      <c r="AB36" s="28"/>
      <c r="AC36" s="29"/>
      <c r="AE36" s="53"/>
      <c r="AF36" s="53"/>
      <c r="AG36" s="54"/>
      <c r="AH36"/>
      <c r="AI36" s="53"/>
      <c r="AJ36" s="53"/>
      <c r="AK36" s="55"/>
    </row>
    <row r="37" spans="1:37" s="9" customFormat="1" ht="25.15" customHeight="1" x14ac:dyDescent="0.25">
      <c r="A37" s="17"/>
      <c r="B37" s="268" t="s">
        <v>337</v>
      </c>
      <c r="C37" s="7"/>
      <c r="D37" s="7"/>
      <c r="E37" s="3"/>
      <c r="F37" s="5"/>
      <c r="G37" s="5"/>
      <c r="H37" s="5"/>
      <c r="I37" s="25"/>
      <c r="J37" s="5"/>
      <c r="K37" s="5"/>
      <c r="L37" s="5"/>
      <c r="M37" s="5"/>
      <c r="N37" s="5"/>
      <c r="O37" s="25"/>
      <c r="P37" s="5"/>
      <c r="Q37" s="5"/>
      <c r="R37" s="5"/>
      <c r="S37" s="5"/>
      <c r="T37" s="6"/>
      <c r="U37" s="277"/>
      <c r="V37" s="277"/>
      <c r="W37" s="2"/>
      <c r="X37" s="30"/>
      <c r="Y37" s="30"/>
      <c r="Z37" s="280"/>
      <c r="AA37" s="30"/>
      <c r="AB37" s="32"/>
      <c r="AC37" s="31"/>
      <c r="AD37" s="2"/>
      <c r="AE37" s="53"/>
      <c r="AF37" s="53"/>
      <c r="AG37" s="54"/>
      <c r="AH37"/>
      <c r="AI37" s="53"/>
      <c r="AJ37" s="53"/>
      <c r="AK37" s="55"/>
    </row>
    <row r="38" spans="1:37" ht="25.15" customHeight="1" x14ac:dyDescent="0.25">
      <c r="A38" s="17"/>
      <c r="B38" s="267" t="s">
        <v>339</v>
      </c>
      <c r="G38" s="4"/>
      <c r="H38" s="14" t="s">
        <v>49</v>
      </c>
      <c r="I38" s="23"/>
      <c r="U38" s="277"/>
      <c r="V38" s="277"/>
    </row>
    <row r="39" spans="1:37" ht="25.15" customHeight="1" x14ac:dyDescent="0.25">
      <c r="A39" s="17"/>
      <c r="H39" s="16">
        <f>SUM(F34/D33)</f>
        <v>7</v>
      </c>
    </row>
    <row r="40" spans="1:37" s="18" customFormat="1" ht="25.15" customHeight="1" x14ac:dyDescent="0.25">
      <c r="A40" s="17"/>
      <c r="B40" s="81"/>
      <c r="C40" s="7"/>
      <c r="D40" s="7"/>
      <c r="E40" s="3"/>
      <c r="F40" s="5"/>
      <c r="G40" s="5"/>
      <c r="H40" s="33" t="s">
        <v>56</v>
      </c>
      <c r="I40" s="25"/>
      <c r="J40" s="5"/>
      <c r="K40" s="5"/>
      <c r="L40" s="5"/>
      <c r="M40" s="5"/>
      <c r="N40" s="5"/>
      <c r="O40" s="25"/>
      <c r="P40" s="5"/>
      <c r="Q40" s="5"/>
      <c r="R40" s="5"/>
      <c r="S40" s="5"/>
      <c r="T40" s="6"/>
      <c r="U40" s="278"/>
      <c r="V40" s="278"/>
      <c r="X40" s="30"/>
      <c r="Y40" s="30"/>
      <c r="Z40" s="280"/>
      <c r="AA40" s="30"/>
      <c r="AB40" s="32"/>
      <c r="AC40" s="31"/>
      <c r="AE40" s="53"/>
      <c r="AF40" s="53"/>
      <c r="AG40" s="54"/>
      <c r="AH40"/>
      <c r="AI40" s="53"/>
      <c r="AJ40" s="53"/>
      <c r="AK40" s="55"/>
    </row>
    <row r="41" spans="1:37" s="18" customFormat="1" ht="25.15" customHeight="1" x14ac:dyDescent="0.25">
      <c r="A41" s="17"/>
      <c r="B41" s="81"/>
      <c r="C41" s="7"/>
      <c r="D41" s="7"/>
      <c r="E41" s="3"/>
      <c r="F41" s="5"/>
      <c r="G41" s="5"/>
      <c r="H41" s="266">
        <f>SUM(I34/D33)</f>
        <v>8</v>
      </c>
      <c r="I41" s="25"/>
      <c r="J41" s="5"/>
      <c r="K41" s="5"/>
      <c r="L41" s="5"/>
      <c r="M41" s="5"/>
      <c r="N41" s="5"/>
      <c r="O41" s="25"/>
      <c r="P41" s="5"/>
      <c r="Q41" s="5"/>
      <c r="R41" s="5"/>
      <c r="S41" s="5"/>
      <c r="T41" s="6"/>
      <c r="U41" s="278"/>
      <c r="V41" s="278"/>
      <c r="X41" s="30"/>
      <c r="Y41" s="30"/>
      <c r="Z41" s="280"/>
      <c r="AA41" s="30"/>
      <c r="AB41" s="32"/>
      <c r="AC41" s="31"/>
      <c r="AE41" s="53"/>
      <c r="AF41" s="53"/>
      <c r="AG41" s="54"/>
      <c r="AH41"/>
      <c r="AI41" s="53"/>
      <c r="AJ41" s="53"/>
      <c r="AK41" s="55"/>
    </row>
    <row r="42" spans="1:37" s="18" customFormat="1" ht="25.15" customHeight="1" x14ac:dyDescent="0.25">
      <c r="A42" s="17"/>
      <c r="B42" s="81"/>
      <c r="C42" s="7"/>
      <c r="D42" s="7"/>
      <c r="E42" s="3"/>
      <c r="F42" s="5"/>
      <c r="G42" s="5"/>
      <c r="H42" s="16">
        <f>SUM(I34/D33)</f>
        <v>8</v>
      </c>
      <c r="I42" s="25"/>
      <c r="J42" s="5"/>
      <c r="K42" s="5"/>
      <c r="L42" s="5"/>
      <c r="M42" s="5"/>
      <c r="N42" s="5"/>
      <c r="O42" s="25"/>
      <c r="P42" s="5"/>
      <c r="Q42" s="5"/>
      <c r="R42" s="5"/>
      <c r="S42" s="5"/>
      <c r="T42" s="6"/>
      <c r="U42" s="278"/>
      <c r="V42" s="278"/>
      <c r="X42" s="30"/>
      <c r="Y42" s="30"/>
      <c r="Z42" s="280"/>
      <c r="AA42" s="30"/>
      <c r="AB42" s="32"/>
      <c r="AC42" s="31"/>
      <c r="AE42" s="53"/>
      <c r="AF42" s="53"/>
      <c r="AG42" s="54"/>
      <c r="AH42"/>
      <c r="AI42" s="53"/>
      <c r="AJ42" s="53"/>
      <c r="AK42" s="55"/>
    </row>
    <row r="43" spans="1:37" s="18" customFormat="1" ht="25.15" customHeight="1" x14ac:dyDescent="0.25">
      <c r="A43" s="17"/>
      <c r="B43" s="81"/>
      <c r="C43" s="7"/>
      <c r="D43" s="7"/>
      <c r="E43" s="3"/>
      <c r="F43" s="5"/>
      <c r="G43" s="5"/>
      <c r="H43" s="16">
        <f>SUM(J34/D33)</f>
        <v>7</v>
      </c>
      <c r="I43" s="25"/>
      <c r="J43" s="5"/>
      <c r="K43" s="5"/>
      <c r="L43" s="5"/>
      <c r="M43" s="5"/>
      <c r="N43" s="5"/>
      <c r="O43" s="25"/>
      <c r="P43" s="5"/>
      <c r="Q43" s="5"/>
      <c r="R43" s="5"/>
      <c r="S43" s="5"/>
      <c r="T43" s="6"/>
      <c r="U43" s="278"/>
      <c r="V43" s="278"/>
      <c r="X43" s="30"/>
      <c r="Y43" s="30"/>
      <c r="Z43" s="280"/>
      <c r="AA43" s="30"/>
      <c r="AB43" s="32"/>
      <c r="AC43" s="31"/>
      <c r="AE43" s="53"/>
      <c r="AF43" s="53"/>
      <c r="AG43" s="54"/>
      <c r="AH43"/>
      <c r="AI43" s="53"/>
      <c r="AJ43" s="53"/>
      <c r="AK43" s="55"/>
    </row>
    <row r="44" spans="1:37" s="18" customFormat="1" ht="25.15" customHeight="1" x14ac:dyDescent="0.25">
      <c r="A44" s="17"/>
      <c r="B44" s="81"/>
      <c r="C44" s="7"/>
      <c r="D44" s="7"/>
      <c r="E44" s="3"/>
      <c r="F44" s="5"/>
      <c r="G44" s="5"/>
      <c r="H44" s="16">
        <f>SUM(K34/D33)</f>
        <v>7</v>
      </c>
      <c r="I44" s="25"/>
      <c r="J44" s="5"/>
      <c r="K44" s="5"/>
      <c r="L44" s="5"/>
      <c r="M44" s="5"/>
      <c r="N44" s="5"/>
      <c r="O44" s="25"/>
      <c r="P44" s="5"/>
      <c r="Q44" s="5"/>
      <c r="R44" s="5"/>
      <c r="S44" s="5"/>
      <c r="T44" s="6"/>
      <c r="U44" s="278"/>
      <c r="V44" s="278"/>
      <c r="X44" s="30"/>
      <c r="Y44" s="30"/>
      <c r="Z44" s="280"/>
      <c r="AA44" s="30"/>
      <c r="AB44" s="32"/>
      <c r="AC44" s="31"/>
      <c r="AE44" s="53"/>
      <c r="AF44" s="53"/>
      <c r="AG44" s="54"/>
      <c r="AH44"/>
      <c r="AI44" s="53"/>
      <c r="AJ44" s="53"/>
      <c r="AK44" s="55"/>
    </row>
    <row r="45" spans="1:37" s="18" customFormat="1" ht="25.15" customHeight="1" x14ac:dyDescent="0.25">
      <c r="A45" s="17"/>
      <c r="B45" s="81"/>
      <c r="C45" s="7"/>
      <c r="D45" s="7"/>
      <c r="E45" s="3"/>
      <c r="F45" s="5"/>
      <c r="G45" s="5"/>
      <c r="H45" s="16">
        <f>SUM(L34/D33)</f>
        <v>8</v>
      </c>
      <c r="I45" s="25"/>
      <c r="J45" s="5"/>
      <c r="K45" s="5"/>
      <c r="L45" s="5"/>
      <c r="M45" s="5"/>
      <c r="N45" s="5"/>
      <c r="O45" s="25"/>
      <c r="P45" s="5"/>
      <c r="Q45" s="5"/>
      <c r="R45" s="5"/>
      <c r="S45" s="5"/>
      <c r="T45" s="6"/>
      <c r="U45" s="278"/>
      <c r="V45" s="278"/>
      <c r="X45" s="30"/>
      <c r="Y45" s="30"/>
      <c r="Z45" s="280"/>
      <c r="AA45" s="30"/>
      <c r="AB45" s="32"/>
      <c r="AC45" s="31"/>
      <c r="AE45" s="53"/>
      <c r="AF45" s="53"/>
      <c r="AG45" s="54"/>
      <c r="AH45"/>
      <c r="AI45" s="53"/>
      <c r="AJ45" s="53"/>
      <c r="AK45" s="55"/>
    </row>
    <row r="46" spans="1:37" s="18" customFormat="1" ht="25.15" customHeight="1" x14ac:dyDescent="0.25">
      <c r="A46" s="17"/>
      <c r="B46" s="81"/>
      <c r="C46" s="7"/>
      <c r="D46" s="7"/>
      <c r="E46" s="3"/>
      <c r="F46" s="5"/>
      <c r="G46" s="5"/>
      <c r="H46" s="16">
        <f>SUM(M34/D33)</f>
        <v>7</v>
      </c>
      <c r="I46" s="25"/>
      <c r="J46" s="5"/>
      <c r="K46" s="5"/>
      <c r="L46" s="5"/>
      <c r="M46" s="5"/>
      <c r="N46" s="5"/>
      <c r="O46" s="25"/>
      <c r="P46" s="5"/>
      <c r="Q46" s="5"/>
      <c r="R46" s="5"/>
      <c r="S46" s="5"/>
      <c r="T46" s="6"/>
      <c r="U46" s="278"/>
      <c r="V46" s="278"/>
      <c r="X46" s="30"/>
      <c r="Y46" s="30"/>
      <c r="Z46" s="280"/>
      <c r="AA46" s="30"/>
      <c r="AB46" s="32"/>
      <c r="AC46" s="31"/>
      <c r="AE46" s="53"/>
      <c r="AF46" s="53"/>
      <c r="AG46" s="54"/>
      <c r="AH46"/>
      <c r="AI46" s="53"/>
      <c r="AJ46" s="53"/>
      <c r="AK46" s="55"/>
    </row>
    <row r="47" spans="1:37" s="18" customFormat="1" ht="25.15" customHeight="1" x14ac:dyDescent="0.25">
      <c r="A47" s="17"/>
      <c r="B47" s="81"/>
      <c r="C47" s="7"/>
      <c r="D47" s="7"/>
      <c r="E47" s="3"/>
      <c r="F47" s="5"/>
      <c r="G47" s="5"/>
      <c r="H47" s="16">
        <f>SUM(N34/D33)</f>
        <v>7</v>
      </c>
      <c r="I47" s="25"/>
      <c r="J47" s="5"/>
      <c r="K47" s="5"/>
      <c r="L47" s="5"/>
      <c r="M47" s="5"/>
      <c r="N47" s="5"/>
      <c r="O47" s="25"/>
      <c r="P47" s="5"/>
      <c r="Q47" s="5"/>
      <c r="R47" s="5"/>
      <c r="S47" s="5"/>
      <c r="T47" s="6"/>
      <c r="U47" s="278"/>
      <c r="V47" s="278"/>
      <c r="X47" s="30"/>
      <c r="Y47" s="30"/>
      <c r="Z47" s="280"/>
      <c r="AA47" s="30"/>
      <c r="AB47" s="32"/>
      <c r="AC47" s="31"/>
      <c r="AE47" s="53"/>
      <c r="AF47" s="53"/>
      <c r="AG47" s="54"/>
      <c r="AH47"/>
      <c r="AI47" s="53"/>
      <c r="AJ47" s="53"/>
      <c r="AK47" s="55"/>
    </row>
    <row r="48" spans="1:37" s="18" customFormat="1" ht="25.15" customHeight="1" x14ac:dyDescent="0.25">
      <c r="A48" s="17"/>
      <c r="B48" s="81"/>
      <c r="C48" s="7"/>
      <c r="D48" s="7"/>
      <c r="E48" s="3"/>
      <c r="F48" s="5"/>
      <c r="G48" s="5"/>
      <c r="H48" s="16">
        <f>SUM(P34/D33)</f>
        <v>8</v>
      </c>
      <c r="I48" s="25"/>
      <c r="J48" s="5"/>
      <c r="K48" s="5"/>
      <c r="L48" s="5"/>
      <c r="M48" s="5"/>
      <c r="N48" s="5"/>
      <c r="O48" s="25"/>
      <c r="P48" s="5"/>
      <c r="Q48" s="5"/>
      <c r="R48" s="5"/>
      <c r="S48" s="5"/>
      <c r="T48" s="6"/>
      <c r="U48" s="278"/>
      <c r="V48" s="278"/>
      <c r="X48" s="30"/>
      <c r="Y48" s="30"/>
      <c r="Z48" s="280"/>
      <c r="AA48" s="30"/>
      <c r="AB48" s="32"/>
      <c r="AC48" s="31"/>
      <c r="AE48" s="53"/>
      <c r="AF48" s="53"/>
      <c r="AG48" s="54"/>
      <c r="AH48"/>
      <c r="AI48" s="53"/>
      <c r="AJ48" s="53"/>
      <c r="AK48" s="55"/>
    </row>
    <row r="49" spans="1:37" s="18" customFormat="1" ht="25.15" customHeight="1" x14ac:dyDescent="0.25">
      <c r="A49" s="17"/>
      <c r="B49" s="81"/>
      <c r="C49" s="7"/>
      <c r="D49" s="7"/>
      <c r="E49" s="3"/>
      <c r="F49" s="5"/>
      <c r="G49" s="5"/>
      <c r="H49" s="16">
        <f>SUM(P34/D33)</f>
        <v>8</v>
      </c>
      <c r="I49" s="25"/>
      <c r="J49" s="5"/>
      <c r="K49" s="5"/>
      <c r="L49" s="5"/>
      <c r="M49" s="5"/>
      <c r="N49" s="5"/>
      <c r="O49" s="25"/>
      <c r="P49" s="5"/>
      <c r="Q49" s="5"/>
      <c r="R49" s="5"/>
      <c r="S49" s="5"/>
      <c r="T49" s="6"/>
      <c r="U49" s="278"/>
      <c r="V49" s="278"/>
      <c r="X49" s="30"/>
      <c r="Y49" s="30"/>
      <c r="Z49" s="280"/>
      <c r="AA49" s="30"/>
      <c r="AB49" s="32"/>
      <c r="AC49" s="31"/>
      <c r="AE49" s="53"/>
      <c r="AF49" s="53"/>
      <c r="AG49" s="54"/>
      <c r="AH49"/>
      <c r="AI49" s="53"/>
      <c r="AJ49" s="53"/>
      <c r="AK49" s="55"/>
    </row>
    <row r="50" spans="1:37" s="18" customFormat="1" ht="25.15" customHeight="1" x14ac:dyDescent="0.25">
      <c r="A50" s="17"/>
      <c r="B50" s="81"/>
      <c r="C50" s="7"/>
      <c r="D50" s="7"/>
      <c r="E50" s="3"/>
      <c r="F50" s="5"/>
      <c r="G50" s="5"/>
      <c r="H50" s="266">
        <f>SUM(Q34/D33)</f>
        <v>8</v>
      </c>
      <c r="I50" s="25"/>
      <c r="J50" s="5"/>
      <c r="K50" s="5"/>
      <c r="L50" s="5"/>
      <c r="M50" s="5"/>
      <c r="N50" s="5"/>
      <c r="O50" s="25"/>
      <c r="P50" s="5"/>
      <c r="Q50" s="5"/>
      <c r="R50" s="5"/>
      <c r="S50" s="5"/>
      <c r="T50" s="6"/>
      <c r="U50" s="278"/>
      <c r="V50" s="278"/>
      <c r="X50" s="30"/>
      <c r="Y50" s="30"/>
      <c r="Z50" s="280"/>
      <c r="AA50" s="30"/>
      <c r="AB50" s="32"/>
      <c r="AC50" s="31"/>
      <c r="AE50" s="53"/>
      <c r="AF50" s="53"/>
      <c r="AG50" s="54"/>
      <c r="AH50"/>
      <c r="AI50" s="53"/>
      <c r="AJ50" s="53"/>
      <c r="AK50" s="55"/>
    </row>
    <row r="51" spans="1:37" s="18" customFormat="1" ht="25.15" customHeight="1" x14ac:dyDescent="0.25">
      <c r="A51" s="17"/>
      <c r="B51" s="81"/>
      <c r="C51" s="7"/>
      <c r="D51" s="7"/>
      <c r="E51" s="3"/>
      <c r="F51" s="5"/>
      <c r="G51" s="5"/>
      <c r="H51" s="16">
        <f>SUM(R34/D33)</f>
        <v>8</v>
      </c>
      <c r="I51" s="25"/>
      <c r="J51" s="5"/>
      <c r="K51" s="5"/>
      <c r="L51" s="5"/>
      <c r="M51" s="5"/>
      <c r="N51" s="5"/>
      <c r="O51" s="25"/>
      <c r="P51" s="5"/>
      <c r="Q51" s="5"/>
      <c r="R51" s="5"/>
      <c r="S51" s="5"/>
      <c r="T51" s="6"/>
      <c r="U51" s="278"/>
      <c r="V51" s="278"/>
      <c r="X51" s="30"/>
      <c r="Y51" s="30"/>
      <c r="Z51" s="280"/>
      <c r="AA51" s="30"/>
      <c r="AB51" s="32"/>
      <c r="AC51" s="31"/>
      <c r="AE51" s="53"/>
      <c r="AF51" s="53"/>
      <c r="AG51" s="54"/>
      <c r="AH51"/>
      <c r="AI51" s="53"/>
      <c r="AJ51" s="53"/>
      <c r="AK51" s="55"/>
    </row>
    <row r="52" spans="1:37" s="18" customFormat="1" ht="25.15" customHeight="1" x14ac:dyDescent="0.25">
      <c r="A52" s="17"/>
      <c r="B52" s="81"/>
      <c r="C52" s="7"/>
      <c r="D52" s="7"/>
      <c r="E52" s="3"/>
      <c r="F52" s="5"/>
      <c r="G52" s="5"/>
      <c r="H52" s="16">
        <f>SUM(S34/D33)</f>
        <v>8</v>
      </c>
      <c r="I52" s="25"/>
      <c r="J52" s="5"/>
      <c r="K52" s="5"/>
      <c r="L52" s="5"/>
      <c r="M52" s="5"/>
      <c r="N52" s="5"/>
      <c r="O52" s="25"/>
      <c r="P52" s="5"/>
      <c r="Q52" s="5"/>
      <c r="R52" s="5"/>
      <c r="S52" s="5"/>
      <c r="T52" s="6"/>
      <c r="U52" s="278"/>
      <c r="V52" s="278"/>
      <c r="X52" s="30"/>
      <c r="Y52" s="30"/>
      <c r="Z52" s="280"/>
      <c r="AA52" s="30"/>
      <c r="AB52" s="32"/>
      <c r="AC52" s="31"/>
      <c r="AE52" s="53"/>
      <c r="AF52" s="53"/>
      <c r="AG52" s="54"/>
      <c r="AH52"/>
      <c r="AI52" s="53"/>
      <c r="AJ52" s="53"/>
      <c r="AK52" s="55"/>
    </row>
    <row r="53" spans="1:37" s="18" customFormat="1" ht="25.15" customHeight="1" x14ac:dyDescent="0.25">
      <c r="A53" s="17"/>
      <c r="B53" s="81"/>
      <c r="C53" s="7"/>
      <c r="D53" s="7"/>
      <c r="E53" s="3"/>
      <c r="F53" s="5"/>
      <c r="G53" s="5"/>
      <c r="H53" s="15">
        <f>SUM(H39:H52)</f>
        <v>99</v>
      </c>
      <c r="I53" s="25"/>
      <c r="J53" s="5"/>
      <c r="K53" s="5"/>
      <c r="L53" s="5"/>
      <c r="M53" s="5"/>
      <c r="N53" s="5"/>
      <c r="O53" s="25"/>
      <c r="P53" s="5"/>
      <c r="Q53" s="5"/>
      <c r="R53" s="5"/>
      <c r="S53" s="5"/>
      <c r="T53" s="6"/>
      <c r="U53" s="278"/>
      <c r="V53" s="278"/>
      <c r="X53" s="30"/>
      <c r="Y53" s="30"/>
      <c r="Z53" s="280"/>
      <c r="AA53" s="30"/>
      <c r="AB53" s="32"/>
      <c r="AC53" s="31"/>
      <c r="AE53" s="53"/>
      <c r="AF53" s="53"/>
      <c r="AG53" s="54"/>
      <c r="AH53"/>
      <c r="AI53" s="53"/>
      <c r="AJ53" s="53"/>
      <c r="AK53" s="55"/>
    </row>
    <row r="54" spans="1:37" s="18" customFormat="1" ht="25.15" customHeight="1" x14ac:dyDescent="0.25">
      <c r="A54" s="17"/>
      <c r="B54" s="81"/>
      <c r="C54" s="7"/>
      <c r="D54" s="7"/>
      <c r="E54" s="3"/>
      <c r="F54" s="5"/>
      <c r="G54" s="5"/>
      <c r="H54" s="5"/>
      <c r="I54" s="25"/>
      <c r="J54" s="5"/>
      <c r="K54" s="5"/>
      <c r="L54" s="5"/>
      <c r="M54" s="5"/>
      <c r="N54" s="5"/>
      <c r="O54" s="25"/>
      <c r="P54" s="5"/>
      <c r="Q54" s="5"/>
      <c r="R54" s="5"/>
      <c r="S54" s="5"/>
      <c r="T54" s="6"/>
      <c r="U54" s="278"/>
      <c r="V54" s="278"/>
      <c r="X54" s="30"/>
      <c r="Y54" s="30"/>
      <c r="Z54" s="280"/>
      <c r="AA54" s="30"/>
      <c r="AB54" s="32"/>
      <c r="AC54" s="31"/>
      <c r="AE54" s="53"/>
      <c r="AF54" s="53"/>
      <c r="AG54" s="54"/>
      <c r="AH54"/>
      <c r="AI54" s="53"/>
      <c r="AJ54" s="53"/>
      <c r="AK54" s="55"/>
    </row>
    <row r="55" spans="1:37" s="18" customFormat="1" ht="25.15" customHeight="1" x14ac:dyDescent="0.25">
      <c r="A55" s="17"/>
      <c r="B55" s="81"/>
      <c r="C55" s="7"/>
      <c r="D55" s="7"/>
      <c r="E55" s="3"/>
      <c r="F55" s="5"/>
      <c r="G55" s="5"/>
      <c r="H55" s="5"/>
      <c r="I55" s="25"/>
      <c r="J55" s="5"/>
      <c r="K55" s="5"/>
      <c r="L55" s="5"/>
      <c r="M55" s="5"/>
      <c r="N55" s="5"/>
      <c r="O55" s="25"/>
      <c r="P55" s="5"/>
      <c r="Q55" s="5"/>
      <c r="R55" s="5"/>
      <c r="S55" s="5"/>
      <c r="T55" s="6"/>
      <c r="U55" s="278"/>
      <c r="V55" s="278"/>
      <c r="X55" s="30"/>
      <c r="Y55" s="30"/>
      <c r="Z55" s="280"/>
      <c r="AA55" s="30"/>
      <c r="AB55" s="32"/>
      <c r="AC55" s="31"/>
      <c r="AE55" s="53"/>
      <c r="AF55" s="53"/>
      <c r="AG55" s="54"/>
      <c r="AH55"/>
      <c r="AI55" s="53"/>
      <c r="AJ55" s="53"/>
      <c r="AK55" s="55"/>
    </row>
    <row r="56" spans="1:37" s="18" customFormat="1" ht="25.15" customHeight="1" x14ac:dyDescent="0.25">
      <c r="A56" s="17"/>
      <c r="B56" s="81"/>
      <c r="C56" s="7"/>
      <c r="D56" s="7"/>
      <c r="E56" s="3"/>
      <c r="F56" s="5"/>
      <c r="G56" s="5"/>
      <c r="H56" s="5"/>
      <c r="I56" s="25"/>
      <c r="J56" s="5"/>
      <c r="K56" s="5"/>
      <c r="L56" s="5"/>
      <c r="M56" s="5"/>
      <c r="N56" s="5"/>
      <c r="O56" s="25"/>
      <c r="P56" s="5"/>
      <c r="Q56" s="5"/>
      <c r="R56" s="5"/>
      <c r="S56" s="5"/>
      <c r="T56" s="6"/>
      <c r="U56" s="278"/>
      <c r="V56" s="278"/>
      <c r="X56" s="30"/>
      <c r="Y56" s="30"/>
      <c r="Z56" s="280"/>
      <c r="AA56" s="30"/>
      <c r="AB56" s="32"/>
      <c r="AC56" s="31"/>
      <c r="AE56" s="53"/>
      <c r="AF56" s="53"/>
      <c r="AG56" s="54"/>
      <c r="AH56"/>
      <c r="AI56" s="53"/>
      <c r="AJ56" s="53"/>
      <c r="AK56" s="55"/>
    </row>
    <row r="57" spans="1:37" s="18" customFormat="1" ht="25.15" customHeight="1" x14ac:dyDescent="0.25">
      <c r="A57" s="17"/>
      <c r="B57" s="81"/>
      <c r="C57" s="7"/>
      <c r="D57" s="7"/>
      <c r="E57" s="3"/>
      <c r="F57" s="5"/>
      <c r="G57" s="5"/>
      <c r="H57" s="5"/>
      <c r="I57" s="25"/>
      <c r="J57" s="5"/>
      <c r="K57" s="5"/>
      <c r="L57" s="5"/>
      <c r="M57" s="5"/>
      <c r="N57" s="5"/>
      <c r="O57" s="25"/>
      <c r="P57" s="5"/>
      <c r="Q57" s="5"/>
      <c r="R57" s="5"/>
      <c r="S57" s="5"/>
      <c r="T57" s="6"/>
      <c r="U57" s="278"/>
      <c r="V57" s="278"/>
      <c r="X57" s="30"/>
      <c r="Y57" s="30"/>
      <c r="Z57" s="280"/>
      <c r="AA57" s="30"/>
      <c r="AB57" s="32"/>
      <c r="AC57" s="31"/>
      <c r="AE57" s="53"/>
      <c r="AF57" s="53"/>
      <c r="AG57" s="54"/>
      <c r="AH57"/>
      <c r="AI57" s="53"/>
      <c r="AJ57" s="53"/>
      <c r="AK57" s="55"/>
    </row>
    <row r="58" spans="1:37" s="18" customFormat="1" ht="25.15" customHeight="1" x14ac:dyDescent="0.25">
      <c r="A58" s="17"/>
      <c r="B58" s="81"/>
      <c r="C58" s="7"/>
      <c r="D58" s="7"/>
      <c r="E58" s="3"/>
      <c r="F58" s="5"/>
      <c r="G58" s="5"/>
      <c r="H58" s="5"/>
      <c r="I58" s="25"/>
      <c r="J58" s="5"/>
      <c r="K58" s="5"/>
      <c r="L58" s="5"/>
      <c r="M58" s="5"/>
      <c r="N58" s="5"/>
      <c r="O58" s="25"/>
      <c r="P58" s="5"/>
      <c r="Q58" s="5"/>
      <c r="R58" s="5"/>
      <c r="S58" s="5"/>
      <c r="T58" s="6"/>
      <c r="U58" s="278"/>
      <c r="V58" s="278"/>
      <c r="X58" s="30"/>
      <c r="Y58" s="30"/>
      <c r="Z58" s="280"/>
      <c r="AA58" s="30"/>
      <c r="AB58" s="32"/>
      <c r="AC58" s="31"/>
      <c r="AE58" s="53"/>
      <c r="AF58" s="53"/>
      <c r="AG58" s="54"/>
      <c r="AH58"/>
      <c r="AI58" s="53"/>
      <c r="AJ58" s="53"/>
      <c r="AK58" s="55"/>
    </row>
    <row r="59" spans="1:37" s="18" customFormat="1" ht="25.15" customHeight="1" x14ac:dyDescent="0.25">
      <c r="A59" s="17"/>
      <c r="B59" s="81"/>
      <c r="C59" s="7"/>
      <c r="D59" s="7"/>
      <c r="E59" s="3"/>
      <c r="F59" s="5"/>
      <c r="G59" s="5"/>
      <c r="H59" s="5"/>
      <c r="I59" s="25"/>
      <c r="J59" s="5"/>
      <c r="K59" s="5"/>
      <c r="L59" s="5"/>
      <c r="M59" s="5"/>
      <c r="N59" s="5"/>
      <c r="O59" s="25"/>
      <c r="P59" s="5"/>
      <c r="Q59" s="5"/>
      <c r="R59" s="5"/>
      <c r="S59" s="5"/>
      <c r="T59" s="6"/>
      <c r="U59" s="278"/>
      <c r="V59" s="278"/>
      <c r="X59" s="30"/>
      <c r="Y59" s="30"/>
      <c r="Z59" s="280"/>
      <c r="AA59" s="30"/>
      <c r="AB59" s="32"/>
      <c r="AC59" s="31"/>
      <c r="AE59" s="53"/>
      <c r="AF59" s="53"/>
      <c r="AG59" s="54"/>
      <c r="AH59"/>
      <c r="AI59" s="53"/>
      <c r="AJ59" s="53"/>
      <c r="AK59" s="55"/>
    </row>
    <row r="60" spans="1:37" s="18" customFormat="1" ht="25.15" customHeight="1" x14ac:dyDescent="0.25">
      <c r="A60" s="17"/>
      <c r="B60" s="81"/>
      <c r="C60" s="7"/>
      <c r="D60" s="7"/>
      <c r="E60" s="3"/>
      <c r="F60" s="5"/>
      <c r="G60" s="5"/>
      <c r="H60" s="5"/>
      <c r="I60" s="25"/>
      <c r="J60" s="5"/>
      <c r="K60" s="5"/>
      <c r="L60" s="5"/>
      <c r="M60" s="5"/>
      <c r="N60" s="5"/>
      <c r="O60" s="25"/>
      <c r="P60" s="5"/>
      <c r="Q60" s="5"/>
      <c r="R60" s="5"/>
      <c r="S60" s="5"/>
      <c r="T60" s="6"/>
      <c r="U60" s="278"/>
      <c r="V60" s="278"/>
      <c r="X60" s="30"/>
      <c r="Y60" s="30"/>
      <c r="Z60" s="280"/>
      <c r="AA60" s="30"/>
      <c r="AB60" s="32"/>
      <c r="AC60" s="31"/>
      <c r="AE60" s="53"/>
      <c r="AF60" s="53"/>
      <c r="AG60" s="54"/>
      <c r="AH60"/>
      <c r="AI60" s="53"/>
      <c r="AJ60" s="53"/>
      <c r="AK60" s="55"/>
    </row>
    <row r="61" spans="1:37" s="18" customFormat="1" ht="25.15" customHeight="1" x14ac:dyDescent="0.25">
      <c r="A61" s="17"/>
      <c r="B61" s="81"/>
      <c r="C61" s="7"/>
      <c r="D61" s="7"/>
      <c r="E61" s="3"/>
      <c r="F61" s="5"/>
      <c r="G61" s="5"/>
      <c r="H61" s="5"/>
      <c r="I61" s="25"/>
      <c r="J61" s="5"/>
      <c r="K61" s="5"/>
      <c r="L61" s="5"/>
      <c r="M61" s="5"/>
      <c r="N61" s="5"/>
      <c r="O61" s="25"/>
      <c r="P61" s="5"/>
      <c r="Q61" s="5"/>
      <c r="R61" s="5"/>
      <c r="S61" s="5"/>
      <c r="T61" s="6"/>
      <c r="U61" s="278"/>
      <c r="V61" s="278"/>
      <c r="X61" s="30"/>
      <c r="Y61" s="30"/>
      <c r="Z61" s="280"/>
      <c r="AA61" s="30"/>
      <c r="AB61" s="32"/>
      <c r="AC61" s="31"/>
      <c r="AE61" s="53"/>
      <c r="AF61" s="53"/>
      <c r="AG61" s="54"/>
      <c r="AH61"/>
      <c r="AI61" s="53"/>
      <c r="AJ61" s="53"/>
      <c r="AK61" s="55"/>
    </row>
    <row r="62" spans="1:37" s="18" customFormat="1" ht="25.15" customHeight="1" x14ac:dyDescent="0.25">
      <c r="A62" s="17"/>
      <c r="B62" s="81"/>
      <c r="C62" s="7"/>
      <c r="D62" s="7"/>
      <c r="E62" s="3"/>
      <c r="F62" s="5"/>
      <c r="G62" s="5"/>
      <c r="H62" s="5"/>
      <c r="I62" s="25"/>
      <c r="J62" s="5"/>
      <c r="K62" s="5"/>
      <c r="L62" s="5"/>
      <c r="M62" s="5"/>
      <c r="N62" s="5"/>
      <c r="O62" s="25"/>
      <c r="P62" s="5"/>
      <c r="Q62" s="5"/>
      <c r="R62" s="5"/>
      <c r="S62" s="5"/>
      <c r="T62" s="6"/>
      <c r="U62" s="278"/>
      <c r="V62" s="278"/>
      <c r="X62" s="30"/>
      <c r="Y62" s="30"/>
      <c r="Z62" s="280"/>
      <c r="AA62" s="30"/>
      <c r="AB62" s="32"/>
      <c r="AC62" s="31"/>
      <c r="AE62" s="53"/>
      <c r="AF62" s="53"/>
      <c r="AG62" s="54"/>
      <c r="AH62"/>
      <c r="AI62" s="53"/>
      <c r="AJ62" s="53"/>
      <c r="AK62" s="55"/>
    </row>
    <row r="63" spans="1:37" s="18" customFormat="1" ht="25.15" customHeight="1" x14ac:dyDescent="0.25">
      <c r="A63" s="17"/>
      <c r="B63" s="81"/>
      <c r="C63" s="7"/>
      <c r="D63" s="7"/>
      <c r="E63" s="3"/>
      <c r="F63" s="5"/>
      <c r="G63" s="5"/>
      <c r="H63" s="5"/>
      <c r="I63" s="25"/>
      <c r="J63" s="5"/>
      <c r="K63" s="5"/>
      <c r="L63" s="5"/>
      <c r="M63" s="5"/>
      <c r="N63" s="5"/>
      <c r="O63" s="25"/>
      <c r="P63" s="5"/>
      <c r="Q63" s="5"/>
      <c r="R63" s="5"/>
      <c r="S63" s="5"/>
      <c r="T63" s="6"/>
      <c r="U63" s="278"/>
      <c r="V63" s="278"/>
      <c r="X63" s="30"/>
      <c r="Y63" s="30"/>
      <c r="Z63" s="280"/>
      <c r="AA63" s="30"/>
      <c r="AB63" s="32"/>
      <c r="AC63" s="31"/>
      <c r="AE63" s="53"/>
      <c r="AF63" s="53"/>
      <c r="AG63" s="54"/>
      <c r="AH63"/>
      <c r="AI63" s="53"/>
      <c r="AJ63" s="53"/>
      <c r="AK63" s="55"/>
    </row>
    <row r="64" spans="1:37" s="18" customFormat="1" ht="25.15" customHeight="1" x14ac:dyDescent="0.25">
      <c r="A64" s="17"/>
      <c r="B64" s="81"/>
      <c r="C64" s="7"/>
      <c r="D64" s="7"/>
      <c r="E64" s="3"/>
      <c r="F64" s="5"/>
      <c r="G64" s="5"/>
      <c r="H64" s="5"/>
      <c r="I64" s="25"/>
      <c r="J64" s="5"/>
      <c r="K64" s="5"/>
      <c r="L64" s="5"/>
      <c r="M64" s="5"/>
      <c r="N64" s="5"/>
      <c r="O64" s="25"/>
      <c r="P64" s="5"/>
      <c r="Q64" s="5"/>
      <c r="R64" s="5"/>
      <c r="S64" s="5"/>
      <c r="T64" s="6"/>
      <c r="U64" s="278"/>
      <c r="V64" s="278"/>
      <c r="X64" s="30"/>
      <c r="Y64" s="30"/>
      <c r="Z64" s="280"/>
      <c r="AA64" s="30"/>
      <c r="AB64" s="32"/>
      <c r="AC64" s="31"/>
      <c r="AE64" s="53"/>
      <c r="AF64" s="53"/>
      <c r="AG64" s="54"/>
      <c r="AH64"/>
      <c r="AI64" s="53"/>
      <c r="AJ64" s="53"/>
      <c r="AK64" s="55"/>
    </row>
    <row r="65" spans="1:37" s="18" customFormat="1" ht="25.15" customHeight="1" x14ac:dyDescent="0.25">
      <c r="A65" s="17"/>
      <c r="B65" s="81"/>
      <c r="C65" s="7"/>
      <c r="D65" s="7"/>
      <c r="E65" s="3"/>
      <c r="F65" s="5"/>
      <c r="G65" s="5"/>
      <c r="H65" s="5"/>
      <c r="I65" s="25"/>
      <c r="J65" s="5"/>
      <c r="K65" s="5"/>
      <c r="L65" s="5"/>
      <c r="M65" s="5"/>
      <c r="N65" s="5"/>
      <c r="O65" s="25"/>
      <c r="P65" s="5"/>
      <c r="Q65" s="5"/>
      <c r="R65" s="5"/>
      <c r="S65" s="5"/>
      <c r="T65" s="6"/>
      <c r="U65" s="278"/>
      <c r="V65" s="278"/>
      <c r="X65" s="30"/>
      <c r="Y65" s="30"/>
      <c r="Z65" s="280"/>
      <c r="AA65" s="30"/>
      <c r="AB65" s="32"/>
      <c r="AC65" s="31"/>
      <c r="AE65" s="53"/>
      <c r="AF65" s="53"/>
      <c r="AG65" s="54"/>
      <c r="AH65"/>
      <c r="AI65" s="53"/>
      <c r="AJ65" s="53"/>
      <c r="AK65" s="55"/>
    </row>
    <row r="66" spans="1:37" s="18" customFormat="1" ht="25.15" customHeight="1" x14ac:dyDescent="0.25">
      <c r="A66" s="17"/>
      <c r="B66" s="81"/>
      <c r="C66" s="7"/>
      <c r="D66" s="7"/>
      <c r="E66" s="3"/>
      <c r="F66" s="5"/>
      <c r="G66" s="5"/>
      <c r="H66" s="5"/>
      <c r="I66" s="25"/>
      <c r="J66" s="5"/>
      <c r="K66" s="5"/>
      <c r="L66" s="5"/>
      <c r="M66" s="5"/>
      <c r="N66" s="5"/>
      <c r="O66" s="25"/>
      <c r="P66" s="5"/>
      <c r="Q66" s="5"/>
      <c r="R66" s="5"/>
      <c r="S66" s="5"/>
      <c r="T66" s="6"/>
      <c r="U66" s="278"/>
      <c r="V66" s="278"/>
      <c r="X66" s="30"/>
      <c r="Y66" s="30"/>
      <c r="Z66" s="280"/>
      <c r="AA66" s="30"/>
      <c r="AB66" s="32"/>
      <c r="AC66" s="31"/>
      <c r="AE66" s="53"/>
      <c r="AF66" s="53"/>
      <c r="AG66" s="54"/>
      <c r="AH66"/>
      <c r="AI66" s="53"/>
      <c r="AJ66" s="53"/>
      <c r="AK66" s="55"/>
    </row>
    <row r="67" spans="1:37" s="18" customFormat="1" ht="25.15" customHeight="1" x14ac:dyDescent="0.25">
      <c r="A67" s="17"/>
      <c r="B67" s="81"/>
      <c r="C67" s="7"/>
      <c r="D67" s="7"/>
      <c r="E67" s="3"/>
      <c r="F67" s="5"/>
      <c r="G67" s="5"/>
      <c r="H67" s="5"/>
      <c r="I67" s="25"/>
      <c r="J67" s="5"/>
      <c r="K67" s="5"/>
      <c r="L67" s="5"/>
      <c r="M67" s="5"/>
      <c r="N67" s="5"/>
      <c r="O67" s="25"/>
      <c r="P67" s="5"/>
      <c r="Q67" s="5"/>
      <c r="R67" s="5"/>
      <c r="S67" s="5"/>
      <c r="T67" s="6"/>
      <c r="U67" s="278"/>
      <c r="V67" s="278"/>
      <c r="X67" s="30"/>
      <c r="Y67" s="30"/>
      <c r="Z67" s="280"/>
      <c r="AA67" s="30"/>
      <c r="AB67" s="32"/>
      <c r="AC67" s="31"/>
      <c r="AE67" s="53"/>
      <c r="AF67" s="53"/>
      <c r="AG67" s="54"/>
      <c r="AH67"/>
      <c r="AI67" s="53"/>
      <c r="AJ67" s="53"/>
      <c r="AK67" s="55"/>
    </row>
    <row r="68" spans="1:37" s="18" customFormat="1" ht="25.15" customHeight="1" x14ac:dyDescent="0.25">
      <c r="A68" s="17"/>
      <c r="B68" s="81"/>
      <c r="C68" s="7"/>
      <c r="D68" s="7"/>
      <c r="E68" s="3"/>
      <c r="F68" s="5"/>
      <c r="G68" s="5"/>
      <c r="H68" s="5"/>
      <c r="I68" s="25"/>
      <c r="J68" s="5"/>
      <c r="K68" s="5"/>
      <c r="L68" s="5"/>
      <c r="M68" s="5"/>
      <c r="N68" s="5"/>
      <c r="O68" s="25"/>
      <c r="P68" s="5"/>
      <c r="Q68" s="5"/>
      <c r="R68" s="5"/>
      <c r="S68" s="5"/>
      <c r="T68" s="6"/>
      <c r="U68" s="278"/>
      <c r="V68" s="278"/>
      <c r="X68" s="30"/>
      <c r="Y68" s="30"/>
      <c r="Z68" s="280"/>
      <c r="AA68" s="30"/>
      <c r="AB68" s="32"/>
      <c r="AC68" s="31"/>
      <c r="AE68" s="53"/>
      <c r="AF68" s="53"/>
      <c r="AG68" s="54"/>
      <c r="AH68"/>
      <c r="AI68" s="53"/>
      <c r="AJ68" s="53"/>
      <c r="AK68" s="55"/>
    </row>
    <row r="69" spans="1:37" s="18" customFormat="1" ht="25.15" customHeight="1" x14ac:dyDescent="0.25">
      <c r="A69" s="17"/>
      <c r="B69" s="81"/>
      <c r="C69" s="7"/>
      <c r="D69" s="7"/>
      <c r="E69" s="3"/>
      <c r="F69" s="5"/>
      <c r="G69" s="5"/>
      <c r="H69" s="5"/>
      <c r="I69" s="25"/>
      <c r="J69" s="5"/>
      <c r="K69" s="5"/>
      <c r="L69" s="5"/>
      <c r="M69" s="5"/>
      <c r="N69" s="5"/>
      <c r="O69" s="25"/>
      <c r="P69" s="5"/>
      <c r="Q69" s="5"/>
      <c r="R69" s="5"/>
      <c r="S69" s="5"/>
      <c r="T69" s="6"/>
      <c r="U69" s="278"/>
      <c r="V69" s="278"/>
      <c r="X69" s="30"/>
      <c r="Y69" s="30"/>
      <c r="Z69" s="280"/>
      <c r="AA69" s="30"/>
      <c r="AB69" s="32"/>
      <c r="AC69" s="31"/>
      <c r="AE69" s="53"/>
      <c r="AF69" s="53"/>
      <c r="AG69" s="54"/>
      <c r="AH69"/>
      <c r="AI69" s="53"/>
      <c r="AJ69" s="53"/>
      <c r="AK69" s="55"/>
    </row>
    <row r="70" spans="1:37" s="18" customFormat="1" ht="25.15" customHeight="1" x14ac:dyDescent="0.25">
      <c r="A70" s="17"/>
      <c r="B70" s="81"/>
      <c r="C70" s="7"/>
      <c r="D70" s="7"/>
      <c r="E70" s="3"/>
      <c r="F70" s="5"/>
      <c r="G70" s="5"/>
      <c r="H70" s="5"/>
      <c r="I70" s="25"/>
      <c r="J70" s="5"/>
      <c r="K70" s="5"/>
      <c r="L70" s="5"/>
      <c r="M70" s="5"/>
      <c r="N70" s="5"/>
      <c r="O70" s="25"/>
      <c r="P70" s="5"/>
      <c r="Q70" s="5"/>
      <c r="R70" s="5"/>
      <c r="S70" s="5"/>
      <c r="T70" s="6"/>
      <c r="U70" s="278"/>
      <c r="V70" s="278"/>
      <c r="X70" s="30"/>
      <c r="Y70" s="30"/>
      <c r="Z70" s="280"/>
      <c r="AA70" s="30"/>
      <c r="AB70" s="32"/>
      <c r="AC70" s="31"/>
      <c r="AE70" s="53"/>
      <c r="AF70" s="53"/>
      <c r="AG70" s="54"/>
      <c r="AH70"/>
      <c r="AI70" s="53"/>
      <c r="AJ70" s="53"/>
      <c r="AK70" s="55"/>
    </row>
    <row r="71" spans="1:37" s="18" customFormat="1" ht="25.15" customHeight="1" x14ac:dyDescent="0.25">
      <c r="A71" s="17"/>
      <c r="B71" s="81"/>
      <c r="C71" s="7"/>
      <c r="D71" s="7"/>
      <c r="E71" s="3"/>
      <c r="F71" s="5"/>
      <c r="G71" s="5"/>
      <c r="H71" s="5"/>
      <c r="I71" s="25"/>
      <c r="J71" s="5"/>
      <c r="K71" s="5"/>
      <c r="L71" s="5"/>
      <c r="M71" s="5"/>
      <c r="N71" s="5"/>
      <c r="O71" s="25"/>
      <c r="P71" s="5"/>
      <c r="Q71" s="5"/>
      <c r="R71" s="5"/>
      <c r="S71" s="5"/>
      <c r="T71" s="6"/>
      <c r="U71" s="278"/>
      <c r="V71" s="278"/>
      <c r="X71" s="30"/>
      <c r="Y71" s="30"/>
      <c r="Z71" s="280"/>
      <c r="AA71" s="30"/>
      <c r="AB71" s="32"/>
      <c r="AC71" s="31"/>
      <c r="AE71" s="53"/>
      <c r="AF71" s="53"/>
      <c r="AG71" s="54"/>
      <c r="AH71"/>
      <c r="AI71" s="53"/>
      <c r="AJ71" s="53"/>
      <c r="AK71" s="55"/>
    </row>
    <row r="72" spans="1:37" s="18" customFormat="1" ht="25.15" customHeight="1" x14ac:dyDescent="0.25">
      <c r="A72" s="17"/>
      <c r="B72" s="81"/>
      <c r="C72" s="7"/>
      <c r="D72" s="7"/>
      <c r="E72" s="3"/>
      <c r="F72" s="5"/>
      <c r="G72" s="5"/>
      <c r="H72" s="5"/>
      <c r="I72" s="25"/>
      <c r="J72" s="5"/>
      <c r="K72" s="5"/>
      <c r="L72" s="5"/>
      <c r="M72" s="5"/>
      <c r="N72" s="5"/>
      <c r="O72" s="25"/>
      <c r="P72" s="5"/>
      <c r="Q72" s="5"/>
      <c r="R72" s="5"/>
      <c r="S72" s="5"/>
      <c r="T72" s="6"/>
      <c r="U72" s="278"/>
      <c r="V72" s="278"/>
      <c r="X72" s="30"/>
      <c r="Y72" s="30"/>
      <c r="Z72" s="280"/>
      <c r="AA72" s="30"/>
      <c r="AB72" s="32"/>
      <c r="AC72" s="31"/>
      <c r="AE72" s="53"/>
      <c r="AF72" s="53"/>
      <c r="AG72" s="54"/>
      <c r="AH72"/>
      <c r="AI72" s="53"/>
      <c r="AJ72" s="53"/>
      <c r="AK72" s="55"/>
    </row>
    <row r="73" spans="1:37" s="18" customFormat="1" ht="25.15" customHeight="1" x14ac:dyDescent="0.25">
      <c r="A73" s="17"/>
      <c r="B73" s="81"/>
      <c r="C73" s="7"/>
      <c r="D73" s="7"/>
      <c r="E73" s="3"/>
      <c r="F73" s="5"/>
      <c r="G73" s="5"/>
      <c r="H73" s="5"/>
      <c r="I73" s="25"/>
      <c r="J73" s="5"/>
      <c r="K73" s="5"/>
      <c r="L73" s="5"/>
      <c r="M73" s="5"/>
      <c r="N73" s="5"/>
      <c r="O73" s="25"/>
      <c r="P73" s="5"/>
      <c r="Q73" s="5"/>
      <c r="R73" s="5"/>
      <c r="S73" s="5"/>
      <c r="T73" s="6"/>
      <c r="U73" s="278"/>
      <c r="V73" s="278"/>
      <c r="X73" s="30"/>
      <c r="Y73" s="30"/>
      <c r="Z73" s="280"/>
      <c r="AA73" s="30"/>
      <c r="AB73" s="32"/>
      <c r="AC73" s="31"/>
      <c r="AE73" s="53"/>
      <c r="AF73" s="53"/>
      <c r="AG73" s="54"/>
      <c r="AH73"/>
      <c r="AI73" s="53"/>
      <c r="AJ73" s="53"/>
      <c r="AK73" s="55"/>
    </row>
    <row r="74" spans="1:37" s="18" customFormat="1" ht="25.15" customHeight="1" x14ac:dyDescent="0.25">
      <c r="A74" s="17"/>
      <c r="B74" s="81"/>
      <c r="C74" s="7"/>
      <c r="D74" s="7"/>
      <c r="E74" s="3"/>
      <c r="F74" s="5"/>
      <c r="G74" s="5"/>
      <c r="H74" s="5"/>
      <c r="I74" s="25"/>
      <c r="J74" s="5"/>
      <c r="K74" s="5"/>
      <c r="L74" s="5"/>
      <c r="M74" s="5"/>
      <c r="N74" s="5"/>
      <c r="O74" s="25"/>
      <c r="P74" s="5"/>
      <c r="Q74" s="5"/>
      <c r="R74" s="5"/>
      <c r="S74" s="5"/>
      <c r="T74" s="6"/>
      <c r="U74" s="278"/>
      <c r="V74" s="278"/>
      <c r="X74" s="30"/>
      <c r="Y74" s="30"/>
      <c r="Z74" s="280"/>
      <c r="AA74" s="30"/>
      <c r="AB74" s="32"/>
      <c r="AC74" s="31"/>
      <c r="AE74" s="53"/>
      <c r="AF74" s="53"/>
      <c r="AG74" s="54"/>
      <c r="AH74"/>
      <c r="AI74" s="53"/>
      <c r="AJ74" s="53"/>
      <c r="AK74" s="55"/>
    </row>
    <row r="75" spans="1:37" s="18" customFormat="1" ht="25.15" customHeight="1" x14ac:dyDescent="0.25">
      <c r="A75" s="17"/>
      <c r="B75" s="81"/>
      <c r="C75" s="7"/>
      <c r="D75" s="7"/>
      <c r="E75" s="3"/>
      <c r="F75" s="5"/>
      <c r="G75" s="5"/>
      <c r="H75" s="5"/>
      <c r="I75" s="25"/>
      <c r="J75" s="5"/>
      <c r="K75" s="5"/>
      <c r="L75" s="5"/>
      <c r="M75" s="5"/>
      <c r="N75" s="5"/>
      <c r="O75" s="25"/>
      <c r="P75" s="5"/>
      <c r="Q75" s="5"/>
      <c r="R75" s="5"/>
      <c r="S75" s="5"/>
      <c r="T75" s="6"/>
      <c r="U75" s="278"/>
      <c r="V75" s="278"/>
      <c r="X75" s="30"/>
      <c r="Y75" s="30"/>
      <c r="Z75" s="280"/>
      <c r="AA75" s="30"/>
      <c r="AB75" s="32"/>
      <c r="AC75" s="31"/>
      <c r="AE75" s="53"/>
      <c r="AF75" s="53"/>
      <c r="AG75" s="54"/>
      <c r="AH75"/>
      <c r="AI75" s="53"/>
      <c r="AJ75" s="53"/>
      <c r="AK75" s="55"/>
    </row>
    <row r="76" spans="1:37" s="18" customFormat="1" ht="25.15" customHeight="1" x14ac:dyDescent="0.25">
      <c r="A76" s="17"/>
      <c r="B76" s="81"/>
      <c r="C76" s="7"/>
      <c r="D76" s="7"/>
      <c r="E76" s="3"/>
      <c r="F76" s="5"/>
      <c r="G76" s="5"/>
      <c r="H76" s="5"/>
      <c r="I76" s="25"/>
      <c r="J76" s="5"/>
      <c r="K76" s="5"/>
      <c r="L76" s="5"/>
      <c r="M76" s="5"/>
      <c r="N76" s="5"/>
      <c r="O76" s="25"/>
      <c r="P76" s="5"/>
      <c r="Q76" s="5"/>
      <c r="R76" s="5"/>
      <c r="S76" s="5"/>
      <c r="T76" s="6"/>
      <c r="U76" s="278"/>
      <c r="V76" s="278"/>
      <c r="X76" s="30"/>
      <c r="Y76" s="30"/>
      <c r="Z76" s="280"/>
      <c r="AA76" s="30"/>
      <c r="AB76" s="32"/>
      <c r="AC76" s="31"/>
      <c r="AE76" s="53"/>
      <c r="AF76" s="53"/>
      <c r="AG76" s="54"/>
      <c r="AH76"/>
      <c r="AI76" s="53"/>
      <c r="AJ76" s="53"/>
      <c r="AK76" s="55"/>
    </row>
    <row r="77" spans="1:37" s="18" customFormat="1" ht="25.15" customHeight="1" x14ac:dyDescent="0.25">
      <c r="A77" s="17"/>
      <c r="B77" s="81"/>
      <c r="C77" s="7"/>
      <c r="D77" s="7"/>
      <c r="E77" s="3"/>
      <c r="F77" s="5"/>
      <c r="G77" s="5"/>
      <c r="H77" s="5"/>
      <c r="I77" s="25"/>
      <c r="J77" s="5"/>
      <c r="K77" s="5"/>
      <c r="L77" s="5"/>
      <c r="M77" s="5"/>
      <c r="N77" s="5"/>
      <c r="O77" s="25"/>
      <c r="P77" s="5"/>
      <c r="Q77" s="5"/>
      <c r="R77" s="5"/>
      <c r="S77" s="5"/>
      <c r="T77" s="6"/>
      <c r="U77" s="278"/>
      <c r="V77" s="278"/>
      <c r="X77" s="30"/>
      <c r="Y77" s="30"/>
      <c r="Z77" s="280"/>
      <c r="AA77" s="30"/>
      <c r="AB77" s="32"/>
      <c r="AC77" s="31"/>
      <c r="AE77" s="53"/>
      <c r="AF77" s="53"/>
      <c r="AG77" s="54"/>
      <c r="AH77"/>
      <c r="AI77" s="53"/>
      <c r="AJ77" s="53"/>
      <c r="AK77" s="55"/>
    </row>
    <row r="78" spans="1:37" s="18" customFormat="1" ht="25.15" customHeight="1" x14ac:dyDescent="0.25">
      <c r="A78" s="17"/>
      <c r="B78" s="81"/>
      <c r="C78" s="7"/>
      <c r="D78" s="7"/>
      <c r="E78" s="3"/>
      <c r="F78" s="5"/>
      <c r="G78" s="5"/>
      <c r="H78" s="5"/>
      <c r="I78" s="25"/>
      <c r="J78" s="5"/>
      <c r="K78" s="5"/>
      <c r="L78" s="5"/>
      <c r="M78" s="5"/>
      <c r="N78" s="5"/>
      <c r="O78" s="25"/>
      <c r="P78" s="5"/>
      <c r="Q78" s="5"/>
      <c r="R78" s="5"/>
      <c r="S78" s="5"/>
      <c r="T78" s="6"/>
      <c r="U78" s="278"/>
      <c r="V78" s="278"/>
      <c r="X78" s="30"/>
      <c r="Y78" s="30"/>
      <c r="Z78" s="280"/>
      <c r="AA78" s="30"/>
      <c r="AB78" s="32"/>
      <c r="AC78" s="31"/>
      <c r="AE78" s="53"/>
      <c r="AF78" s="53"/>
      <c r="AG78" s="54"/>
      <c r="AH78"/>
      <c r="AI78" s="53"/>
      <c r="AJ78" s="53"/>
      <c r="AK78" s="55"/>
    </row>
    <row r="79" spans="1:37" s="18" customFormat="1" ht="25.15" customHeight="1" x14ac:dyDescent="0.25">
      <c r="A79" s="17"/>
      <c r="B79" s="81"/>
      <c r="C79" s="7"/>
      <c r="D79" s="7"/>
      <c r="E79" s="3"/>
      <c r="F79" s="5"/>
      <c r="G79" s="5"/>
      <c r="H79" s="5"/>
      <c r="I79" s="25"/>
      <c r="J79" s="5"/>
      <c r="K79" s="5"/>
      <c r="L79" s="5"/>
      <c r="M79" s="5"/>
      <c r="N79" s="5"/>
      <c r="O79" s="25"/>
      <c r="P79" s="5"/>
      <c r="Q79" s="5"/>
      <c r="R79" s="5"/>
      <c r="S79" s="5"/>
      <c r="T79" s="6"/>
      <c r="U79" s="278"/>
      <c r="V79" s="278"/>
      <c r="X79" s="30"/>
      <c r="Y79" s="30"/>
      <c r="Z79" s="280"/>
      <c r="AA79" s="30"/>
      <c r="AB79" s="32"/>
      <c r="AC79" s="31"/>
      <c r="AE79" s="53"/>
      <c r="AF79" s="53"/>
      <c r="AG79" s="54"/>
      <c r="AH79"/>
      <c r="AI79" s="53"/>
      <c r="AJ79" s="53"/>
      <c r="AK79" s="55"/>
    </row>
    <row r="80" spans="1:37" s="18" customFormat="1" ht="25.15" customHeight="1" x14ac:dyDescent="0.25">
      <c r="A80" s="17"/>
      <c r="B80" s="81"/>
      <c r="C80" s="7"/>
      <c r="D80" s="7"/>
      <c r="E80" s="3"/>
      <c r="F80" s="5"/>
      <c r="G80" s="5"/>
      <c r="H80" s="5"/>
      <c r="I80" s="25"/>
      <c r="J80" s="5"/>
      <c r="K80" s="5"/>
      <c r="L80" s="5"/>
      <c r="M80" s="5"/>
      <c r="N80" s="5"/>
      <c r="O80" s="25"/>
      <c r="P80" s="5"/>
      <c r="Q80" s="5"/>
      <c r="R80" s="5"/>
      <c r="S80" s="5"/>
      <c r="T80" s="6"/>
      <c r="U80" s="278"/>
      <c r="V80" s="278"/>
      <c r="X80" s="30"/>
      <c r="Y80" s="30"/>
      <c r="Z80" s="280"/>
      <c r="AA80" s="30"/>
      <c r="AB80" s="32"/>
      <c r="AC80" s="31"/>
      <c r="AE80" s="53"/>
      <c r="AF80" s="53"/>
      <c r="AG80" s="54"/>
      <c r="AH80"/>
      <c r="AI80" s="53"/>
      <c r="AJ80" s="53"/>
      <c r="AK80" s="55"/>
    </row>
    <row r="81" spans="1:37" s="18" customFormat="1" ht="25.15" customHeight="1" x14ac:dyDescent="0.25">
      <c r="A81" s="17"/>
      <c r="B81" s="81"/>
      <c r="C81" s="7"/>
      <c r="D81" s="7"/>
      <c r="E81" s="3"/>
      <c r="F81" s="5"/>
      <c r="G81" s="5"/>
      <c r="H81" s="5"/>
      <c r="I81" s="25"/>
      <c r="J81" s="5"/>
      <c r="K81" s="5"/>
      <c r="L81" s="5"/>
      <c r="M81" s="5"/>
      <c r="N81" s="5"/>
      <c r="O81" s="25"/>
      <c r="P81" s="5"/>
      <c r="Q81" s="5"/>
      <c r="R81" s="5"/>
      <c r="S81" s="5"/>
      <c r="T81" s="6"/>
      <c r="U81" s="278"/>
      <c r="V81" s="278"/>
      <c r="X81" s="30"/>
      <c r="Y81" s="30"/>
      <c r="Z81" s="280"/>
      <c r="AA81" s="30"/>
      <c r="AB81" s="32"/>
      <c r="AC81" s="31"/>
      <c r="AE81" s="53"/>
      <c r="AF81" s="53"/>
      <c r="AG81" s="54"/>
      <c r="AH81"/>
      <c r="AI81" s="53"/>
      <c r="AJ81" s="53"/>
      <c r="AK81" s="55"/>
    </row>
    <row r="82" spans="1:37" ht="25.15" customHeight="1" x14ac:dyDescent="0.25">
      <c r="A82" s="17"/>
    </row>
    <row r="83" spans="1:37" ht="25.15" customHeight="1" x14ac:dyDescent="0.25">
      <c r="A83" s="17"/>
    </row>
    <row r="84" spans="1:37" ht="25.15" customHeight="1" x14ac:dyDescent="0.25">
      <c r="A84" s="17"/>
    </row>
    <row r="85" spans="1:37" ht="25.15" customHeight="1" x14ac:dyDescent="0.25">
      <c r="A85" s="17"/>
    </row>
    <row r="86" spans="1:37" ht="25.15" customHeight="1" x14ac:dyDescent="0.25">
      <c r="A86" s="17"/>
    </row>
    <row r="87" spans="1:37" ht="25.15" customHeight="1" x14ac:dyDescent="0.25">
      <c r="A87" s="17"/>
    </row>
    <row r="88" spans="1:37" ht="25.15" customHeight="1" x14ac:dyDescent="0.25">
      <c r="A88" s="17"/>
      <c r="G88"/>
      <c r="J88"/>
      <c r="K88"/>
      <c r="L88"/>
      <c r="M88"/>
      <c r="N88"/>
      <c r="P88"/>
      <c r="Q88"/>
      <c r="R88"/>
      <c r="S88"/>
      <c r="T88" s="54"/>
    </row>
    <row r="89" spans="1:37" ht="25.15" customHeight="1" x14ac:dyDescent="0.25">
      <c r="A89" s="17"/>
      <c r="G89"/>
      <c r="H89"/>
      <c r="J89"/>
      <c r="K89"/>
      <c r="L89"/>
      <c r="M89"/>
      <c r="N89"/>
      <c r="P89"/>
      <c r="Q89"/>
      <c r="R89"/>
      <c r="S89"/>
      <c r="T89" s="54"/>
    </row>
    <row r="90" spans="1:37" ht="25.15" customHeight="1" x14ac:dyDescent="0.25">
      <c r="A90" s="17"/>
      <c r="G90"/>
      <c r="H90"/>
      <c r="J90"/>
      <c r="K90"/>
      <c r="L90"/>
      <c r="M90"/>
      <c r="N90"/>
      <c r="P90"/>
      <c r="Q90"/>
      <c r="R90"/>
      <c r="S90"/>
      <c r="T90" s="54"/>
    </row>
    <row r="91" spans="1:37" ht="25.15" customHeight="1" x14ac:dyDescent="0.25">
      <c r="A91" s="17"/>
      <c r="G91"/>
      <c r="H91"/>
      <c r="J91"/>
      <c r="K91"/>
      <c r="L91"/>
      <c r="M91"/>
      <c r="N91"/>
      <c r="P91"/>
      <c r="Q91"/>
      <c r="R91"/>
      <c r="S91"/>
      <c r="T91" s="54"/>
    </row>
    <row r="92" spans="1:37" ht="25.15" customHeight="1" x14ac:dyDescent="0.25">
      <c r="A92" s="17"/>
      <c r="G92"/>
      <c r="H92"/>
      <c r="J92"/>
      <c r="K92"/>
      <c r="L92"/>
      <c r="M92"/>
      <c r="N92"/>
      <c r="P92"/>
      <c r="Q92"/>
      <c r="R92"/>
      <c r="S92"/>
      <c r="T92" s="54"/>
      <c r="U92" s="279"/>
      <c r="V92" s="279"/>
    </row>
    <row r="93" spans="1:37" ht="25.15" customHeight="1" x14ac:dyDescent="0.25">
      <c r="A93" s="17"/>
      <c r="G93"/>
      <c r="H93"/>
      <c r="J93"/>
      <c r="K93"/>
      <c r="L93"/>
      <c r="M93"/>
      <c r="N93"/>
      <c r="P93"/>
      <c r="Q93"/>
      <c r="R93"/>
      <c r="S93"/>
      <c r="T93" s="54"/>
      <c r="U93" s="279"/>
      <c r="V93" s="279"/>
    </row>
    <row r="94" spans="1:37" ht="25.15" customHeight="1" x14ac:dyDescent="0.25">
      <c r="A94" s="17"/>
      <c r="G94"/>
      <c r="H94"/>
      <c r="J94"/>
      <c r="K94"/>
      <c r="L94"/>
      <c r="M94"/>
      <c r="N94"/>
      <c r="P94"/>
      <c r="Q94"/>
      <c r="R94"/>
      <c r="S94"/>
      <c r="T94" s="54"/>
      <c r="U94" s="279"/>
      <c r="V94" s="279"/>
    </row>
    <row r="95" spans="1:37" ht="25.15" customHeight="1" x14ac:dyDescent="0.25">
      <c r="A95" s="17"/>
      <c r="G95"/>
      <c r="H95"/>
      <c r="J95"/>
      <c r="K95"/>
      <c r="L95"/>
      <c r="M95"/>
      <c r="N95"/>
      <c r="P95"/>
      <c r="Q95"/>
      <c r="R95"/>
      <c r="S95"/>
      <c r="T95" s="54"/>
      <c r="U95" s="279"/>
      <c r="V95" s="279"/>
    </row>
    <row r="96" spans="1:37" ht="25.15" customHeight="1" x14ac:dyDescent="0.25">
      <c r="A96" s="17"/>
      <c r="G96"/>
      <c r="H96"/>
      <c r="J96"/>
      <c r="K96"/>
      <c r="L96"/>
      <c r="M96"/>
      <c r="N96"/>
      <c r="P96"/>
      <c r="Q96"/>
      <c r="R96"/>
      <c r="S96"/>
      <c r="T96" s="54"/>
      <c r="U96" s="279"/>
      <c r="V96" s="279"/>
    </row>
    <row r="97" spans="1:22" ht="25.15" customHeight="1" x14ac:dyDescent="0.25">
      <c r="A97" s="17"/>
      <c r="G97"/>
      <c r="H97"/>
      <c r="J97"/>
      <c r="K97"/>
      <c r="L97"/>
      <c r="M97"/>
      <c r="N97"/>
      <c r="P97"/>
      <c r="Q97"/>
      <c r="R97"/>
      <c r="S97"/>
      <c r="T97" s="54"/>
      <c r="U97" s="279"/>
      <c r="V97" s="279"/>
    </row>
    <row r="98" spans="1:22" ht="25.15" customHeight="1" x14ac:dyDescent="0.25">
      <c r="A98" s="17"/>
      <c r="G98"/>
      <c r="H98"/>
      <c r="J98"/>
      <c r="K98"/>
      <c r="L98"/>
      <c r="M98"/>
      <c r="N98"/>
      <c r="P98"/>
      <c r="Q98"/>
      <c r="R98"/>
      <c r="S98"/>
      <c r="T98" s="54"/>
      <c r="U98" s="279"/>
      <c r="V98" s="279"/>
    </row>
    <row r="99" spans="1:22" ht="25.15" customHeight="1" x14ac:dyDescent="0.25">
      <c r="A99" s="17"/>
      <c r="G99"/>
      <c r="H99"/>
      <c r="J99"/>
      <c r="K99"/>
      <c r="L99"/>
      <c r="M99"/>
      <c r="N99"/>
      <c r="P99"/>
      <c r="Q99"/>
      <c r="R99"/>
      <c r="S99"/>
      <c r="T99" s="54"/>
      <c r="U99" s="279"/>
      <c r="V99" s="279"/>
    </row>
    <row r="100" spans="1:22" ht="25.15" customHeight="1" x14ac:dyDescent="0.25">
      <c r="A100" s="17"/>
      <c r="G100"/>
      <c r="H100"/>
      <c r="J100"/>
      <c r="K100"/>
      <c r="L100"/>
      <c r="M100"/>
      <c r="N100"/>
      <c r="P100"/>
      <c r="Q100"/>
      <c r="R100"/>
      <c r="S100"/>
      <c r="T100" s="54"/>
      <c r="U100" s="279"/>
      <c r="V100" s="279"/>
    </row>
    <row r="101" spans="1:22" ht="25.15" customHeight="1" x14ac:dyDescent="0.25">
      <c r="A101" s="17"/>
      <c r="G101"/>
      <c r="H101"/>
      <c r="J101"/>
      <c r="K101"/>
      <c r="L101"/>
      <c r="M101"/>
      <c r="N101"/>
      <c r="P101"/>
      <c r="Q101"/>
      <c r="R101"/>
      <c r="S101"/>
      <c r="T101" s="54"/>
      <c r="U101" s="279"/>
      <c r="V101" s="279"/>
    </row>
    <row r="102" spans="1:22" ht="25.15" customHeight="1" x14ac:dyDescent="0.25">
      <c r="A102" s="17"/>
      <c r="G102"/>
      <c r="H102"/>
      <c r="J102"/>
      <c r="K102"/>
      <c r="L102"/>
      <c r="M102"/>
      <c r="N102"/>
      <c r="P102"/>
      <c r="Q102"/>
      <c r="R102"/>
      <c r="S102"/>
      <c r="T102" s="54"/>
      <c r="U102" s="279"/>
      <c r="V102" s="279"/>
    </row>
    <row r="103" spans="1:22" ht="25.15" customHeight="1" x14ac:dyDescent="0.25">
      <c r="A103" s="17"/>
      <c r="G103"/>
      <c r="H103"/>
      <c r="J103"/>
      <c r="K103"/>
      <c r="L103"/>
      <c r="M103"/>
      <c r="N103"/>
      <c r="P103"/>
      <c r="Q103"/>
      <c r="R103"/>
      <c r="S103"/>
      <c r="T103" s="54"/>
      <c r="U103" s="279"/>
      <c r="V103" s="279"/>
    </row>
    <row r="104" spans="1:22" ht="25.15" customHeight="1" x14ac:dyDescent="0.25">
      <c r="A104" s="17"/>
      <c r="G104"/>
      <c r="H104"/>
      <c r="J104"/>
      <c r="K104"/>
      <c r="L104"/>
      <c r="M104"/>
      <c r="N104"/>
      <c r="P104"/>
      <c r="Q104"/>
      <c r="R104"/>
      <c r="S104"/>
      <c r="T104" s="54"/>
      <c r="U104" s="279"/>
      <c r="V104" s="279"/>
    </row>
    <row r="105" spans="1:22" ht="25.15" customHeight="1" x14ac:dyDescent="0.25">
      <c r="A105" s="17"/>
      <c r="G105"/>
      <c r="H105"/>
      <c r="J105"/>
      <c r="K105"/>
      <c r="L105"/>
      <c r="M105"/>
      <c r="N105"/>
      <c r="P105"/>
      <c r="Q105"/>
      <c r="R105"/>
      <c r="S105"/>
      <c r="T105" s="54"/>
      <c r="U105" s="279"/>
      <c r="V105" s="279"/>
    </row>
    <row r="106" spans="1:22" ht="25.15" customHeight="1" x14ac:dyDescent="0.25">
      <c r="A106" s="17"/>
      <c r="G106"/>
      <c r="H106"/>
      <c r="J106"/>
      <c r="K106"/>
      <c r="L106"/>
      <c r="M106"/>
      <c r="N106"/>
      <c r="P106"/>
      <c r="Q106"/>
      <c r="R106"/>
      <c r="S106"/>
      <c r="T106" s="54"/>
      <c r="U106" s="279"/>
      <c r="V106" s="279"/>
    </row>
    <row r="107" spans="1:22" ht="25.15" customHeight="1" x14ac:dyDescent="0.25">
      <c r="A107" s="17"/>
      <c r="G107"/>
      <c r="H107"/>
      <c r="J107"/>
      <c r="K107"/>
      <c r="L107"/>
      <c r="M107"/>
      <c r="N107"/>
      <c r="P107"/>
      <c r="Q107"/>
      <c r="R107"/>
      <c r="S107"/>
      <c r="T107" s="54"/>
      <c r="U107" s="279"/>
      <c r="V107" s="279"/>
    </row>
    <row r="108" spans="1:22" ht="25.15" customHeight="1" x14ac:dyDescent="0.25">
      <c r="A108" s="17"/>
      <c r="G108"/>
      <c r="H108"/>
      <c r="J108"/>
      <c r="K108"/>
      <c r="L108"/>
      <c r="M108"/>
      <c r="N108"/>
      <c r="P108"/>
      <c r="Q108"/>
      <c r="R108"/>
      <c r="S108"/>
      <c r="T108" s="54"/>
      <c r="U108" s="279"/>
      <c r="V108" s="279"/>
    </row>
    <row r="109" spans="1:22" ht="25.15" customHeight="1" x14ac:dyDescent="0.25">
      <c r="A109" s="17"/>
      <c r="G109"/>
      <c r="H109"/>
      <c r="J109"/>
      <c r="K109"/>
      <c r="L109"/>
      <c r="M109"/>
      <c r="N109"/>
      <c r="P109"/>
      <c r="Q109"/>
      <c r="R109"/>
      <c r="S109"/>
      <c r="T109" s="54"/>
      <c r="U109" s="279"/>
      <c r="V109" s="279"/>
    </row>
    <row r="110" spans="1:22" ht="25.15" customHeight="1" x14ac:dyDescent="0.25">
      <c r="A110" s="17"/>
      <c r="G110"/>
      <c r="H110"/>
      <c r="J110"/>
      <c r="K110"/>
      <c r="L110"/>
      <c r="M110"/>
      <c r="N110"/>
      <c r="P110"/>
      <c r="Q110"/>
      <c r="R110"/>
      <c r="S110"/>
      <c r="T110" s="54"/>
      <c r="U110" s="279"/>
      <c r="V110" s="279"/>
    </row>
    <row r="111" spans="1:22" ht="25.15" customHeight="1" x14ac:dyDescent="0.25">
      <c r="A111" s="17"/>
      <c r="G111"/>
      <c r="H111"/>
      <c r="J111"/>
      <c r="K111"/>
      <c r="L111"/>
      <c r="M111"/>
      <c r="N111"/>
      <c r="P111"/>
      <c r="Q111"/>
      <c r="R111"/>
      <c r="S111"/>
      <c r="T111" s="54"/>
      <c r="U111" s="279"/>
      <c r="V111" s="279"/>
    </row>
    <row r="112" spans="1:22" ht="25.15" customHeight="1" x14ac:dyDescent="0.25">
      <c r="A112" s="17"/>
      <c r="G112"/>
      <c r="H112"/>
      <c r="J112"/>
      <c r="K112"/>
      <c r="L112"/>
      <c r="M112"/>
      <c r="N112"/>
      <c r="P112"/>
      <c r="Q112"/>
      <c r="R112"/>
      <c r="S112"/>
      <c r="T112" s="54"/>
      <c r="U112" s="279"/>
      <c r="V112" s="279"/>
    </row>
    <row r="113" spans="1:22" ht="25.15" customHeight="1" x14ac:dyDescent="0.25">
      <c r="A113" s="17"/>
      <c r="G113"/>
      <c r="H113"/>
      <c r="J113"/>
      <c r="K113"/>
      <c r="L113"/>
      <c r="M113"/>
      <c r="N113"/>
      <c r="P113"/>
      <c r="Q113"/>
      <c r="R113"/>
      <c r="S113"/>
      <c r="T113" s="54"/>
      <c r="U113" s="279"/>
      <c r="V113" s="279"/>
    </row>
    <row r="114" spans="1:22" ht="25.15" customHeight="1" x14ac:dyDescent="0.25">
      <c r="A114" s="17"/>
      <c r="G114"/>
      <c r="H114"/>
      <c r="J114"/>
      <c r="K114"/>
      <c r="L114"/>
      <c r="M114"/>
      <c r="N114"/>
      <c r="P114"/>
      <c r="Q114"/>
      <c r="R114"/>
      <c r="S114"/>
      <c r="T114" s="54"/>
      <c r="U114" s="279"/>
      <c r="V114" s="279"/>
    </row>
    <row r="115" spans="1:22" ht="25.15" customHeight="1" x14ac:dyDescent="0.25">
      <c r="A115" s="17"/>
      <c r="G115"/>
      <c r="H115"/>
      <c r="J115"/>
      <c r="K115"/>
      <c r="L115"/>
      <c r="M115"/>
      <c r="N115"/>
      <c r="P115"/>
      <c r="Q115"/>
      <c r="R115"/>
      <c r="S115"/>
      <c r="T115" s="54"/>
      <c r="U115" s="279"/>
      <c r="V115" s="279"/>
    </row>
    <row r="116" spans="1:22" ht="25.15" customHeight="1" x14ac:dyDescent="0.25">
      <c r="A116" s="17"/>
      <c r="G116"/>
      <c r="H116"/>
      <c r="J116"/>
      <c r="K116"/>
      <c r="L116"/>
      <c r="M116"/>
      <c r="N116"/>
      <c r="P116"/>
      <c r="Q116"/>
      <c r="R116"/>
      <c r="S116"/>
      <c r="T116" s="54"/>
      <c r="U116" s="279"/>
      <c r="V116" s="279"/>
    </row>
    <row r="117" spans="1:22" ht="25.15" customHeight="1" x14ac:dyDescent="0.25">
      <c r="A117" s="17"/>
      <c r="G117"/>
      <c r="H117"/>
      <c r="J117"/>
      <c r="K117"/>
      <c r="L117"/>
      <c r="M117"/>
      <c r="N117"/>
      <c r="P117"/>
      <c r="Q117"/>
      <c r="R117"/>
      <c r="S117"/>
      <c r="T117" s="54"/>
      <c r="U117" s="279"/>
      <c r="V117" s="279"/>
    </row>
    <row r="118" spans="1:22" ht="25.15" customHeight="1" x14ac:dyDescent="0.25">
      <c r="A118" s="17"/>
      <c r="G118"/>
      <c r="H118"/>
      <c r="J118"/>
      <c r="K118"/>
      <c r="L118"/>
      <c r="M118"/>
      <c r="N118"/>
      <c r="P118"/>
      <c r="Q118"/>
      <c r="R118"/>
      <c r="S118"/>
      <c r="T118" s="54"/>
      <c r="U118" s="279"/>
      <c r="V118" s="279"/>
    </row>
    <row r="119" spans="1:22" ht="25.15" customHeight="1" x14ac:dyDescent="0.25">
      <c r="A119" s="17"/>
      <c r="G119"/>
      <c r="H119"/>
      <c r="J119"/>
      <c r="K119"/>
      <c r="L119"/>
      <c r="M119"/>
      <c r="N119"/>
      <c r="P119"/>
      <c r="Q119"/>
      <c r="R119"/>
      <c r="S119"/>
      <c r="T119" s="54"/>
      <c r="U119" s="279"/>
      <c r="V119" s="279"/>
    </row>
    <row r="120" spans="1:22" ht="25.15" customHeight="1" x14ac:dyDescent="0.25">
      <c r="A120" s="17"/>
      <c r="G120"/>
      <c r="H120"/>
      <c r="J120"/>
      <c r="K120"/>
      <c r="L120"/>
      <c r="M120"/>
      <c r="N120"/>
      <c r="P120"/>
      <c r="Q120"/>
      <c r="R120"/>
      <c r="S120"/>
      <c r="T120" s="54"/>
      <c r="U120" s="279"/>
      <c r="V120" s="279"/>
    </row>
    <row r="121" spans="1:22" ht="25.15" customHeight="1" x14ac:dyDescent="0.25">
      <c r="A121" s="17"/>
      <c r="G121"/>
      <c r="H121"/>
      <c r="J121"/>
      <c r="K121"/>
      <c r="L121"/>
      <c r="M121"/>
      <c r="N121"/>
      <c r="P121"/>
      <c r="Q121"/>
      <c r="R121"/>
      <c r="S121"/>
      <c r="T121" s="54"/>
      <c r="U121" s="279"/>
      <c r="V121" s="279"/>
    </row>
    <row r="122" spans="1:22" ht="25.15" customHeight="1" x14ac:dyDescent="0.25">
      <c r="A122" s="17"/>
      <c r="G122"/>
      <c r="H122"/>
      <c r="J122"/>
      <c r="K122"/>
      <c r="L122"/>
      <c r="M122"/>
      <c r="N122"/>
      <c r="P122"/>
      <c r="Q122"/>
      <c r="R122"/>
      <c r="S122"/>
      <c r="T122" s="54"/>
      <c r="U122" s="279"/>
      <c r="V122" s="279"/>
    </row>
    <row r="123" spans="1:22" ht="25.15" customHeight="1" x14ac:dyDescent="0.25">
      <c r="A123" s="17"/>
      <c r="G123"/>
      <c r="H123"/>
      <c r="J123"/>
      <c r="K123"/>
      <c r="L123"/>
      <c r="M123"/>
      <c r="N123"/>
      <c r="P123"/>
      <c r="Q123"/>
      <c r="R123"/>
      <c r="S123"/>
      <c r="T123" s="54"/>
      <c r="U123" s="279"/>
      <c r="V123" s="279"/>
    </row>
    <row r="124" spans="1:22" ht="25.15" customHeight="1" x14ac:dyDescent="0.25">
      <c r="A124" s="17"/>
      <c r="G124"/>
      <c r="H124"/>
      <c r="J124"/>
      <c r="K124"/>
      <c r="L124"/>
      <c r="M124"/>
      <c r="N124"/>
      <c r="P124"/>
      <c r="Q124"/>
      <c r="R124"/>
      <c r="S124"/>
      <c r="T124" s="54"/>
      <c r="U124" s="279"/>
      <c r="V124" s="279"/>
    </row>
    <row r="125" spans="1:22" ht="25.15" customHeight="1" x14ac:dyDescent="0.25">
      <c r="A125" s="17"/>
      <c r="G125"/>
      <c r="H125"/>
      <c r="J125"/>
      <c r="K125"/>
      <c r="L125"/>
      <c r="M125"/>
      <c r="N125"/>
      <c r="P125"/>
      <c r="Q125"/>
      <c r="R125"/>
      <c r="S125"/>
      <c r="T125" s="54"/>
      <c r="U125" s="279"/>
      <c r="V125" s="279"/>
    </row>
    <row r="126" spans="1:22" ht="25.15" customHeight="1" x14ac:dyDescent="0.25">
      <c r="A126" s="17"/>
      <c r="G126"/>
      <c r="H126"/>
      <c r="J126"/>
      <c r="K126"/>
      <c r="L126"/>
      <c r="M126"/>
      <c r="N126"/>
      <c r="P126"/>
      <c r="Q126"/>
      <c r="R126"/>
      <c r="S126"/>
      <c r="T126" s="54"/>
      <c r="U126" s="279"/>
      <c r="V126" s="279"/>
    </row>
    <row r="127" spans="1:22" ht="25.15" customHeight="1" x14ac:dyDescent="0.25">
      <c r="A127" s="17"/>
      <c r="G127"/>
      <c r="H127"/>
      <c r="J127"/>
      <c r="K127"/>
      <c r="L127"/>
      <c r="M127"/>
      <c r="N127"/>
      <c r="P127"/>
      <c r="Q127"/>
      <c r="R127"/>
      <c r="S127"/>
      <c r="T127" s="54"/>
      <c r="U127" s="279"/>
      <c r="V127" s="279"/>
    </row>
    <row r="128" spans="1:22" ht="25.15" customHeight="1" x14ac:dyDescent="0.25">
      <c r="A128" s="17"/>
      <c r="G128"/>
      <c r="H128"/>
      <c r="J128"/>
      <c r="K128"/>
      <c r="L128"/>
      <c r="M128"/>
      <c r="N128"/>
      <c r="P128"/>
      <c r="Q128"/>
      <c r="R128"/>
      <c r="S128"/>
      <c r="T128" s="54"/>
      <c r="U128" s="279"/>
      <c r="V128" s="279"/>
    </row>
    <row r="129" spans="1:22" ht="25.15" customHeight="1" x14ac:dyDescent="0.25">
      <c r="A129" s="17"/>
      <c r="G129"/>
      <c r="H129"/>
      <c r="J129"/>
      <c r="K129"/>
      <c r="L129"/>
      <c r="M129"/>
      <c r="N129"/>
      <c r="P129"/>
      <c r="Q129"/>
      <c r="R129"/>
      <c r="S129"/>
      <c r="T129" s="54"/>
      <c r="U129" s="279"/>
      <c r="V129" s="279"/>
    </row>
    <row r="130" spans="1:22" ht="25.15" customHeight="1" x14ac:dyDescent="0.25">
      <c r="A130" s="17"/>
      <c r="G130"/>
      <c r="H130"/>
      <c r="J130"/>
      <c r="K130"/>
      <c r="L130"/>
      <c r="M130"/>
      <c r="N130"/>
      <c r="P130"/>
      <c r="Q130"/>
      <c r="R130"/>
      <c r="S130"/>
      <c r="T130" s="54"/>
      <c r="U130" s="279"/>
      <c r="V130" s="279"/>
    </row>
    <row r="131" spans="1:22" ht="25.15" customHeight="1" x14ac:dyDescent="0.25">
      <c r="A131" s="17"/>
      <c r="G131"/>
      <c r="H131"/>
      <c r="J131"/>
      <c r="K131"/>
      <c r="L131"/>
      <c r="M131"/>
      <c r="N131"/>
      <c r="P131"/>
      <c r="Q131"/>
      <c r="R131"/>
      <c r="S131"/>
      <c r="T131" s="54"/>
      <c r="U131" s="279"/>
      <c r="V131" s="279"/>
    </row>
    <row r="132" spans="1:22" ht="25.15" customHeight="1" x14ac:dyDescent="0.25">
      <c r="A132" s="17"/>
      <c r="G132"/>
      <c r="H132"/>
      <c r="J132"/>
      <c r="K132"/>
      <c r="L132"/>
      <c r="M132"/>
      <c r="N132"/>
      <c r="P132"/>
      <c r="Q132"/>
      <c r="R132"/>
      <c r="S132"/>
      <c r="T132" s="54"/>
      <c r="U132" s="279"/>
      <c r="V132" s="279"/>
    </row>
    <row r="133" spans="1:22" ht="25.15" customHeight="1" x14ac:dyDescent="0.25">
      <c r="A133" s="17"/>
      <c r="G133"/>
      <c r="H133"/>
      <c r="J133"/>
      <c r="K133"/>
      <c r="L133"/>
      <c r="M133"/>
      <c r="N133"/>
      <c r="P133"/>
      <c r="Q133"/>
      <c r="R133"/>
      <c r="S133"/>
      <c r="T133" s="54"/>
      <c r="U133" s="279"/>
      <c r="V133" s="279"/>
    </row>
    <row r="134" spans="1:22" ht="25.15" customHeight="1" x14ac:dyDescent="0.25">
      <c r="A134" s="17"/>
      <c r="G134"/>
      <c r="H134"/>
      <c r="J134"/>
      <c r="K134"/>
      <c r="L134"/>
      <c r="M134"/>
      <c r="N134"/>
      <c r="P134"/>
      <c r="Q134"/>
      <c r="R134"/>
      <c r="S134"/>
      <c r="T134" s="54"/>
      <c r="U134" s="279"/>
      <c r="V134" s="279"/>
    </row>
    <row r="135" spans="1:22" ht="25.15" customHeight="1" x14ac:dyDescent="0.25">
      <c r="A135" s="17"/>
      <c r="G135"/>
      <c r="H135"/>
      <c r="J135"/>
      <c r="K135"/>
      <c r="L135"/>
      <c r="M135"/>
      <c r="N135"/>
      <c r="P135"/>
      <c r="Q135"/>
      <c r="R135"/>
      <c r="S135"/>
      <c r="T135" s="54"/>
      <c r="U135" s="279"/>
      <c r="V135" s="279"/>
    </row>
    <row r="136" spans="1:22" ht="25.15" customHeight="1" x14ac:dyDescent="0.25">
      <c r="A136" s="17"/>
      <c r="G136"/>
      <c r="H136"/>
      <c r="J136"/>
      <c r="K136"/>
      <c r="L136"/>
      <c r="M136"/>
      <c r="N136"/>
      <c r="P136"/>
      <c r="Q136"/>
      <c r="R136"/>
      <c r="S136"/>
      <c r="T136" s="54"/>
      <c r="U136" s="279"/>
      <c r="V136" s="279"/>
    </row>
    <row r="137" spans="1:22" ht="25.15" customHeight="1" x14ac:dyDescent="0.25">
      <c r="A137" s="17"/>
      <c r="G137"/>
      <c r="H137"/>
      <c r="J137"/>
      <c r="K137"/>
      <c r="L137"/>
      <c r="M137"/>
      <c r="N137"/>
      <c r="P137"/>
      <c r="Q137"/>
      <c r="R137"/>
      <c r="S137"/>
      <c r="T137" s="54"/>
      <c r="U137" s="279"/>
      <c r="V137" s="279"/>
    </row>
    <row r="138" spans="1:22" ht="25.15" customHeight="1" x14ac:dyDescent="0.25">
      <c r="A138" s="17"/>
      <c r="G138"/>
      <c r="H138"/>
      <c r="J138"/>
      <c r="K138"/>
      <c r="L138"/>
      <c r="M138"/>
      <c r="N138"/>
      <c r="P138"/>
      <c r="Q138"/>
      <c r="R138"/>
      <c r="S138"/>
      <c r="T138" s="54"/>
      <c r="U138" s="279"/>
      <c r="V138" s="279"/>
    </row>
    <row r="139" spans="1:22" ht="25.15" customHeight="1" x14ac:dyDescent="0.25">
      <c r="A139" s="17"/>
      <c r="G139"/>
      <c r="H139"/>
      <c r="J139"/>
      <c r="K139"/>
      <c r="L139"/>
      <c r="M139"/>
      <c r="N139"/>
      <c r="P139"/>
      <c r="Q139"/>
      <c r="R139"/>
      <c r="S139"/>
      <c r="T139" s="54"/>
      <c r="U139" s="279"/>
      <c r="V139" s="279"/>
    </row>
    <row r="140" spans="1:22" ht="25.15" customHeight="1" x14ac:dyDescent="0.25">
      <c r="A140" s="17"/>
      <c r="G140"/>
      <c r="H140"/>
      <c r="J140"/>
      <c r="K140"/>
      <c r="L140"/>
      <c r="M140"/>
      <c r="N140"/>
      <c r="P140"/>
      <c r="Q140"/>
      <c r="R140"/>
      <c r="S140"/>
      <c r="T140" s="54"/>
      <c r="U140" s="279"/>
      <c r="V140" s="279"/>
    </row>
    <row r="141" spans="1:22" ht="25.15" customHeight="1" x14ac:dyDescent="0.25">
      <c r="A141" s="17"/>
      <c r="G141"/>
      <c r="H141"/>
      <c r="J141"/>
      <c r="K141"/>
      <c r="L141"/>
      <c r="M141"/>
      <c r="N141"/>
      <c r="P141"/>
      <c r="Q141"/>
      <c r="R141"/>
      <c r="S141"/>
      <c r="T141" s="54"/>
      <c r="U141" s="279"/>
      <c r="V141" s="279"/>
    </row>
    <row r="142" spans="1:22" ht="25.15" customHeight="1" x14ac:dyDescent="0.25">
      <c r="A142" s="17"/>
      <c r="G142"/>
      <c r="H142"/>
      <c r="J142"/>
      <c r="K142"/>
      <c r="L142"/>
      <c r="M142"/>
      <c r="N142"/>
      <c r="P142"/>
      <c r="Q142"/>
      <c r="R142"/>
      <c r="S142"/>
      <c r="T142" s="54"/>
      <c r="U142" s="279"/>
      <c r="V142" s="279"/>
    </row>
    <row r="143" spans="1:22" ht="25.15" customHeight="1" x14ac:dyDescent="0.25">
      <c r="A143" s="17"/>
      <c r="G143"/>
      <c r="H143"/>
      <c r="J143"/>
      <c r="K143"/>
      <c r="L143"/>
      <c r="M143"/>
      <c r="N143"/>
      <c r="P143"/>
      <c r="Q143"/>
      <c r="R143"/>
      <c r="S143"/>
      <c r="T143" s="54"/>
      <c r="U143" s="279"/>
      <c r="V143" s="279"/>
    </row>
    <row r="144" spans="1:22" ht="25.15" customHeight="1" x14ac:dyDescent="0.25">
      <c r="A144" s="17"/>
      <c r="G144"/>
      <c r="H144"/>
      <c r="J144"/>
      <c r="K144"/>
      <c r="L144"/>
      <c r="M144"/>
      <c r="N144"/>
      <c r="P144"/>
      <c r="Q144"/>
      <c r="R144"/>
      <c r="S144"/>
      <c r="T144" s="54"/>
      <c r="U144" s="279"/>
      <c r="V144" s="279"/>
    </row>
    <row r="145" spans="1:22" ht="25.15" customHeight="1" x14ac:dyDescent="0.25">
      <c r="A145" s="17"/>
      <c r="G145"/>
      <c r="H145"/>
      <c r="J145"/>
      <c r="K145"/>
      <c r="L145"/>
      <c r="M145"/>
      <c r="N145"/>
      <c r="P145"/>
      <c r="Q145"/>
      <c r="R145"/>
      <c r="S145"/>
      <c r="T145" s="54"/>
      <c r="U145" s="279"/>
      <c r="V145" s="279"/>
    </row>
    <row r="146" spans="1:22" ht="25.15" customHeight="1" x14ac:dyDescent="0.25">
      <c r="A146" s="17"/>
      <c r="G146"/>
      <c r="H146"/>
      <c r="J146"/>
      <c r="K146"/>
      <c r="L146"/>
      <c r="M146"/>
      <c r="N146"/>
      <c r="P146"/>
      <c r="Q146"/>
      <c r="R146"/>
      <c r="S146"/>
      <c r="T146" s="54"/>
      <c r="U146" s="279"/>
      <c r="V146" s="279"/>
    </row>
    <row r="147" spans="1:22" ht="25.15" customHeight="1" x14ac:dyDescent="0.25">
      <c r="A147" s="17"/>
      <c r="G147"/>
      <c r="H147"/>
      <c r="J147"/>
      <c r="K147"/>
      <c r="L147"/>
      <c r="M147"/>
      <c r="N147"/>
      <c r="P147"/>
      <c r="Q147"/>
      <c r="R147"/>
      <c r="S147"/>
      <c r="T147" s="54"/>
      <c r="U147" s="279"/>
      <c r="V147" s="279"/>
    </row>
    <row r="148" spans="1:22" ht="25.15" customHeight="1" x14ac:dyDescent="0.25">
      <c r="A148" s="17"/>
      <c r="G148"/>
      <c r="H148"/>
      <c r="J148"/>
      <c r="K148"/>
      <c r="L148"/>
      <c r="M148"/>
      <c r="N148"/>
      <c r="P148"/>
      <c r="Q148"/>
      <c r="R148"/>
      <c r="S148"/>
      <c r="T148" s="54"/>
      <c r="U148" s="279"/>
      <c r="V148" s="279"/>
    </row>
    <row r="149" spans="1:22" ht="25.15" customHeight="1" x14ac:dyDescent="0.25">
      <c r="A149" s="17"/>
      <c r="G149"/>
      <c r="H149"/>
      <c r="J149"/>
      <c r="K149"/>
      <c r="L149"/>
      <c r="M149"/>
      <c r="N149"/>
      <c r="P149"/>
      <c r="Q149"/>
      <c r="R149"/>
      <c r="S149"/>
      <c r="T149" s="54"/>
      <c r="U149" s="279"/>
      <c r="V149" s="279"/>
    </row>
    <row r="150" spans="1:22" ht="25.15" customHeight="1" x14ac:dyDescent="0.25">
      <c r="A150" s="17"/>
      <c r="G150"/>
      <c r="H150"/>
      <c r="J150"/>
      <c r="K150"/>
      <c r="L150"/>
      <c r="M150"/>
      <c r="N150"/>
      <c r="P150"/>
      <c r="Q150"/>
      <c r="R150"/>
      <c r="S150"/>
      <c r="T150" s="54"/>
      <c r="U150" s="279"/>
      <c r="V150" s="279"/>
    </row>
    <row r="151" spans="1:22" ht="25.15" customHeight="1" x14ac:dyDescent="0.25">
      <c r="A151" s="17"/>
      <c r="G151"/>
      <c r="H151"/>
      <c r="J151"/>
      <c r="K151"/>
      <c r="L151"/>
      <c r="M151"/>
      <c r="N151"/>
      <c r="P151"/>
      <c r="Q151"/>
      <c r="R151"/>
      <c r="S151"/>
      <c r="T151" s="54"/>
      <c r="U151" s="279"/>
      <c r="V151" s="279"/>
    </row>
    <row r="152" spans="1:22" ht="25.15" customHeight="1" x14ac:dyDescent="0.25">
      <c r="A152" s="17"/>
      <c r="G152"/>
      <c r="H152"/>
      <c r="J152"/>
      <c r="K152"/>
      <c r="L152"/>
      <c r="M152"/>
      <c r="N152"/>
      <c r="P152"/>
      <c r="Q152"/>
      <c r="R152"/>
      <c r="S152"/>
      <c r="T152" s="54"/>
      <c r="U152" s="279"/>
      <c r="V152" s="279"/>
    </row>
    <row r="153" spans="1:22" ht="25.15" customHeight="1" x14ac:dyDescent="0.25">
      <c r="A153" s="17"/>
      <c r="G153"/>
      <c r="H153"/>
      <c r="J153"/>
      <c r="K153"/>
      <c r="L153"/>
      <c r="M153"/>
      <c r="N153"/>
      <c r="P153"/>
      <c r="Q153"/>
      <c r="R153"/>
      <c r="S153"/>
      <c r="T153" s="54"/>
      <c r="U153" s="279"/>
      <c r="V153" s="279"/>
    </row>
    <row r="154" spans="1:22" ht="25.15" customHeight="1" x14ac:dyDescent="0.25">
      <c r="A154" s="17"/>
      <c r="G154"/>
      <c r="H154"/>
      <c r="J154"/>
      <c r="K154"/>
      <c r="L154"/>
      <c r="M154"/>
      <c r="N154"/>
      <c r="P154"/>
      <c r="Q154"/>
      <c r="R154"/>
      <c r="S154"/>
      <c r="T154" s="54"/>
      <c r="U154" s="279"/>
      <c r="V154" s="279"/>
    </row>
    <row r="155" spans="1:22" ht="25.15" customHeight="1" x14ac:dyDescent="0.25">
      <c r="A155" s="17"/>
      <c r="G155"/>
      <c r="H155"/>
      <c r="J155"/>
      <c r="K155"/>
      <c r="L155"/>
      <c r="M155"/>
      <c r="N155"/>
      <c r="P155"/>
      <c r="Q155"/>
      <c r="R155"/>
      <c r="S155"/>
      <c r="T155" s="54"/>
      <c r="U155" s="279"/>
      <c r="V155" s="279"/>
    </row>
    <row r="156" spans="1:22" ht="25.15" customHeight="1" x14ac:dyDescent="0.25">
      <c r="A156" s="17"/>
      <c r="G156"/>
      <c r="H156"/>
      <c r="J156"/>
      <c r="K156"/>
      <c r="L156"/>
      <c r="M156"/>
      <c r="N156"/>
      <c r="P156"/>
      <c r="Q156"/>
      <c r="R156"/>
      <c r="S156"/>
      <c r="T156" s="54"/>
      <c r="U156" s="279"/>
      <c r="V156" s="279"/>
    </row>
    <row r="157" spans="1:22" ht="25.15" customHeight="1" x14ac:dyDescent="0.25">
      <c r="A157" s="17"/>
      <c r="G157"/>
      <c r="H157"/>
      <c r="J157"/>
      <c r="K157"/>
      <c r="L157"/>
      <c r="M157"/>
      <c r="N157"/>
      <c r="P157"/>
      <c r="Q157"/>
      <c r="R157"/>
      <c r="S157"/>
      <c r="T157" s="54"/>
      <c r="U157" s="279"/>
      <c r="V157" s="279"/>
    </row>
    <row r="158" spans="1:22" ht="25.15" customHeight="1" x14ac:dyDescent="0.25">
      <c r="A158" s="17"/>
      <c r="G158"/>
      <c r="H158"/>
      <c r="J158"/>
      <c r="K158"/>
      <c r="L158"/>
      <c r="M158"/>
      <c r="N158"/>
      <c r="P158"/>
      <c r="Q158"/>
      <c r="R158"/>
      <c r="S158"/>
      <c r="T158" s="54"/>
      <c r="U158" s="279"/>
      <c r="V158" s="279"/>
    </row>
    <row r="159" spans="1:22" ht="25.15" customHeight="1" x14ac:dyDescent="0.25">
      <c r="A159" s="17"/>
      <c r="G159"/>
      <c r="H159"/>
      <c r="J159"/>
      <c r="K159"/>
      <c r="L159"/>
      <c r="M159"/>
      <c r="N159"/>
      <c r="P159"/>
      <c r="Q159"/>
      <c r="R159"/>
      <c r="S159"/>
      <c r="T159" s="54"/>
      <c r="U159" s="279"/>
      <c r="V159" s="279"/>
    </row>
    <row r="160" spans="1:22" ht="25.15" customHeight="1" x14ac:dyDescent="0.25">
      <c r="A160" s="17"/>
      <c r="G160"/>
      <c r="H160"/>
      <c r="J160"/>
      <c r="K160"/>
      <c r="L160"/>
      <c r="M160"/>
      <c r="N160"/>
      <c r="P160"/>
      <c r="Q160"/>
      <c r="R160"/>
      <c r="S160"/>
      <c r="T160" s="54"/>
      <c r="U160" s="279"/>
      <c r="V160" s="279"/>
    </row>
    <row r="161" spans="1:22" ht="25.15" customHeight="1" x14ac:dyDescent="0.25">
      <c r="A161" s="17"/>
      <c r="G161"/>
      <c r="H161"/>
      <c r="J161"/>
      <c r="K161"/>
      <c r="L161"/>
      <c r="M161"/>
      <c r="N161"/>
      <c r="P161"/>
      <c r="Q161"/>
      <c r="R161"/>
      <c r="S161"/>
      <c r="T161" s="54"/>
      <c r="U161" s="279"/>
      <c r="V161" s="279"/>
    </row>
    <row r="162" spans="1:22" ht="25.15" customHeight="1" x14ac:dyDescent="0.25">
      <c r="A162" s="17"/>
      <c r="G162"/>
      <c r="H162"/>
      <c r="J162"/>
      <c r="K162"/>
      <c r="L162"/>
      <c r="M162"/>
      <c r="N162"/>
      <c r="P162"/>
      <c r="Q162"/>
      <c r="R162"/>
      <c r="S162"/>
      <c r="T162" s="54"/>
      <c r="U162" s="279"/>
      <c r="V162" s="279"/>
    </row>
    <row r="163" spans="1:22" ht="25.15" customHeight="1" x14ac:dyDescent="0.25">
      <c r="A163" s="17"/>
      <c r="G163"/>
      <c r="H163"/>
      <c r="J163"/>
      <c r="K163"/>
      <c r="L163"/>
      <c r="M163"/>
      <c r="N163"/>
      <c r="P163"/>
      <c r="Q163"/>
      <c r="R163"/>
      <c r="S163"/>
      <c r="T163" s="54"/>
      <c r="U163" s="279"/>
      <c r="V163" s="279"/>
    </row>
    <row r="164" spans="1:22" ht="25.15" customHeight="1" x14ac:dyDescent="0.25">
      <c r="A164" s="17"/>
      <c r="G164"/>
      <c r="H164"/>
      <c r="J164"/>
      <c r="K164"/>
      <c r="L164"/>
      <c r="M164"/>
      <c r="N164"/>
      <c r="P164"/>
      <c r="Q164"/>
      <c r="R164"/>
      <c r="S164"/>
      <c r="T164" s="54"/>
      <c r="U164" s="279"/>
      <c r="V164" s="279"/>
    </row>
    <row r="165" spans="1:22" ht="25.15" customHeight="1" x14ac:dyDescent="0.25">
      <c r="A165" s="17"/>
      <c r="G165"/>
      <c r="H165"/>
      <c r="J165"/>
      <c r="K165"/>
      <c r="L165"/>
      <c r="M165"/>
      <c r="N165"/>
      <c r="P165"/>
      <c r="Q165"/>
      <c r="R165"/>
      <c r="S165"/>
      <c r="T165" s="54"/>
      <c r="U165" s="279"/>
      <c r="V165" s="279"/>
    </row>
    <row r="166" spans="1:22" ht="25.15" customHeight="1" x14ac:dyDescent="0.25">
      <c r="A166" s="17"/>
      <c r="G166"/>
      <c r="H166"/>
      <c r="J166"/>
      <c r="K166"/>
      <c r="L166"/>
      <c r="M166"/>
      <c r="N166"/>
      <c r="P166"/>
      <c r="Q166"/>
      <c r="R166"/>
      <c r="S166"/>
      <c r="T166" s="54"/>
      <c r="U166" s="279"/>
      <c r="V166" s="279"/>
    </row>
    <row r="167" spans="1:22" ht="25.15" customHeight="1" x14ac:dyDescent="0.25">
      <c r="A167" s="17"/>
      <c r="G167"/>
      <c r="H167"/>
      <c r="J167"/>
      <c r="K167"/>
      <c r="L167"/>
      <c r="M167"/>
      <c r="N167"/>
      <c r="P167"/>
      <c r="Q167"/>
      <c r="R167"/>
      <c r="S167"/>
      <c r="T167" s="54"/>
      <c r="U167" s="279"/>
      <c r="V167" s="279"/>
    </row>
    <row r="168" spans="1:22" ht="25.15" customHeight="1" x14ac:dyDescent="0.25">
      <c r="A168" s="17"/>
      <c r="G168"/>
      <c r="H168"/>
      <c r="J168"/>
      <c r="K168"/>
      <c r="L168"/>
      <c r="M168"/>
      <c r="N168"/>
      <c r="P168"/>
      <c r="Q168"/>
      <c r="R168"/>
      <c r="S168"/>
      <c r="T168" s="54"/>
      <c r="U168" s="279"/>
      <c r="V168" s="279"/>
    </row>
    <row r="169" spans="1:22" ht="25.15" customHeight="1" x14ac:dyDescent="0.25">
      <c r="A169" s="17"/>
      <c r="G169"/>
      <c r="H169"/>
      <c r="J169"/>
      <c r="K169"/>
      <c r="L169"/>
      <c r="M169"/>
      <c r="N169"/>
      <c r="P169"/>
      <c r="Q169"/>
      <c r="R169"/>
      <c r="S169"/>
      <c r="T169" s="54"/>
      <c r="U169" s="279"/>
      <c r="V169" s="279"/>
    </row>
    <row r="170" spans="1:22" ht="25.15" customHeight="1" x14ac:dyDescent="0.25">
      <c r="A170" s="17"/>
      <c r="G170"/>
      <c r="H170"/>
      <c r="J170"/>
      <c r="K170"/>
      <c r="L170"/>
      <c r="M170"/>
      <c r="N170"/>
      <c r="P170"/>
      <c r="Q170"/>
      <c r="R170"/>
      <c r="S170"/>
      <c r="T170" s="54"/>
      <c r="U170" s="279"/>
      <c r="V170" s="279"/>
    </row>
    <row r="171" spans="1:22" ht="25.15" customHeight="1" x14ac:dyDescent="0.25">
      <c r="A171" s="17"/>
      <c r="G171"/>
      <c r="H171"/>
      <c r="J171"/>
      <c r="K171"/>
      <c r="L171"/>
      <c r="M171"/>
      <c r="N171"/>
      <c r="P171"/>
      <c r="Q171"/>
      <c r="R171"/>
      <c r="S171"/>
      <c r="T171" s="54"/>
      <c r="U171" s="279"/>
      <c r="V171" s="279"/>
    </row>
    <row r="172" spans="1:22" ht="25.15" customHeight="1" x14ac:dyDescent="0.25">
      <c r="A172" s="17"/>
      <c r="G172"/>
      <c r="H172"/>
      <c r="J172"/>
      <c r="K172"/>
      <c r="L172"/>
      <c r="M172"/>
      <c r="N172"/>
      <c r="P172"/>
      <c r="Q172"/>
      <c r="R172"/>
      <c r="S172"/>
      <c r="T172" s="54"/>
      <c r="U172" s="279"/>
      <c r="V172" s="279"/>
    </row>
    <row r="173" spans="1:22" ht="25.15" customHeight="1" x14ac:dyDescent="0.25">
      <c r="A173" s="17"/>
      <c r="G173"/>
      <c r="H173"/>
      <c r="J173"/>
      <c r="K173"/>
      <c r="L173"/>
      <c r="M173"/>
      <c r="N173"/>
      <c r="P173"/>
      <c r="Q173"/>
      <c r="R173"/>
      <c r="S173"/>
      <c r="T173" s="54"/>
      <c r="U173" s="279"/>
      <c r="V173" s="279"/>
    </row>
    <row r="174" spans="1:22" ht="25.15" customHeight="1" x14ac:dyDescent="0.25">
      <c r="A174" s="17"/>
      <c r="G174"/>
      <c r="H174"/>
      <c r="J174"/>
      <c r="K174"/>
      <c r="L174"/>
      <c r="M174"/>
      <c r="N174"/>
      <c r="P174"/>
      <c r="Q174"/>
      <c r="R174"/>
      <c r="S174"/>
      <c r="T174" s="54"/>
      <c r="U174" s="279"/>
      <c r="V174" s="279"/>
    </row>
    <row r="175" spans="1:22" ht="25.15" customHeight="1" x14ac:dyDescent="0.25">
      <c r="A175" s="17"/>
      <c r="G175"/>
      <c r="H175"/>
      <c r="J175"/>
      <c r="K175"/>
      <c r="L175"/>
      <c r="M175"/>
      <c r="N175"/>
      <c r="P175"/>
      <c r="Q175"/>
      <c r="R175"/>
      <c r="S175"/>
      <c r="T175" s="54"/>
      <c r="U175" s="279"/>
      <c r="V175" s="279"/>
    </row>
    <row r="176" spans="1:22" ht="25.15" customHeight="1" x14ac:dyDescent="0.25">
      <c r="A176" s="17"/>
      <c r="G176"/>
      <c r="H176"/>
      <c r="J176"/>
      <c r="K176"/>
      <c r="L176"/>
      <c r="M176"/>
      <c r="N176"/>
      <c r="P176"/>
      <c r="Q176"/>
      <c r="R176"/>
      <c r="S176"/>
      <c r="T176" s="54"/>
      <c r="U176" s="279"/>
      <c r="V176" s="279"/>
    </row>
    <row r="177" spans="1:22" ht="25.15" customHeight="1" x14ac:dyDescent="0.25">
      <c r="A177" s="17"/>
      <c r="G177"/>
      <c r="H177"/>
      <c r="J177"/>
      <c r="K177"/>
      <c r="L177"/>
      <c r="M177"/>
      <c r="N177"/>
      <c r="P177"/>
      <c r="Q177"/>
      <c r="R177"/>
      <c r="S177"/>
      <c r="T177" s="54"/>
      <c r="U177" s="279"/>
      <c r="V177" s="279"/>
    </row>
    <row r="178" spans="1:22" ht="25.15" customHeight="1" x14ac:dyDescent="0.25">
      <c r="A178" s="17"/>
      <c r="G178"/>
      <c r="H178"/>
      <c r="J178"/>
      <c r="K178"/>
      <c r="L178"/>
      <c r="M178"/>
      <c r="N178"/>
      <c r="P178"/>
      <c r="Q178"/>
      <c r="R178"/>
      <c r="S178"/>
      <c r="T178" s="54"/>
      <c r="U178" s="279"/>
      <c r="V178" s="279"/>
    </row>
    <row r="179" spans="1:22" ht="25.15" customHeight="1" x14ac:dyDescent="0.25">
      <c r="A179" s="17"/>
      <c r="G179"/>
      <c r="H179"/>
      <c r="J179"/>
      <c r="K179"/>
      <c r="L179"/>
      <c r="M179"/>
      <c r="N179"/>
      <c r="P179"/>
      <c r="Q179"/>
      <c r="R179"/>
      <c r="S179"/>
      <c r="T179" s="54"/>
      <c r="U179" s="279"/>
      <c r="V179" s="279"/>
    </row>
    <row r="180" spans="1:22" ht="25.15" customHeight="1" x14ac:dyDescent="0.25">
      <c r="A180" s="17"/>
      <c r="G180"/>
      <c r="H180"/>
      <c r="J180"/>
      <c r="K180"/>
      <c r="L180"/>
      <c r="M180"/>
      <c r="N180"/>
      <c r="P180"/>
      <c r="Q180"/>
      <c r="R180"/>
      <c r="S180"/>
      <c r="T180" s="54"/>
      <c r="U180" s="279"/>
      <c r="V180" s="279"/>
    </row>
    <row r="181" spans="1:22" ht="25.15" customHeight="1" x14ac:dyDescent="0.25">
      <c r="A181" s="17"/>
      <c r="G181"/>
      <c r="H181"/>
      <c r="J181"/>
      <c r="K181"/>
      <c r="L181"/>
      <c r="M181"/>
      <c r="N181"/>
      <c r="P181"/>
      <c r="Q181"/>
      <c r="R181"/>
      <c r="S181"/>
      <c r="T181" s="54"/>
      <c r="U181" s="279"/>
      <c r="V181" s="279"/>
    </row>
    <row r="182" spans="1:22" ht="25.15" customHeight="1" x14ac:dyDescent="0.25">
      <c r="A182" s="17"/>
      <c r="G182"/>
      <c r="H182"/>
      <c r="J182"/>
      <c r="K182"/>
      <c r="L182"/>
      <c r="M182"/>
      <c r="N182"/>
      <c r="P182"/>
      <c r="Q182"/>
      <c r="R182"/>
      <c r="S182"/>
      <c r="T182" s="54"/>
      <c r="U182" s="279"/>
      <c r="V182" s="279"/>
    </row>
    <row r="183" spans="1:22" ht="25.15" customHeight="1" x14ac:dyDescent="0.25">
      <c r="A183" s="17"/>
      <c r="G183"/>
      <c r="H183"/>
      <c r="J183"/>
      <c r="K183"/>
      <c r="L183"/>
      <c r="M183"/>
      <c r="N183"/>
      <c r="P183"/>
      <c r="Q183"/>
      <c r="R183"/>
      <c r="S183"/>
      <c r="T183" s="54"/>
      <c r="U183" s="279"/>
      <c r="V183" s="279"/>
    </row>
    <row r="184" spans="1:22" ht="25.15" customHeight="1" x14ac:dyDescent="0.25">
      <c r="A184" s="17"/>
      <c r="G184"/>
      <c r="H184"/>
      <c r="J184"/>
      <c r="K184"/>
      <c r="L184"/>
      <c r="M184"/>
      <c r="N184"/>
      <c r="P184"/>
      <c r="Q184"/>
      <c r="R184"/>
      <c r="S184"/>
      <c r="T184" s="54"/>
      <c r="U184" s="279"/>
      <c r="V184" s="279"/>
    </row>
    <row r="185" spans="1:22" ht="25.15" customHeight="1" x14ac:dyDescent="0.25">
      <c r="A185" s="17"/>
      <c r="G185"/>
      <c r="H185"/>
      <c r="J185"/>
      <c r="K185"/>
      <c r="L185"/>
      <c r="M185"/>
      <c r="N185"/>
      <c r="P185"/>
      <c r="Q185"/>
      <c r="R185"/>
      <c r="S185"/>
      <c r="T185" s="54"/>
      <c r="U185" s="279"/>
      <c r="V185" s="279"/>
    </row>
    <row r="186" spans="1:22" ht="25.15" customHeight="1" x14ac:dyDescent="0.25">
      <c r="A186" s="17"/>
      <c r="G186"/>
      <c r="H186"/>
      <c r="J186"/>
      <c r="K186"/>
      <c r="L186"/>
      <c r="M186"/>
      <c r="N186"/>
      <c r="P186"/>
      <c r="Q186"/>
      <c r="R186"/>
      <c r="S186"/>
      <c r="T186" s="54"/>
      <c r="U186" s="279"/>
      <c r="V186" s="279"/>
    </row>
    <row r="187" spans="1:22" ht="25.15" customHeight="1" x14ac:dyDescent="0.25">
      <c r="A187" s="17"/>
      <c r="G187"/>
      <c r="H187"/>
      <c r="J187"/>
      <c r="K187"/>
      <c r="L187"/>
      <c r="M187"/>
      <c r="N187"/>
      <c r="P187"/>
      <c r="Q187"/>
      <c r="R187"/>
      <c r="S187"/>
      <c r="T187" s="54"/>
      <c r="U187" s="279"/>
      <c r="V187" s="279"/>
    </row>
    <row r="188" spans="1:22" ht="25.15" customHeight="1" x14ac:dyDescent="0.25">
      <c r="A188" s="17"/>
      <c r="G188"/>
      <c r="H188"/>
      <c r="J188"/>
      <c r="K188"/>
      <c r="L188"/>
      <c r="M188"/>
      <c r="N188"/>
      <c r="P188"/>
      <c r="Q188"/>
      <c r="R188"/>
      <c r="S188"/>
      <c r="T188" s="54"/>
      <c r="U188" s="279"/>
      <c r="V188" s="279"/>
    </row>
    <row r="189" spans="1:22" ht="25.15" customHeight="1" x14ac:dyDescent="0.25">
      <c r="A189" s="17"/>
      <c r="G189"/>
      <c r="H189"/>
      <c r="J189"/>
      <c r="K189"/>
      <c r="L189"/>
      <c r="M189"/>
      <c r="N189"/>
      <c r="P189"/>
      <c r="Q189"/>
      <c r="R189"/>
      <c r="S189"/>
      <c r="T189" s="54"/>
      <c r="U189" s="279"/>
      <c r="V189" s="279"/>
    </row>
    <row r="190" spans="1:22" ht="25.15" customHeight="1" x14ac:dyDescent="0.25">
      <c r="A190" s="17"/>
      <c r="G190"/>
      <c r="H190"/>
      <c r="J190"/>
      <c r="K190"/>
      <c r="L190"/>
      <c r="M190"/>
      <c r="N190"/>
      <c r="P190"/>
      <c r="Q190"/>
      <c r="R190"/>
      <c r="S190"/>
      <c r="T190" s="54"/>
      <c r="U190" s="279"/>
      <c r="V190" s="279"/>
    </row>
    <row r="191" spans="1:22" ht="25.15" customHeight="1" x14ac:dyDescent="0.25">
      <c r="A191" s="17"/>
      <c r="G191"/>
      <c r="H191"/>
      <c r="J191"/>
      <c r="K191"/>
      <c r="L191"/>
      <c r="M191"/>
      <c r="N191"/>
      <c r="P191"/>
      <c r="Q191"/>
      <c r="R191"/>
      <c r="S191"/>
      <c r="T191" s="54"/>
      <c r="U191" s="279"/>
      <c r="V191" s="279"/>
    </row>
    <row r="192" spans="1:22" ht="25.15" customHeight="1" x14ac:dyDescent="0.25">
      <c r="A192" s="17"/>
      <c r="G192"/>
      <c r="H192"/>
      <c r="J192"/>
      <c r="K192"/>
      <c r="L192"/>
      <c r="M192"/>
      <c r="N192"/>
      <c r="P192"/>
      <c r="Q192"/>
      <c r="R192"/>
      <c r="S192"/>
      <c r="T192" s="54"/>
      <c r="U192" s="279"/>
      <c r="V192" s="279"/>
    </row>
    <row r="193" spans="1:22" ht="25.15" customHeight="1" x14ac:dyDescent="0.25">
      <c r="A193" s="17"/>
      <c r="G193"/>
      <c r="H193"/>
      <c r="J193"/>
      <c r="K193"/>
      <c r="L193"/>
      <c r="M193"/>
      <c r="N193"/>
      <c r="P193"/>
      <c r="Q193"/>
      <c r="R193"/>
      <c r="S193"/>
      <c r="T193" s="54"/>
      <c r="U193" s="279"/>
      <c r="V193" s="279"/>
    </row>
    <row r="194" spans="1:22" ht="25.15" customHeight="1" x14ac:dyDescent="0.25">
      <c r="A194" s="17"/>
      <c r="G194"/>
      <c r="H194"/>
      <c r="J194"/>
      <c r="K194"/>
      <c r="L194"/>
      <c r="M194"/>
      <c r="N194"/>
      <c r="P194"/>
      <c r="Q194"/>
      <c r="R194"/>
      <c r="S194"/>
      <c r="T194" s="54"/>
      <c r="U194" s="279"/>
      <c r="V194" s="279"/>
    </row>
    <row r="195" spans="1:22" ht="25.15" customHeight="1" x14ac:dyDescent="0.25">
      <c r="A195" s="17"/>
      <c r="G195"/>
      <c r="H195"/>
      <c r="J195"/>
      <c r="K195"/>
      <c r="L195"/>
      <c r="M195"/>
      <c r="N195"/>
      <c r="P195"/>
      <c r="Q195"/>
      <c r="R195"/>
      <c r="S195"/>
      <c r="T195" s="54"/>
      <c r="U195" s="279"/>
      <c r="V195" s="279"/>
    </row>
    <row r="196" spans="1:22" ht="25.15" customHeight="1" x14ac:dyDescent="0.25">
      <c r="A196" s="17"/>
      <c r="G196"/>
      <c r="H196"/>
      <c r="J196"/>
      <c r="K196"/>
      <c r="L196"/>
      <c r="M196"/>
      <c r="N196"/>
      <c r="P196"/>
      <c r="Q196"/>
      <c r="R196"/>
      <c r="S196"/>
      <c r="T196" s="54"/>
      <c r="U196" s="279"/>
      <c r="V196" s="279"/>
    </row>
    <row r="197" spans="1:22" ht="25.15" customHeight="1" x14ac:dyDescent="0.25">
      <c r="A197" s="17"/>
      <c r="G197"/>
      <c r="H197"/>
      <c r="J197"/>
      <c r="K197"/>
      <c r="L197"/>
      <c r="M197"/>
      <c r="N197"/>
      <c r="P197"/>
      <c r="Q197"/>
      <c r="R197"/>
      <c r="S197"/>
      <c r="T197" s="54"/>
      <c r="U197" s="279"/>
      <c r="V197" s="279"/>
    </row>
    <row r="198" spans="1:22" ht="25.15" customHeight="1" x14ac:dyDescent="0.25">
      <c r="A198" s="17"/>
      <c r="G198"/>
      <c r="H198"/>
      <c r="J198"/>
      <c r="K198"/>
      <c r="L198"/>
      <c r="M198"/>
      <c r="N198"/>
      <c r="P198"/>
      <c r="Q198"/>
      <c r="R198"/>
      <c r="S198"/>
      <c r="T198" s="54"/>
      <c r="U198" s="279"/>
      <c r="V198" s="279"/>
    </row>
    <row r="199" spans="1:22" ht="25.15" customHeight="1" x14ac:dyDescent="0.25">
      <c r="A199" s="17"/>
      <c r="G199"/>
      <c r="H199"/>
      <c r="J199"/>
      <c r="K199"/>
      <c r="L199"/>
      <c r="M199"/>
      <c r="N199"/>
      <c r="P199"/>
      <c r="Q199"/>
      <c r="R199"/>
      <c r="S199"/>
      <c r="T199" s="54"/>
      <c r="U199" s="279"/>
      <c r="V199" s="279"/>
    </row>
    <row r="200" spans="1:22" ht="25.15" customHeight="1" x14ac:dyDescent="0.25">
      <c r="A200" s="17"/>
      <c r="G200"/>
      <c r="H200"/>
      <c r="J200"/>
      <c r="K200"/>
      <c r="L200"/>
      <c r="M200"/>
      <c r="N200"/>
      <c r="P200"/>
      <c r="Q200"/>
      <c r="R200"/>
      <c r="S200"/>
      <c r="T200" s="54"/>
      <c r="U200" s="279"/>
      <c r="V200" s="279"/>
    </row>
    <row r="201" spans="1:22" ht="25.15" customHeight="1" x14ac:dyDescent="0.25">
      <c r="A201" s="17"/>
      <c r="G201"/>
      <c r="H201"/>
      <c r="J201"/>
      <c r="K201"/>
      <c r="L201"/>
      <c r="M201"/>
      <c r="N201"/>
      <c r="P201"/>
      <c r="Q201"/>
      <c r="R201"/>
      <c r="S201"/>
      <c r="T201" s="54"/>
      <c r="U201" s="279"/>
      <c r="V201" s="279"/>
    </row>
    <row r="202" spans="1:22" ht="25.15" customHeight="1" x14ac:dyDescent="0.25">
      <c r="A202" s="17"/>
      <c r="G202"/>
      <c r="H202"/>
      <c r="J202"/>
      <c r="K202"/>
      <c r="L202"/>
      <c r="M202"/>
      <c r="N202"/>
      <c r="P202"/>
      <c r="Q202"/>
      <c r="R202"/>
      <c r="S202"/>
      <c r="T202" s="54"/>
      <c r="U202" s="279"/>
      <c r="V202" s="279"/>
    </row>
    <row r="203" spans="1:22" ht="25.15" customHeight="1" x14ac:dyDescent="0.25">
      <c r="A203" s="17"/>
      <c r="G203"/>
      <c r="H203"/>
      <c r="J203"/>
      <c r="K203"/>
      <c r="L203"/>
      <c r="M203"/>
      <c r="N203"/>
      <c r="P203"/>
      <c r="Q203"/>
      <c r="R203"/>
      <c r="S203"/>
      <c r="T203" s="54"/>
      <c r="U203" s="279"/>
      <c r="V203" s="279"/>
    </row>
    <row r="204" spans="1:22" ht="25.15" customHeight="1" x14ac:dyDescent="0.25">
      <c r="A204" s="17"/>
      <c r="G204"/>
      <c r="H204"/>
      <c r="J204"/>
      <c r="K204"/>
      <c r="L204"/>
      <c r="M204"/>
      <c r="N204"/>
      <c r="P204"/>
      <c r="Q204"/>
      <c r="R204"/>
      <c r="S204"/>
      <c r="T204" s="54"/>
      <c r="U204" s="279"/>
      <c r="V204" s="279"/>
    </row>
    <row r="205" spans="1:22" ht="25.15" customHeight="1" x14ac:dyDescent="0.25">
      <c r="A205" s="17"/>
      <c r="G205"/>
      <c r="H205"/>
      <c r="J205"/>
      <c r="K205"/>
      <c r="L205"/>
      <c r="M205"/>
      <c r="N205"/>
      <c r="P205"/>
      <c r="Q205"/>
      <c r="R205"/>
      <c r="S205"/>
      <c r="T205" s="54"/>
      <c r="U205" s="279"/>
      <c r="V205" s="279"/>
    </row>
    <row r="206" spans="1:22" ht="25.15" customHeight="1" x14ac:dyDescent="0.25">
      <c r="A206" s="17"/>
      <c r="G206"/>
      <c r="H206"/>
      <c r="J206"/>
      <c r="K206"/>
      <c r="L206"/>
      <c r="M206"/>
      <c r="N206"/>
      <c r="P206"/>
      <c r="Q206"/>
      <c r="R206"/>
      <c r="S206"/>
      <c r="T206" s="54"/>
      <c r="U206" s="279"/>
      <c r="V206" s="279"/>
    </row>
    <row r="207" spans="1:22" ht="25.15" customHeight="1" x14ac:dyDescent="0.25">
      <c r="A207" s="17"/>
      <c r="G207"/>
      <c r="H207"/>
      <c r="J207"/>
      <c r="K207"/>
      <c r="L207"/>
      <c r="M207"/>
      <c r="N207"/>
      <c r="P207"/>
      <c r="Q207"/>
      <c r="R207"/>
      <c r="S207"/>
      <c r="T207" s="54"/>
      <c r="U207" s="279"/>
      <c r="V207" s="279"/>
    </row>
    <row r="208" spans="1:22" ht="25.15" customHeight="1" x14ac:dyDescent="0.25">
      <c r="A208" s="17"/>
      <c r="G208"/>
      <c r="H208"/>
      <c r="J208"/>
      <c r="K208"/>
      <c r="L208"/>
      <c r="M208"/>
      <c r="N208"/>
      <c r="P208"/>
      <c r="Q208"/>
      <c r="R208"/>
      <c r="S208"/>
      <c r="T208" s="54"/>
      <c r="U208" s="279"/>
      <c r="V208" s="279"/>
    </row>
    <row r="209" spans="1:22" ht="25.15" customHeight="1" x14ac:dyDescent="0.25">
      <c r="A209" s="17"/>
      <c r="G209"/>
      <c r="H209"/>
      <c r="J209"/>
      <c r="K209"/>
      <c r="L209"/>
      <c r="M209"/>
      <c r="N209"/>
      <c r="P209"/>
      <c r="Q209"/>
      <c r="R209"/>
      <c r="S209"/>
      <c r="T209" s="54"/>
      <c r="U209" s="279"/>
      <c r="V209" s="279"/>
    </row>
    <row r="210" spans="1:22" ht="25.15" customHeight="1" x14ac:dyDescent="0.25">
      <c r="A210" s="17"/>
      <c r="G210"/>
      <c r="H210"/>
      <c r="J210"/>
      <c r="K210"/>
      <c r="L210"/>
      <c r="M210"/>
      <c r="N210"/>
      <c r="P210"/>
      <c r="Q210"/>
      <c r="R210"/>
      <c r="S210"/>
      <c r="T210" s="54"/>
      <c r="U210" s="279"/>
      <c r="V210" s="279"/>
    </row>
    <row r="211" spans="1:22" ht="25.15" customHeight="1" x14ac:dyDescent="0.25">
      <c r="A211" s="17"/>
      <c r="G211"/>
      <c r="H211"/>
      <c r="J211"/>
      <c r="K211"/>
      <c r="L211"/>
      <c r="M211"/>
      <c r="N211"/>
      <c r="P211"/>
      <c r="Q211"/>
      <c r="R211"/>
      <c r="S211"/>
      <c r="T211" s="54"/>
      <c r="U211" s="279"/>
      <c r="V211" s="279"/>
    </row>
    <row r="212" spans="1:22" ht="25.15" customHeight="1" x14ac:dyDescent="0.25">
      <c r="A212" s="17"/>
      <c r="G212"/>
      <c r="H212"/>
      <c r="J212"/>
      <c r="K212"/>
      <c r="L212"/>
      <c r="M212"/>
      <c r="N212"/>
      <c r="P212"/>
      <c r="Q212"/>
      <c r="R212"/>
      <c r="S212"/>
      <c r="T212" s="54"/>
      <c r="U212" s="279"/>
      <c r="V212" s="279"/>
    </row>
    <row r="213" spans="1:22" ht="25.15" customHeight="1" x14ac:dyDescent="0.25">
      <c r="A213" s="17"/>
      <c r="G213"/>
      <c r="H213"/>
      <c r="J213"/>
      <c r="K213"/>
      <c r="L213"/>
      <c r="M213"/>
      <c r="N213"/>
      <c r="P213"/>
      <c r="Q213"/>
      <c r="R213"/>
      <c r="S213"/>
      <c r="T213" s="54"/>
      <c r="U213" s="279"/>
      <c r="V213" s="279"/>
    </row>
    <row r="214" spans="1:22" ht="25.15" customHeight="1" x14ac:dyDescent="0.25">
      <c r="A214" s="17"/>
      <c r="G214"/>
      <c r="H214"/>
      <c r="J214"/>
      <c r="K214"/>
      <c r="L214"/>
      <c r="M214"/>
      <c r="N214"/>
      <c r="P214"/>
      <c r="Q214"/>
      <c r="R214"/>
      <c r="S214"/>
      <c r="T214" s="54"/>
      <c r="U214" s="279"/>
      <c r="V214" s="279"/>
    </row>
    <row r="215" spans="1:22" ht="25.15" customHeight="1" x14ac:dyDescent="0.25">
      <c r="A215" s="17"/>
      <c r="G215"/>
      <c r="H215"/>
      <c r="J215"/>
      <c r="K215"/>
      <c r="L215"/>
      <c r="M215"/>
      <c r="N215"/>
      <c r="P215"/>
      <c r="Q215"/>
      <c r="R215"/>
      <c r="S215"/>
      <c r="T215" s="54"/>
      <c r="U215" s="279"/>
      <c r="V215" s="279"/>
    </row>
    <row r="216" spans="1:22" ht="25.15" customHeight="1" x14ac:dyDescent="0.25">
      <c r="A216" s="17"/>
      <c r="G216"/>
      <c r="H216"/>
      <c r="J216"/>
      <c r="K216"/>
      <c r="L216"/>
      <c r="M216"/>
      <c r="N216"/>
      <c r="P216"/>
      <c r="Q216"/>
      <c r="R216"/>
      <c r="S216"/>
      <c r="T216" s="54"/>
      <c r="U216" s="279"/>
      <c r="V216" s="279"/>
    </row>
    <row r="217" spans="1:22" ht="25.15" customHeight="1" x14ac:dyDescent="0.25">
      <c r="A217" s="17"/>
      <c r="G217"/>
      <c r="H217"/>
      <c r="J217"/>
      <c r="K217"/>
      <c r="L217"/>
      <c r="M217"/>
      <c r="N217"/>
      <c r="P217"/>
      <c r="Q217"/>
      <c r="R217"/>
      <c r="S217"/>
      <c r="T217" s="54"/>
      <c r="U217" s="279"/>
      <c r="V217" s="279"/>
    </row>
    <row r="218" spans="1:22" ht="25.15" customHeight="1" x14ac:dyDescent="0.25">
      <c r="A218" s="17"/>
      <c r="G218"/>
      <c r="H218"/>
      <c r="J218"/>
      <c r="K218"/>
      <c r="L218"/>
      <c r="M218"/>
      <c r="N218"/>
      <c r="P218"/>
      <c r="Q218"/>
      <c r="R218"/>
      <c r="S218"/>
      <c r="T218" s="54"/>
      <c r="U218" s="279"/>
      <c r="V218" s="279"/>
    </row>
    <row r="219" spans="1:22" ht="25.15" customHeight="1" x14ac:dyDescent="0.25">
      <c r="A219" s="17"/>
      <c r="G219"/>
      <c r="H219"/>
      <c r="J219"/>
      <c r="K219"/>
      <c r="L219"/>
      <c r="M219"/>
      <c r="N219"/>
      <c r="P219"/>
      <c r="Q219"/>
      <c r="R219"/>
      <c r="S219"/>
      <c r="T219" s="54"/>
      <c r="U219" s="279"/>
      <c r="V219" s="279"/>
    </row>
    <row r="220" spans="1:22" ht="25.15" customHeight="1" x14ac:dyDescent="0.25">
      <c r="A220" s="17"/>
      <c r="G220"/>
      <c r="H220"/>
      <c r="J220"/>
      <c r="K220"/>
      <c r="L220"/>
      <c r="M220"/>
      <c r="N220"/>
      <c r="P220"/>
      <c r="Q220"/>
      <c r="R220"/>
      <c r="S220"/>
      <c r="T220" s="54"/>
      <c r="U220" s="279"/>
      <c r="V220" s="279"/>
    </row>
    <row r="221" spans="1:22" ht="25.15" customHeight="1" x14ac:dyDescent="0.25">
      <c r="A221" s="17"/>
      <c r="G221"/>
      <c r="H221"/>
      <c r="J221"/>
      <c r="K221"/>
      <c r="L221"/>
      <c r="M221"/>
      <c r="N221"/>
      <c r="P221"/>
      <c r="Q221"/>
      <c r="R221"/>
      <c r="S221"/>
      <c r="T221" s="54"/>
      <c r="U221" s="279"/>
      <c r="V221" s="279"/>
    </row>
    <row r="222" spans="1:22" ht="25.15" customHeight="1" x14ac:dyDescent="0.25">
      <c r="A222" s="17"/>
      <c r="G222"/>
      <c r="H222"/>
      <c r="J222"/>
      <c r="K222"/>
      <c r="L222"/>
      <c r="M222"/>
      <c r="N222"/>
      <c r="P222"/>
      <c r="Q222"/>
      <c r="R222"/>
      <c r="S222"/>
      <c r="T222" s="54"/>
      <c r="U222" s="279"/>
      <c r="V222" s="279"/>
    </row>
    <row r="223" spans="1:22" ht="25.15" customHeight="1" x14ac:dyDescent="0.25">
      <c r="A223" s="17"/>
      <c r="G223"/>
      <c r="H223"/>
      <c r="J223"/>
      <c r="K223"/>
      <c r="L223"/>
      <c r="M223"/>
      <c r="N223"/>
      <c r="P223"/>
      <c r="Q223"/>
      <c r="R223"/>
      <c r="S223"/>
      <c r="T223" s="54"/>
      <c r="U223" s="279"/>
      <c r="V223" s="279"/>
    </row>
    <row r="224" spans="1:22" ht="25.15" customHeight="1" x14ac:dyDescent="0.25">
      <c r="A224" s="17"/>
      <c r="G224"/>
      <c r="H224"/>
      <c r="J224"/>
      <c r="K224"/>
      <c r="L224"/>
      <c r="M224"/>
      <c r="N224"/>
      <c r="P224"/>
      <c r="Q224"/>
      <c r="R224"/>
      <c r="S224"/>
      <c r="T224" s="54"/>
      <c r="U224" s="279"/>
      <c r="V224" s="279"/>
    </row>
    <row r="225" spans="1:22" ht="25.15" customHeight="1" x14ac:dyDescent="0.25">
      <c r="A225" s="17"/>
      <c r="G225"/>
      <c r="H225"/>
      <c r="J225"/>
      <c r="K225"/>
      <c r="L225"/>
      <c r="M225"/>
      <c r="N225"/>
      <c r="P225"/>
      <c r="Q225"/>
      <c r="R225"/>
      <c r="S225"/>
      <c r="T225" s="54"/>
      <c r="U225" s="279"/>
      <c r="V225" s="279"/>
    </row>
    <row r="226" spans="1:22" ht="25.15" customHeight="1" x14ac:dyDescent="0.25">
      <c r="A226" s="17"/>
      <c r="G226"/>
      <c r="H226"/>
      <c r="J226"/>
      <c r="K226"/>
      <c r="L226"/>
      <c r="M226"/>
      <c r="N226"/>
      <c r="P226"/>
      <c r="Q226"/>
      <c r="R226"/>
      <c r="S226"/>
      <c r="T226" s="54"/>
      <c r="U226" s="279"/>
      <c r="V226" s="279"/>
    </row>
    <row r="227" spans="1:22" ht="25.15" customHeight="1" x14ac:dyDescent="0.25">
      <c r="A227" s="17"/>
      <c r="G227"/>
      <c r="H227"/>
      <c r="J227"/>
      <c r="K227"/>
      <c r="L227"/>
      <c r="M227"/>
      <c r="N227"/>
      <c r="P227"/>
      <c r="Q227"/>
      <c r="R227"/>
      <c r="S227"/>
      <c r="T227" s="54"/>
      <c r="U227" s="279"/>
      <c r="V227" s="279"/>
    </row>
    <row r="228" spans="1:22" ht="25.15" customHeight="1" x14ac:dyDescent="0.25">
      <c r="A228" s="17"/>
      <c r="G228"/>
      <c r="H228"/>
      <c r="J228"/>
      <c r="K228"/>
      <c r="L228"/>
      <c r="M228"/>
      <c r="N228"/>
      <c r="P228"/>
      <c r="Q228"/>
      <c r="R228"/>
      <c r="S228"/>
      <c r="T228" s="54"/>
      <c r="U228" s="279"/>
      <c r="V228" s="279"/>
    </row>
    <row r="229" spans="1:22" ht="25.15" customHeight="1" x14ac:dyDescent="0.25">
      <c r="A229" s="17"/>
      <c r="G229"/>
      <c r="H229"/>
      <c r="J229"/>
      <c r="K229"/>
      <c r="L229"/>
      <c r="M229"/>
      <c r="N229"/>
      <c r="P229"/>
      <c r="Q229"/>
      <c r="R229"/>
      <c r="S229"/>
      <c r="T229" s="54"/>
      <c r="U229" s="279"/>
      <c r="V229" s="279"/>
    </row>
    <row r="230" spans="1:22" ht="25.15" customHeight="1" x14ac:dyDescent="0.25">
      <c r="A230" s="17"/>
      <c r="G230"/>
      <c r="H230"/>
      <c r="J230"/>
      <c r="K230"/>
      <c r="L230"/>
      <c r="M230"/>
      <c r="N230"/>
      <c r="P230"/>
      <c r="Q230"/>
      <c r="R230"/>
      <c r="S230"/>
      <c r="T230" s="54"/>
      <c r="U230" s="279"/>
      <c r="V230" s="279"/>
    </row>
    <row r="231" spans="1:22" ht="25.15" customHeight="1" x14ac:dyDescent="0.25">
      <c r="A231" s="17"/>
      <c r="G231"/>
      <c r="H231"/>
      <c r="J231"/>
      <c r="K231"/>
      <c r="L231"/>
      <c r="M231"/>
      <c r="N231"/>
      <c r="P231"/>
      <c r="Q231"/>
      <c r="R231"/>
      <c r="S231"/>
      <c r="T231" s="54"/>
      <c r="U231" s="279"/>
      <c r="V231" s="279"/>
    </row>
    <row r="232" spans="1:22" ht="25.15" customHeight="1" x14ac:dyDescent="0.25">
      <c r="A232" s="17"/>
      <c r="G232"/>
      <c r="H232"/>
      <c r="J232"/>
      <c r="K232"/>
      <c r="L232"/>
      <c r="M232"/>
      <c r="N232"/>
      <c r="P232"/>
      <c r="Q232"/>
      <c r="R232"/>
      <c r="S232"/>
      <c r="T232" s="54"/>
      <c r="U232" s="279"/>
      <c r="V232" s="279"/>
    </row>
    <row r="233" spans="1:22" ht="25.15" customHeight="1" x14ac:dyDescent="0.25">
      <c r="A233" s="17"/>
      <c r="G233"/>
      <c r="H233"/>
      <c r="J233"/>
      <c r="K233"/>
      <c r="L233"/>
      <c r="M233"/>
      <c r="N233"/>
      <c r="P233"/>
      <c r="Q233"/>
      <c r="R233"/>
      <c r="S233"/>
      <c r="T233" s="54"/>
      <c r="U233" s="279"/>
      <c r="V233" s="279"/>
    </row>
    <row r="234" spans="1:22" ht="25.15" customHeight="1" x14ac:dyDescent="0.25">
      <c r="A234" s="17"/>
      <c r="G234"/>
      <c r="H234"/>
      <c r="J234"/>
      <c r="K234"/>
      <c r="L234"/>
      <c r="M234"/>
      <c r="N234"/>
      <c r="P234"/>
      <c r="Q234"/>
      <c r="R234"/>
      <c r="S234"/>
      <c r="T234" s="54"/>
      <c r="U234" s="279"/>
      <c r="V234" s="279"/>
    </row>
    <row r="235" spans="1:22" ht="25.15" customHeight="1" x14ac:dyDescent="0.25">
      <c r="A235" s="17"/>
      <c r="G235"/>
      <c r="H235"/>
      <c r="J235"/>
      <c r="K235"/>
      <c r="L235"/>
      <c r="M235"/>
      <c r="N235"/>
      <c r="P235"/>
      <c r="Q235"/>
      <c r="R235"/>
      <c r="S235"/>
      <c r="T235" s="54"/>
      <c r="U235" s="279"/>
      <c r="V235" s="279"/>
    </row>
    <row r="236" spans="1:22" ht="25.15" customHeight="1" x14ac:dyDescent="0.25">
      <c r="A236" s="17"/>
      <c r="G236"/>
      <c r="H236"/>
      <c r="J236"/>
      <c r="K236"/>
      <c r="L236"/>
      <c r="M236"/>
      <c r="N236"/>
      <c r="P236"/>
      <c r="Q236"/>
      <c r="R236"/>
      <c r="S236"/>
      <c r="T236" s="54"/>
      <c r="U236" s="279"/>
      <c r="V236" s="279"/>
    </row>
    <row r="237" spans="1:22" ht="25.15" customHeight="1" x14ac:dyDescent="0.25">
      <c r="A237" s="17"/>
      <c r="G237"/>
      <c r="H237"/>
      <c r="J237"/>
      <c r="K237"/>
      <c r="L237"/>
      <c r="M237"/>
      <c r="N237"/>
      <c r="P237"/>
      <c r="Q237"/>
      <c r="R237"/>
      <c r="S237"/>
      <c r="T237" s="54"/>
      <c r="U237" s="279"/>
      <c r="V237" s="279"/>
    </row>
    <row r="238" spans="1:22" ht="25.15" customHeight="1" x14ac:dyDescent="0.25">
      <c r="A238" s="17"/>
      <c r="G238"/>
      <c r="H238"/>
      <c r="J238"/>
      <c r="K238"/>
      <c r="L238"/>
      <c r="M238"/>
      <c r="N238"/>
      <c r="P238"/>
      <c r="Q238"/>
      <c r="R238"/>
      <c r="S238"/>
      <c r="T238" s="54"/>
      <c r="U238" s="279"/>
      <c r="V238" s="279"/>
    </row>
    <row r="239" spans="1:22" ht="25.15" customHeight="1" x14ac:dyDescent="0.25">
      <c r="A239" s="17"/>
      <c r="G239"/>
      <c r="H239"/>
      <c r="J239"/>
      <c r="K239"/>
      <c r="L239"/>
      <c r="M239"/>
      <c r="N239"/>
      <c r="P239"/>
      <c r="Q239"/>
      <c r="R239"/>
      <c r="S239"/>
      <c r="T239" s="54"/>
      <c r="U239" s="279"/>
      <c r="V239" s="279"/>
    </row>
    <row r="240" spans="1:22" ht="25.15" customHeight="1" x14ac:dyDescent="0.25">
      <c r="A240" s="17"/>
      <c r="G240"/>
      <c r="H240"/>
      <c r="J240"/>
      <c r="K240"/>
      <c r="L240"/>
      <c r="M240"/>
      <c r="N240"/>
      <c r="P240"/>
      <c r="Q240"/>
      <c r="R240"/>
      <c r="S240"/>
      <c r="T240" s="54"/>
      <c r="U240" s="279"/>
      <c r="V240" s="279"/>
    </row>
    <row r="241" spans="1:22" ht="25.15" customHeight="1" x14ac:dyDescent="0.25">
      <c r="A241" s="17"/>
      <c r="G241"/>
      <c r="H241"/>
      <c r="J241"/>
      <c r="K241"/>
      <c r="L241"/>
      <c r="M241"/>
      <c r="N241"/>
      <c r="P241"/>
      <c r="Q241"/>
      <c r="R241"/>
      <c r="S241"/>
      <c r="T241" s="54"/>
      <c r="U241" s="279"/>
      <c r="V241" s="279"/>
    </row>
    <row r="242" spans="1:22" ht="25.15" customHeight="1" x14ac:dyDescent="0.25">
      <c r="A242" s="17"/>
      <c r="G242"/>
      <c r="H242"/>
      <c r="J242"/>
      <c r="K242"/>
      <c r="L242"/>
      <c r="M242"/>
      <c r="N242"/>
      <c r="P242"/>
      <c r="Q242"/>
      <c r="R242"/>
      <c r="S242"/>
      <c r="T242" s="54"/>
      <c r="U242" s="279"/>
      <c r="V242" s="279"/>
    </row>
    <row r="243" spans="1:22" ht="25.15" customHeight="1" x14ac:dyDescent="0.25">
      <c r="A243" s="17"/>
      <c r="G243"/>
      <c r="H243"/>
      <c r="J243"/>
      <c r="K243"/>
      <c r="L243"/>
      <c r="M243"/>
      <c r="N243"/>
      <c r="P243"/>
      <c r="Q243"/>
      <c r="R243"/>
      <c r="S243"/>
      <c r="T243" s="54"/>
      <c r="U243" s="279"/>
      <c r="V243" s="279"/>
    </row>
    <row r="244" spans="1:22" ht="25.15" customHeight="1" x14ac:dyDescent="0.25">
      <c r="A244" s="17"/>
      <c r="G244"/>
      <c r="H244"/>
      <c r="J244"/>
      <c r="K244"/>
      <c r="L244"/>
      <c r="M244"/>
      <c r="N244"/>
      <c r="P244"/>
      <c r="Q244"/>
      <c r="R244"/>
      <c r="S244"/>
      <c r="T244" s="54"/>
      <c r="U244" s="279"/>
      <c r="V244" s="279"/>
    </row>
    <row r="245" spans="1:22" ht="25.15" customHeight="1" x14ac:dyDescent="0.25">
      <c r="A245" s="17"/>
      <c r="G245"/>
      <c r="H245"/>
      <c r="J245"/>
      <c r="K245"/>
      <c r="L245"/>
      <c r="M245"/>
      <c r="N245"/>
      <c r="P245"/>
      <c r="Q245"/>
      <c r="R245"/>
      <c r="S245"/>
      <c r="T245" s="54"/>
      <c r="U245" s="279"/>
      <c r="V245" s="279"/>
    </row>
    <row r="246" spans="1:22" ht="25.15" customHeight="1" x14ac:dyDescent="0.25">
      <c r="A246" s="17"/>
      <c r="G246"/>
      <c r="H246"/>
      <c r="J246"/>
      <c r="K246"/>
      <c r="L246"/>
      <c r="M246"/>
      <c r="N246"/>
      <c r="P246"/>
      <c r="Q246"/>
      <c r="R246"/>
      <c r="S246"/>
      <c r="T246" s="54"/>
      <c r="U246" s="279"/>
      <c r="V246" s="279"/>
    </row>
    <row r="247" spans="1:22" ht="25.15" customHeight="1" x14ac:dyDescent="0.25">
      <c r="A247" s="17"/>
      <c r="G247"/>
      <c r="H247"/>
      <c r="J247"/>
      <c r="K247"/>
      <c r="L247"/>
      <c r="M247"/>
      <c r="N247"/>
      <c r="P247"/>
      <c r="Q247"/>
      <c r="R247"/>
      <c r="S247"/>
      <c r="T247" s="54"/>
      <c r="U247" s="279"/>
      <c r="V247" s="279"/>
    </row>
    <row r="248" spans="1:22" ht="25.15" customHeight="1" x14ac:dyDescent="0.25">
      <c r="A248" s="17"/>
      <c r="G248"/>
      <c r="H248"/>
      <c r="J248"/>
      <c r="K248"/>
      <c r="L248"/>
      <c r="M248"/>
      <c r="N248"/>
      <c r="P248"/>
      <c r="Q248"/>
      <c r="R248"/>
      <c r="S248"/>
      <c r="T248" s="54"/>
      <c r="U248" s="279"/>
      <c r="V248" s="279"/>
    </row>
    <row r="249" spans="1:22" ht="25.15" customHeight="1" x14ac:dyDescent="0.25">
      <c r="A249" s="17"/>
      <c r="G249"/>
      <c r="H249"/>
      <c r="J249"/>
      <c r="K249"/>
      <c r="L249"/>
      <c r="M249"/>
      <c r="N249"/>
      <c r="P249"/>
      <c r="Q249"/>
      <c r="R249"/>
      <c r="S249"/>
      <c r="T249" s="54"/>
      <c r="U249" s="279"/>
      <c r="V249" s="279"/>
    </row>
    <row r="250" spans="1:22" ht="25.15" customHeight="1" x14ac:dyDescent="0.25">
      <c r="A250" s="17"/>
      <c r="G250"/>
      <c r="H250"/>
      <c r="J250"/>
      <c r="K250"/>
      <c r="L250"/>
      <c r="M250"/>
      <c r="N250"/>
      <c r="P250"/>
      <c r="Q250"/>
      <c r="R250"/>
      <c r="S250"/>
      <c r="T250" s="54"/>
      <c r="U250" s="279"/>
      <c r="V250" s="279"/>
    </row>
    <row r="251" spans="1:22" ht="25.15" customHeight="1" x14ac:dyDescent="0.25">
      <c r="A251" s="17"/>
      <c r="G251"/>
      <c r="H251"/>
      <c r="J251"/>
      <c r="K251"/>
      <c r="L251"/>
      <c r="M251"/>
      <c r="N251"/>
      <c r="P251"/>
      <c r="Q251"/>
      <c r="R251"/>
      <c r="S251"/>
      <c r="T251" s="54"/>
      <c r="U251" s="279"/>
      <c r="V251" s="279"/>
    </row>
    <row r="252" spans="1:22" ht="25.15" customHeight="1" x14ac:dyDescent="0.25">
      <c r="A252" s="17"/>
      <c r="G252"/>
      <c r="H252"/>
      <c r="J252"/>
      <c r="K252"/>
      <c r="L252"/>
      <c r="M252"/>
      <c r="N252"/>
      <c r="P252"/>
      <c r="Q252"/>
      <c r="R252"/>
      <c r="S252"/>
      <c r="T252" s="54"/>
      <c r="U252" s="279"/>
      <c r="V252" s="279"/>
    </row>
    <row r="253" spans="1:22" ht="25.15" customHeight="1" x14ac:dyDescent="0.25">
      <c r="A253" s="17"/>
      <c r="G253"/>
      <c r="H253"/>
      <c r="J253"/>
      <c r="K253"/>
      <c r="L253"/>
      <c r="M253"/>
      <c r="N253"/>
      <c r="P253"/>
      <c r="Q253"/>
      <c r="R253"/>
      <c r="S253"/>
      <c r="T253" s="54"/>
      <c r="U253" s="279"/>
      <c r="V253" s="279"/>
    </row>
    <row r="254" spans="1:22" ht="25.15" customHeight="1" x14ac:dyDescent="0.25">
      <c r="A254" s="17"/>
      <c r="G254"/>
      <c r="H254"/>
      <c r="J254"/>
      <c r="K254"/>
      <c r="L254"/>
      <c r="M254"/>
      <c r="N254"/>
      <c r="P254"/>
      <c r="Q254"/>
      <c r="R254"/>
      <c r="S254"/>
      <c r="T254" s="54"/>
      <c r="U254" s="279"/>
      <c r="V254" s="279"/>
    </row>
    <row r="255" spans="1:22" ht="25.15" customHeight="1" x14ac:dyDescent="0.25">
      <c r="A255" s="17"/>
      <c r="G255"/>
      <c r="H255"/>
      <c r="J255"/>
      <c r="K255"/>
      <c r="L255"/>
      <c r="M255"/>
      <c r="N255"/>
      <c r="P255"/>
      <c r="Q255"/>
      <c r="R255"/>
      <c r="S255"/>
      <c r="T255" s="54"/>
      <c r="U255" s="279"/>
      <c r="V255" s="279"/>
    </row>
    <row r="256" spans="1:22" ht="25.15" customHeight="1" x14ac:dyDescent="0.25">
      <c r="A256" s="17"/>
      <c r="G256"/>
      <c r="H256"/>
      <c r="J256"/>
      <c r="K256"/>
      <c r="L256"/>
      <c r="M256"/>
      <c r="N256"/>
      <c r="P256"/>
      <c r="Q256"/>
      <c r="R256"/>
      <c r="S256"/>
      <c r="T256" s="54"/>
      <c r="U256" s="279"/>
      <c r="V256" s="279"/>
    </row>
    <row r="257" spans="1:22" ht="25.15" customHeight="1" x14ac:dyDescent="0.25">
      <c r="A257" s="17"/>
      <c r="G257"/>
      <c r="H257"/>
      <c r="J257"/>
      <c r="K257"/>
      <c r="L257"/>
      <c r="M257"/>
      <c r="N257"/>
      <c r="P257"/>
      <c r="Q257"/>
      <c r="R257"/>
      <c r="S257"/>
      <c r="T257" s="54"/>
      <c r="U257" s="279"/>
      <c r="V257" s="279"/>
    </row>
    <row r="258" spans="1:22" ht="25.15" customHeight="1" x14ac:dyDescent="0.25">
      <c r="A258" s="17"/>
      <c r="G258"/>
      <c r="H258"/>
      <c r="J258"/>
      <c r="K258"/>
      <c r="L258"/>
      <c r="M258"/>
      <c r="N258"/>
      <c r="P258"/>
      <c r="Q258"/>
      <c r="R258"/>
      <c r="S258"/>
      <c r="T258" s="54"/>
      <c r="U258" s="279"/>
      <c r="V258" s="279"/>
    </row>
    <row r="259" spans="1:22" ht="25.15" customHeight="1" x14ac:dyDescent="0.25">
      <c r="A259" s="17"/>
      <c r="G259"/>
      <c r="H259"/>
      <c r="J259"/>
      <c r="K259"/>
      <c r="L259"/>
      <c r="M259"/>
      <c r="N259"/>
      <c r="P259"/>
      <c r="Q259"/>
      <c r="R259"/>
      <c r="S259"/>
      <c r="T259" s="54"/>
      <c r="U259" s="279"/>
      <c r="V259" s="279"/>
    </row>
    <row r="260" spans="1:22" ht="25.15" customHeight="1" x14ac:dyDescent="0.25">
      <c r="A260" s="17"/>
      <c r="G260"/>
      <c r="H260"/>
      <c r="J260"/>
      <c r="K260"/>
      <c r="L260"/>
      <c r="M260"/>
      <c r="N260"/>
      <c r="P260"/>
      <c r="Q260"/>
      <c r="R260"/>
      <c r="S260"/>
      <c r="T260" s="54"/>
      <c r="U260" s="279"/>
      <c r="V260" s="279"/>
    </row>
    <row r="261" spans="1:22" ht="25.15" customHeight="1" x14ac:dyDescent="0.25">
      <c r="A261" s="17"/>
      <c r="G261"/>
      <c r="H261"/>
      <c r="J261"/>
      <c r="K261"/>
      <c r="L261"/>
      <c r="M261"/>
      <c r="N261"/>
      <c r="P261"/>
      <c r="Q261"/>
      <c r="R261"/>
      <c r="S261"/>
      <c r="T261" s="54"/>
      <c r="U261" s="279"/>
      <c r="V261" s="279"/>
    </row>
    <row r="262" spans="1:22" ht="25.15" customHeight="1" x14ac:dyDescent="0.25">
      <c r="A262" s="17"/>
      <c r="G262"/>
      <c r="H262"/>
      <c r="J262"/>
      <c r="K262"/>
      <c r="L262"/>
      <c r="M262"/>
      <c r="N262"/>
      <c r="P262"/>
      <c r="Q262"/>
      <c r="R262"/>
      <c r="S262"/>
      <c r="T262" s="54"/>
      <c r="U262" s="279"/>
      <c r="V262" s="279"/>
    </row>
    <row r="263" spans="1:22" ht="25.15" customHeight="1" x14ac:dyDescent="0.25">
      <c r="A263" s="17"/>
      <c r="G263"/>
      <c r="H263"/>
      <c r="J263"/>
      <c r="K263"/>
      <c r="L263"/>
      <c r="M263"/>
      <c r="N263"/>
      <c r="P263"/>
      <c r="Q263"/>
      <c r="R263"/>
      <c r="S263"/>
      <c r="T263" s="54"/>
      <c r="U263" s="279"/>
      <c r="V263" s="279"/>
    </row>
    <row r="264" spans="1:22" ht="25.15" customHeight="1" x14ac:dyDescent="0.25">
      <c r="A264" s="17"/>
      <c r="G264"/>
      <c r="H264"/>
      <c r="J264"/>
      <c r="K264"/>
      <c r="L264"/>
      <c r="M264"/>
      <c r="N264"/>
      <c r="P264"/>
      <c r="Q264"/>
      <c r="R264"/>
      <c r="S264"/>
      <c r="T264" s="54"/>
      <c r="U264" s="279"/>
      <c r="V264" s="279"/>
    </row>
    <row r="265" spans="1:22" ht="25.15" customHeight="1" x14ac:dyDescent="0.25">
      <c r="A265" s="17"/>
      <c r="G265"/>
      <c r="H265"/>
      <c r="J265"/>
      <c r="K265"/>
      <c r="L265"/>
      <c r="M265"/>
      <c r="N265"/>
      <c r="P265"/>
      <c r="Q265"/>
      <c r="R265"/>
      <c r="S265"/>
      <c r="T265" s="54"/>
      <c r="U265" s="279"/>
      <c r="V265" s="279"/>
    </row>
    <row r="266" spans="1:22" ht="25.15" customHeight="1" x14ac:dyDescent="0.25">
      <c r="A266" s="17"/>
      <c r="G266"/>
      <c r="H266"/>
      <c r="J266"/>
      <c r="K266"/>
      <c r="L266"/>
      <c r="M266"/>
      <c r="N266"/>
      <c r="P266"/>
      <c r="Q266"/>
      <c r="R266"/>
      <c r="S266"/>
      <c r="T266" s="54"/>
      <c r="U266" s="279"/>
      <c r="V266" s="279"/>
    </row>
    <row r="267" spans="1:22" ht="25.15" customHeight="1" x14ac:dyDescent="0.25">
      <c r="A267" s="17"/>
      <c r="G267"/>
      <c r="H267"/>
      <c r="J267"/>
      <c r="K267"/>
      <c r="L267"/>
      <c r="M267"/>
      <c r="N267"/>
      <c r="P267"/>
      <c r="Q267"/>
      <c r="R267"/>
      <c r="S267"/>
      <c r="T267" s="54"/>
      <c r="U267" s="279"/>
      <c r="V267" s="279"/>
    </row>
    <row r="268" spans="1:22" ht="25.15" customHeight="1" x14ac:dyDescent="0.25">
      <c r="A268" s="17"/>
      <c r="G268"/>
      <c r="H268"/>
      <c r="J268"/>
      <c r="K268"/>
      <c r="L268"/>
      <c r="M268"/>
      <c r="N268"/>
      <c r="P268"/>
      <c r="Q268"/>
      <c r="R268"/>
      <c r="S268"/>
      <c r="T268" s="54"/>
      <c r="U268" s="279"/>
      <c r="V268" s="279"/>
    </row>
    <row r="269" spans="1:22" ht="25.15" customHeight="1" x14ac:dyDescent="0.25">
      <c r="A269" s="17"/>
      <c r="G269"/>
      <c r="H269"/>
      <c r="J269"/>
      <c r="K269"/>
      <c r="L269"/>
      <c r="M269"/>
      <c r="N269"/>
      <c r="P269"/>
      <c r="Q269"/>
      <c r="R269"/>
      <c r="S269"/>
      <c r="T269" s="54"/>
      <c r="U269" s="279"/>
      <c r="V269" s="279"/>
    </row>
    <row r="270" spans="1:22" ht="25.15" customHeight="1" x14ac:dyDescent="0.25">
      <c r="A270" s="17"/>
      <c r="G270"/>
      <c r="H270"/>
      <c r="J270"/>
      <c r="K270"/>
      <c r="L270"/>
      <c r="M270"/>
      <c r="N270"/>
      <c r="P270"/>
      <c r="Q270"/>
      <c r="R270"/>
      <c r="S270"/>
      <c r="T270" s="54"/>
      <c r="U270" s="279"/>
      <c r="V270" s="279"/>
    </row>
    <row r="271" spans="1:22" ht="25.15" customHeight="1" x14ac:dyDescent="0.25">
      <c r="A271" s="17"/>
      <c r="G271"/>
      <c r="H271"/>
      <c r="J271"/>
      <c r="K271"/>
      <c r="L271"/>
      <c r="M271"/>
      <c r="N271"/>
      <c r="P271"/>
      <c r="Q271"/>
      <c r="R271"/>
      <c r="S271"/>
      <c r="T271" s="54"/>
      <c r="U271" s="279"/>
      <c r="V271" s="279"/>
    </row>
    <row r="272" spans="1:22" ht="25.15" customHeight="1" x14ac:dyDescent="0.25">
      <c r="A272" s="17"/>
      <c r="G272"/>
      <c r="H272"/>
      <c r="J272"/>
      <c r="K272"/>
      <c r="L272"/>
      <c r="M272"/>
      <c r="N272"/>
      <c r="P272"/>
      <c r="Q272"/>
      <c r="R272"/>
      <c r="S272"/>
      <c r="T272" s="54"/>
      <c r="U272" s="279"/>
      <c r="V272" s="279"/>
    </row>
    <row r="273" spans="1:22" ht="25.15" customHeight="1" x14ac:dyDescent="0.25">
      <c r="A273" s="17"/>
      <c r="G273"/>
      <c r="H273"/>
      <c r="J273"/>
      <c r="K273"/>
      <c r="L273"/>
      <c r="M273"/>
      <c r="N273"/>
      <c r="P273"/>
      <c r="Q273"/>
      <c r="R273"/>
      <c r="S273"/>
      <c r="T273" s="54"/>
      <c r="U273" s="279"/>
      <c r="V273" s="279"/>
    </row>
    <row r="274" spans="1:22" ht="25.15" customHeight="1" x14ac:dyDescent="0.25">
      <c r="A274" s="17"/>
      <c r="G274"/>
      <c r="H274"/>
      <c r="J274"/>
      <c r="K274"/>
      <c r="L274"/>
      <c r="M274"/>
      <c r="N274"/>
      <c r="P274"/>
      <c r="Q274"/>
      <c r="R274"/>
      <c r="S274"/>
      <c r="T274" s="54"/>
      <c r="U274" s="279"/>
      <c r="V274" s="279"/>
    </row>
    <row r="275" spans="1:22" ht="25.15" customHeight="1" x14ac:dyDescent="0.25">
      <c r="A275" s="17"/>
      <c r="G275"/>
      <c r="H275"/>
      <c r="J275"/>
      <c r="K275"/>
      <c r="L275"/>
      <c r="M275"/>
      <c r="N275"/>
      <c r="P275"/>
      <c r="Q275"/>
      <c r="R275"/>
      <c r="S275"/>
      <c r="T275" s="54"/>
      <c r="U275" s="279"/>
      <c r="V275" s="279"/>
    </row>
    <row r="276" spans="1:22" ht="25.15" customHeight="1" x14ac:dyDescent="0.25">
      <c r="A276" s="17"/>
      <c r="G276"/>
      <c r="H276"/>
      <c r="J276"/>
      <c r="K276"/>
      <c r="L276"/>
      <c r="M276"/>
      <c r="N276"/>
      <c r="P276"/>
      <c r="Q276"/>
      <c r="R276"/>
      <c r="S276"/>
      <c r="T276" s="54"/>
      <c r="U276" s="279"/>
      <c r="V276" s="279"/>
    </row>
    <row r="277" spans="1:22" ht="25.15" customHeight="1" x14ac:dyDescent="0.25">
      <c r="A277" s="17"/>
      <c r="G277"/>
      <c r="H277"/>
      <c r="J277"/>
      <c r="K277"/>
      <c r="L277"/>
      <c r="M277"/>
      <c r="N277"/>
      <c r="P277"/>
      <c r="Q277"/>
      <c r="R277"/>
      <c r="S277"/>
      <c r="T277" s="54"/>
      <c r="U277" s="279"/>
      <c r="V277" s="279"/>
    </row>
    <row r="278" spans="1:22" ht="25.15" customHeight="1" x14ac:dyDescent="0.25">
      <c r="A278" s="17"/>
      <c r="G278"/>
      <c r="H278"/>
      <c r="J278"/>
      <c r="K278"/>
      <c r="L278"/>
      <c r="M278"/>
      <c r="N278"/>
      <c r="P278"/>
      <c r="Q278"/>
      <c r="R278"/>
      <c r="S278"/>
      <c r="T278" s="54"/>
      <c r="U278" s="279"/>
      <c r="V278" s="279"/>
    </row>
    <row r="279" spans="1:22" ht="25.15" customHeight="1" x14ac:dyDescent="0.25">
      <c r="A279" s="17"/>
      <c r="G279"/>
      <c r="H279"/>
      <c r="J279"/>
      <c r="K279"/>
      <c r="L279"/>
      <c r="M279"/>
      <c r="N279"/>
      <c r="P279"/>
      <c r="Q279"/>
      <c r="R279"/>
      <c r="S279"/>
      <c r="T279" s="54"/>
      <c r="U279" s="279"/>
      <c r="V279" s="279"/>
    </row>
    <row r="280" spans="1:22" ht="25.15" customHeight="1" x14ac:dyDescent="0.25">
      <c r="A280" s="17"/>
      <c r="G280"/>
      <c r="H280"/>
      <c r="J280"/>
      <c r="K280"/>
      <c r="L280"/>
      <c r="M280"/>
      <c r="N280"/>
      <c r="P280"/>
      <c r="Q280"/>
      <c r="R280"/>
      <c r="S280"/>
      <c r="T280" s="54"/>
      <c r="U280" s="279"/>
      <c r="V280" s="279"/>
    </row>
    <row r="281" spans="1:22" ht="25.15" customHeight="1" x14ac:dyDescent="0.25">
      <c r="A281" s="17"/>
      <c r="G281"/>
      <c r="H281"/>
      <c r="J281"/>
      <c r="K281"/>
      <c r="L281"/>
      <c r="M281"/>
      <c r="N281"/>
      <c r="P281"/>
      <c r="Q281"/>
      <c r="R281"/>
      <c r="S281"/>
      <c r="T281" s="54"/>
      <c r="U281" s="279"/>
      <c r="V281" s="279"/>
    </row>
    <row r="282" spans="1:22" ht="25.15" customHeight="1" x14ac:dyDescent="0.25">
      <c r="A282" s="17"/>
      <c r="G282"/>
      <c r="H282"/>
      <c r="J282"/>
      <c r="K282"/>
      <c r="L282"/>
      <c r="M282"/>
      <c r="N282"/>
      <c r="P282"/>
      <c r="Q282"/>
      <c r="R282"/>
      <c r="S282"/>
      <c r="T282" s="54"/>
      <c r="U282" s="279"/>
      <c r="V282" s="279"/>
    </row>
    <row r="283" spans="1:22" ht="25.15" customHeight="1" x14ac:dyDescent="0.25">
      <c r="A283" s="17"/>
      <c r="G283"/>
      <c r="H283"/>
      <c r="J283"/>
      <c r="K283"/>
      <c r="L283"/>
      <c r="M283"/>
      <c r="N283"/>
      <c r="P283"/>
      <c r="Q283"/>
      <c r="R283"/>
      <c r="S283"/>
      <c r="T283" s="54"/>
      <c r="U283" s="279"/>
      <c r="V283" s="279"/>
    </row>
    <row r="284" spans="1:22" ht="25.15" customHeight="1" x14ac:dyDescent="0.25">
      <c r="A284" s="17"/>
      <c r="G284"/>
      <c r="H284"/>
      <c r="J284"/>
      <c r="K284"/>
      <c r="L284"/>
      <c r="M284"/>
      <c r="N284"/>
      <c r="P284"/>
      <c r="Q284"/>
      <c r="R284"/>
      <c r="S284"/>
      <c r="T284" s="54"/>
      <c r="U284" s="279"/>
      <c r="V284" s="279"/>
    </row>
    <row r="285" spans="1:22" ht="25.15" customHeight="1" x14ac:dyDescent="0.25">
      <c r="A285" s="17"/>
      <c r="G285"/>
      <c r="H285"/>
      <c r="J285"/>
      <c r="K285"/>
      <c r="L285"/>
      <c r="M285"/>
      <c r="N285"/>
      <c r="P285"/>
      <c r="Q285"/>
      <c r="R285"/>
      <c r="S285"/>
      <c r="T285" s="54"/>
      <c r="U285" s="279"/>
      <c r="V285" s="279"/>
    </row>
    <row r="286" spans="1:22" ht="25.15" customHeight="1" x14ac:dyDescent="0.25">
      <c r="A286" s="17"/>
      <c r="G286"/>
      <c r="H286"/>
      <c r="J286"/>
      <c r="K286"/>
      <c r="L286"/>
      <c r="M286"/>
      <c r="N286"/>
      <c r="P286"/>
      <c r="Q286"/>
      <c r="R286"/>
      <c r="S286"/>
      <c r="T286" s="54"/>
      <c r="U286" s="279"/>
      <c r="V286" s="279"/>
    </row>
    <row r="287" spans="1:22" ht="25.15" customHeight="1" x14ac:dyDescent="0.25">
      <c r="A287" s="17"/>
      <c r="G287"/>
      <c r="H287"/>
      <c r="J287"/>
      <c r="K287"/>
      <c r="L287"/>
      <c r="M287"/>
      <c r="N287"/>
      <c r="P287"/>
      <c r="Q287"/>
      <c r="R287"/>
      <c r="S287"/>
      <c r="T287" s="54"/>
      <c r="U287" s="279"/>
      <c r="V287" s="279"/>
    </row>
    <row r="288" spans="1:22" ht="25.15" customHeight="1" x14ac:dyDescent="0.25">
      <c r="A288" s="17"/>
      <c r="G288"/>
      <c r="H288"/>
      <c r="J288"/>
      <c r="K288"/>
      <c r="L288"/>
      <c r="M288"/>
      <c r="N288"/>
      <c r="P288"/>
      <c r="Q288"/>
      <c r="R288"/>
      <c r="S288"/>
      <c r="T288" s="54"/>
      <c r="U288" s="279"/>
      <c r="V288" s="279"/>
    </row>
    <row r="289" spans="1:22" ht="25.15" customHeight="1" x14ac:dyDescent="0.25">
      <c r="A289" s="17"/>
      <c r="G289"/>
      <c r="H289"/>
      <c r="J289"/>
      <c r="K289"/>
      <c r="L289"/>
      <c r="M289"/>
      <c r="N289"/>
      <c r="P289"/>
      <c r="Q289"/>
      <c r="R289"/>
      <c r="S289"/>
      <c r="T289" s="54"/>
      <c r="U289" s="279"/>
      <c r="V289" s="279"/>
    </row>
    <row r="290" spans="1:22" ht="25.15" customHeight="1" x14ac:dyDescent="0.25">
      <c r="A290" s="17"/>
      <c r="G290"/>
      <c r="H290"/>
      <c r="J290"/>
      <c r="K290"/>
      <c r="L290"/>
      <c r="M290"/>
      <c r="N290"/>
      <c r="P290"/>
      <c r="Q290"/>
      <c r="R290"/>
      <c r="S290"/>
      <c r="T290" s="54"/>
      <c r="U290" s="279"/>
      <c r="V290" s="279"/>
    </row>
    <row r="291" spans="1:22" ht="25.15" customHeight="1" x14ac:dyDescent="0.25">
      <c r="A291" s="17"/>
      <c r="G291"/>
      <c r="H291"/>
      <c r="J291"/>
      <c r="K291"/>
      <c r="L291"/>
      <c r="M291"/>
      <c r="N291"/>
      <c r="P291"/>
      <c r="Q291"/>
      <c r="R291"/>
      <c r="S291"/>
      <c r="T291" s="54"/>
      <c r="U291" s="279"/>
      <c r="V291" s="279"/>
    </row>
    <row r="292" spans="1:22" ht="25.15" customHeight="1" x14ac:dyDescent="0.25">
      <c r="A292" s="17"/>
      <c r="G292"/>
      <c r="H292"/>
      <c r="J292"/>
      <c r="K292"/>
      <c r="L292"/>
      <c r="M292"/>
      <c r="N292"/>
      <c r="P292"/>
      <c r="Q292"/>
      <c r="R292"/>
      <c r="S292"/>
      <c r="T292" s="54"/>
      <c r="U292" s="279"/>
      <c r="V292" s="279"/>
    </row>
    <row r="293" spans="1:22" ht="25.15" customHeight="1" x14ac:dyDescent="0.25">
      <c r="A293" s="17"/>
      <c r="G293"/>
      <c r="H293"/>
      <c r="J293"/>
      <c r="K293"/>
      <c r="L293"/>
      <c r="M293"/>
      <c r="N293"/>
      <c r="P293"/>
      <c r="Q293"/>
      <c r="R293"/>
      <c r="S293"/>
      <c r="T293" s="54"/>
      <c r="U293" s="279"/>
      <c r="V293" s="279"/>
    </row>
    <row r="294" spans="1:22" ht="25.15" customHeight="1" x14ac:dyDescent="0.25">
      <c r="A294" s="17"/>
      <c r="G294"/>
      <c r="H294"/>
      <c r="J294"/>
      <c r="K294"/>
      <c r="L294"/>
      <c r="M294"/>
      <c r="N294"/>
      <c r="P294"/>
      <c r="Q294"/>
      <c r="R294"/>
      <c r="S294"/>
      <c r="T294" s="54"/>
      <c r="U294" s="279"/>
      <c r="V294" s="279"/>
    </row>
    <row r="295" spans="1:22" ht="25.15" customHeight="1" x14ac:dyDescent="0.25">
      <c r="A295" s="17"/>
      <c r="G295"/>
      <c r="H295"/>
      <c r="J295"/>
      <c r="K295"/>
      <c r="L295"/>
      <c r="M295"/>
      <c r="N295"/>
      <c r="P295"/>
      <c r="Q295"/>
      <c r="R295"/>
      <c r="S295"/>
      <c r="T295" s="54"/>
      <c r="U295" s="279"/>
      <c r="V295" s="279"/>
    </row>
    <row r="296" spans="1:22" ht="25.15" customHeight="1" x14ac:dyDescent="0.25">
      <c r="A296" s="17"/>
      <c r="G296"/>
      <c r="H296"/>
      <c r="J296"/>
      <c r="K296"/>
      <c r="L296"/>
      <c r="M296"/>
      <c r="N296"/>
      <c r="P296"/>
      <c r="Q296"/>
      <c r="R296"/>
      <c r="S296"/>
      <c r="T296" s="54"/>
      <c r="U296" s="279"/>
      <c r="V296" s="279"/>
    </row>
    <row r="297" spans="1:22" ht="25.15" customHeight="1" x14ac:dyDescent="0.25">
      <c r="A297" s="17"/>
      <c r="G297"/>
      <c r="H297"/>
      <c r="J297"/>
      <c r="K297"/>
      <c r="L297"/>
      <c r="M297"/>
      <c r="N297"/>
      <c r="P297"/>
      <c r="Q297"/>
      <c r="R297"/>
      <c r="S297"/>
      <c r="T297" s="54"/>
      <c r="U297" s="279"/>
      <c r="V297" s="279"/>
    </row>
    <row r="298" spans="1:22" ht="25.15" customHeight="1" x14ac:dyDescent="0.25">
      <c r="A298" s="17"/>
      <c r="G298"/>
      <c r="H298"/>
      <c r="J298"/>
      <c r="K298"/>
      <c r="L298"/>
      <c r="M298"/>
      <c r="N298"/>
      <c r="P298"/>
      <c r="Q298"/>
      <c r="R298"/>
      <c r="S298"/>
      <c r="T298" s="54"/>
      <c r="U298" s="279"/>
      <c r="V298" s="279"/>
    </row>
    <row r="299" spans="1:22" ht="25.15" customHeight="1" x14ac:dyDescent="0.25">
      <c r="A299" s="17"/>
      <c r="G299"/>
      <c r="H299"/>
      <c r="J299"/>
      <c r="K299"/>
      <c r="L299"/>
      <c r="M299"/>
      <c r="N299"/>
      <c r="P299"/>
      <c r="Q299"/>
      <c r="R299"/>
      <c r="S299"/>
      <c r="T299" s="54"/>
      <c r="U299" s="279"/>
      <c r="V299" s="279"/>
    </row>
    <row r="300" spans="1:22" ht="25.15" customHeight="1" x14ac:dyDescent="0.25">
      <c r="A300" s="17"/>
      <c r="G300"/>
      <c r="H300"/>
      <c r="J300"/>
      <c r="K300"/>
      <c r="L300"/>
      <c r="M300"/>
      <c r="N300"/>
      <c r="P300"/>
      <c r="Q300"/>
      <c r="R300"/>
      <c r="S300"/>
      <c r="T300" s="54"/>
      <c r="U300" s="279"/>
      <c r="V300" s="279"/>
    </row>
    <row r="301" spans="1:22" ht="25.15" customHeight="1" x14ac:dyDescent="0.25">
      <c r="A301" s="17"/>
      <c r="G301"/>
      <c r="H301"/>
      <c r="J301"/>
      <c r="K301"/>
      <c r="L301"/>
      <c r="M301"/>
      <c r="N301"/>
      <c r="P301"/>
      <c r="Q301"/>
      <c r="R301"/>
      <c r="S301"/>
      <c r="T301" s="54"/>
      <c r="U301" s="279"/>
      <c r="V301" s="279"/>
    </row>
    <row r="302" spans="1:22" ht="25.15" customHeight="1" x14ac:dyDescent="0.25">
      <c r="A302" s="17"/>
      <c r="G302"/>
      <c r="H302"/>
      <c r="J302"/>
      <c r="K302"/>
      <c r="L302"/>
      <c r="M302"/>
      <c r="N302"/>
      <c r="P302"/>
      <c r="Q302"/>
      <c r="R302"/>
      <c r="S302"/>
      <c r="T302" s="54"/>
      <c r="U302" s="279"/>
      <c r="V302" s="279"/>
    </row>
    <row r="303" spans="1:22" ht="25.15" customHeight="1" x14ac:dyDescent="0.25">
      <c r="A303" s="17"/>
      <c r="G303"/>
      <c r="H303"/>
      <c r="J303"/>
      <c r="K303"/>
      <c r="L303"/>
      <c r="M303"/>
      <c r="N303"/>
      <c r="P303"/>
      <c r="Q303"/>
      <c r="R303"/>
      <c r="S303"/>
      <c r="T303" s="54"/>
      <c r="U303" s="279"/>
      <c r="V303" s="279"/>
    </row>
    <row r="304" spans="1:22" ht="25.15" customHeight="1" x14ac:dyDescent="0.25">
      <c r="A304" s="17"/>
      <c r="G304"/>
      <c r="H304"/>
      <c r="J304"/>
      <c r="K304"/>
      <c r="L304"/>
      <c r="M304"/>
      <c r="N304"/>
      <c r="P304"/>
      <c r="Q304"/>
      <c r="R304"/>
      <c r="S304"/>
      <c r="T304" s="54"/>
      <c r="U304" s="279"/>
      <c r="V304" s="279"/>
    </row>
    <row r="305" spans="1:22" ht="25.15" customHeight="1" x14ac:dyDescent="0.25">
      <c r="A305" s="17"/>
      <c r="G305"/>
      <c r="H305"/>
      <c r="J305"/>
      <c r="K305"/>
      <c r="L305"/>
      <c r="M305"/>
      <c r="N305"/>
      <c r="P305"/>
      <c r="Q305"/>
      <c r="R305"/>
      <c r="S305"/>
      <c r="T305" s="54"/>
      <c r="U305" s="279"/>
      <c r="V305" s="279"/>
    </row>
    <row r="306" spans="1:22" ht="25.15" customHeight="1" x14ac:dyDescent="0.25">
      <c r="A306" s="17"/>
      <c r="G306"/>
      <c r="H306"/>
      <c r="J306"/>
      <c r="K306"/>
      <c r="L306"/>
      <c r="M306"/>
      <c r="N306"/>
      <c r="P306"/>
      <c r="Q306"/>
      <c r="R306"/>
      <c r="S306"/>
      <c r="T306" s="54"/>
      <c r="U306" s="279"/>
      <c r="V306" s="279"/>
    </row>
    <row r="307" spans="1:22" ht="25.15" customHeight="1" x14ac:dyDescent="0.25">
      <c r="A307" s="17"/>
      <c r="G307"/>
      <c r="H307"/>
      <c r="J307"/>
      <c r="K307"/>
      <c r="L307"/>
      <c r="M307"/>
      <c r="N307"/>
      <c r="P307"/>
      <c r="Q307"/>
      <c r="R307"/>
      <c r="S307"/>
      <c r="T307" s="54"/>
      <c r="U307" s="279"/>
      <c r="V307" s="279"/>
    </row>
    <row r="308" spans="1:22" ht="25.15" customHeight="1" x14ac:dyDescent="0.25">
      <c r="A308" s="17"/>
      <c r="G308"/>
      <c r="H308"/>
      <c r="J308"/>
      <c r="K308"/>
      <c r="L308"/>
      <c r="M308"/>
      <c r="N308"/>
      <c r="P308"/>
      <c r="Q308"/>
      <c r="R308"/>
      <c r="S308"/>
      <c r="T308" s="54"/>
      <c r="U308" s="279"/>
      <c r="V308" s="279"/>
    </row>
    <row r="309" spans="1:22" ht="25.15" customHeight="1" x14ac:dyDescent="0.25">
      <c r="A309" s="17"/>
      <c r="G309"/>
      <c r="H309"/>
      <c r="J309"/>
      <c r="K309"/>
      <c r="L309"/>
      <c r="M309"/>
      <c r="N309"/>
      <c r="P309"/>
      <c r="Q309"/>
      <c r="R309"/>
      <c r="S309"/>
      <c r="T309" s="54"/>
      <c r="U309" s="279"/>
      <c r="V309" s="279"/>
    </row>
    <row r="310" spans="1:22" ht="25.15" customHeight="1" x14ac:dyDescent="0.25">
      <c r="A310" s="17"/>
      <c r="G310"/>
      <c r="H310"/>
      <c r="J310"/>
      <c r="K310"/>
      <c r="L310"/>
      <c r="M310"/>
      <c r="N310"/>
      <c r="P310"/>
      <c r="Q310"/>
      <c r="R310"/>
      <c r="S310"/>
      <c r="T310" s="54"/>
      <c r="U310" s="279"/>
      <c r="V310" s="279"/>
    </row>
    <row r="311" spans="1:22" ht="25.15" customHeight="1" x14ac:dyDescent="0.25">
      <c r="A311" s="17"/>
      <c r="G311"/>
      <c r="H311"/>
      <c r="J311"/>
      <c r="K311"/>
      <c r="L311"/>
      <c r="M311"/>
      <c r="N311"/>
      <c r="P311"/>
      <c r="Q311"/>
      <c r="R311"/>
      <c r="S311"/>
      <c r="T311" s="54"/>
      <c r="U311" s="279"/>
      <c r="V311" s="279"/>
    </row>
    <row r="312" spans="1:22" ht="25.15" customHeight="1" x14ac:dyDescent="0.25">
      <c r="A312" s="17"/>
      <c r="G312"/>
      <c r="H312"/>
      <c r="J312"/>
      <c r="K312"/>
      <c r="L312"/>
      <c r="M312"/>
      <c r="N312"/>
      <c r="P312"/>
      <c r="Q312"/>
      <c r="R312"/>
      <c r="S312"/>
      <c r="T312" s="54"/>
      <c r="U312" s="279"/>
      <c r="V312" s="279"/>
    </row>
    <row r="313" spans="1:22" ht="25.15" customHeight="1" x14ac:dyDescent="0.25">
      <c r="A313" s="17"/>
      <c r="G313"/>
      <c r="H313"/>
      <c r="J313"/>
      <c r="K313"/>
      <c r="L313"/>
      <c r="M313"/>
      <c r="N313"/>
      <c r="P313"/>
      <c r="Q313"/>
      <c r="R313"/>
      <c r="S313"/>
      <c r="T313" s="54"/>
      <c r="U313" s="279"/>
      <c r="V313" s="279"/>
    </row>
    <row r="314" spans="1:22" ht="25.15" customHeight="1" x14ac:dyDescent="0.25">
      <c r="A314" s="17"/>
      <c r="G314"/>
      <c r="H314"/>
      <c r="J314"/>
      <c r="K314"/>
      <c r="L314"/>
      <c r="M314"/>
      <c r="N314"/>
      <c r="P314"/>
      <c r="Q314"/>
      <c r="R314"/>
      <c r="S314"/>
      <c r="T314" s="54"/>
      <c r="U314" s="279"/>
      <c r="V314" s="279"/>
    </row>
    <row r="315" spans="1:22" ht="25.15" customHeight="1" x14ac:dyDescent="0.25">
      <c r="A315" s="17"/>
      <c r="G315"/>
      <c r="H315"/>
      <c r="J315"/>
      <c r="K315"/>
      <c r="L315"/>
      <c r="M315"/>
      <c r="N315"/>
      <c r="P315"/>
      <c r="Q315"/>
      <c r="R315"/>
      <c r="S315"/>
      <c r="T315" s="54"/>
      <c r="U315" s="279"/>
      <c r="V315" s="279"/>
    </row>
    <row r="316" spans="1:22" ht="25.15" customHeight="1" x14ac:dyDescent="0.25">
      <c r="A316" s="17"/>
      <c r="G316"/>
      <c r="H316"/>
      <c r="J316"/>
      <c r="K316"/>
      <c r="L316"/>
      <c r="M316"/>
      <c r="N316"/>
      <c r="P316"/>
      <c r="Q316"/>
      <c r="R316"/>
      <c r="S316"/>
      <c r="T316" s="54"/>
      <c r="U316" s="279"/>
      <c r="V316" s="279"/>
    </row>
    <row r="317" spans="1:22" ht="25.15" customHeight="1" x14ac:dyDescent="0.25">
      <c r="A317" s="17"/>
      <c r="G317"/>
      <c r="H317"/>
      <c r="J317"/>
      <c r="K317"/>
      <c r="L317"/>
      <c r="M317"/>
      <c r="N317"/>
      <c r="P317"/>
      <c r="Q317"/>
      <c r="R317"/>
      <c r="S317"/>
      <c r="T317" s="54"/>
      <c r="U317" s="279"/>
      <c r="V317" s="279"/>
    </row>
    <row r="318" spans="1:22" ht="25.15" customHeight="1" x14ac:dyDescent="0.25">
      <c r="A318" s="17"/>
      <c r="G318"/>
      <c r="H318"/>
      <c r="J318"/>
      <c r="K318"/>
      <c r="L318"/>
      <c r="M318"/>
      <c r="N318"/>
      <c r="P318"/>
      <c r="Q318"/>
      <c r="R318"/>
      <c r="S318"/>
      <c r="T318" s="54"/>
      <c r="U318" s="279"/>
      <c r="V318" s="279"/>
    </row>
    <row r="319" spans="1:22" ht="25.15" customHeight="1" x14ac:dyDescent="0.25">
      <c r="A319" s="17"/>
      <c r="G319"/>
      <c r="H319"/>
      <c r="J319"/>
      <c r="K319"/>
      <c r="L319"/>
      <c r="M319"/>
      <c r="N319"/>
      <c r="P319"/>
      <c r="Q319"/>
      <c r="R319"/>
      <c r="S319"/>
      <c r="T319" s="54"/>
      <c r="U319" s="279"/>
      <c r="V319" s="279"/>
    </row>
    <row r="320" spans="1:22" ht="25.15" customHeight="1" x14ac:dyDescent="0.25">
      <c r="A320" s="17"/>
      <c r="G320"/>
      <c r="H320"/>
      <c r="J320"/>
      <c r="K320"/>
      <c r="L320"/>
      <c r="M320"/>
      <c r="N320"/>
      <c r="P320"/>
      <c r="Q320"/>
      <c r="R320"/>
      <c r="S320"/>
      <c r="T320" s="54"/>
      <c r="U320" s="279"/>
      <c r="V320" s="279"/>
    </row>
    <row r="321" spans="1:22" ht="25.15" customHeight="1" x14ac:dyDescent="0.25">
      <c r="A321" s="17"/>
      <c r="G321"/>
      <c r="H321"/>
      <c r="J321"/>
      <c r="K321"/>
      <c r="L321"/>
      <c r="M321"/>
      <c r="N321"/>
      <c r="P321"/>
      <c r="Q321"/>
      <c r="R321"/>
      <c r="S321"/>
      <c r="T321" s="54"/>
      <c r="U321" s="279"/>
      <c r="V321" s="279"/>
    </row>
    <row r="322" spans="1:22" ht="25.15" customHeight="1" x14ac:dyDescent="0.25">
      <c r="A322" s="17"/>
      <c r="G322"/>
      <c r="H322"/>
      <c r="J322"/>
      <c r="K322"/>
      <c r="L322"/>
      <c r="M322"/>
      <c r="N322"/>
      <c r="P322"/>
      <c r="Q322"/>
      <c r="R322"/>
      <c r="S322"/>
      <c r="T322" s="54"/>
      <c r="U322" s="279"/>
      <c r="V322" s="279"/>
    </row>
    <row r="323" spans="1:22" ht="25.15" customHeight="1" x14ac:dyDescent="0.25">
      <c r="A323" s="17"/>
      <c r="G323"/>
      <c r="H323"/>
      <c r="J323"/>
      <c r="K323"/>
      <c r="L323"/>
      <c r="M323"/>
      <c r="N323"/>
      <c r="P323"/>
      <c r="Q323"/>
      <c r="R323"/>
      <c r="S323"/>
      <c r="T323" s="54"/>
      <c r="U323" s="279"/>
      <c r="V323" s="279"/>
    </row>
    <row r="324" spans="1:22" ht="25.15" customHeight="1" x14ac:dyDescent="0.25">
      <c r="A324" s="17"/>
      <c r="G324"/>
      <c r="H324"/>
      <c r="J324"/>
      <c r="K324"/>
      <c r="L324"/>
      <c r="M324"/>
      <c r="N324"/>
      <c r="P324"/>
      <c r="Q324"/>
      <c r="R324"/>
      <c r="S324"/>
      <c r="T324" s="54"/>
      <c r="U324" s="279"/>
      <c r="V324" s="279"/>
    </row>
    <row r="325" spans="1:22" ht="25.15" customHeight="1" x14ac:dyDescent="0.25">
      <c r="A325" s="17"/>
      <c r="G325"/>
      <c r="H325"/>
      <c r="J325"/>
      <c r="K325"/>
      <c r="L325"/>
      <c r="M325"/>
      <c r="N325"/>
      <c r="P325"/>
      <c r="Q325"/>
      <c r="R325"/>
      <c r="S325"/>
      <c r="T325" s="54"/>
      <c r="U325" s="279"/>
      <c r="V325" s="279"/>
    </row>
    <row r="326" spans="1:22" ht="25.15" customHeight="1" x14ac:dyDescent="0.25">
      <c r="A326" s="17"/>
      <c r="G326"/>
      <c r="H326"/>
      <c r="J326"/>
      <c r="K326"/>
      <c r="L326"/>
      <c r="M326"/>
      <c r="N326"/>
      <c r="P326"/>
      <c r="Q326"/>
      <c r="R326"/>
      <c r="S326"/>
      <c r="T326" s="54"/>
      <c r="U326" s="279"/>
      <c r="V326" s="279"/>
    </row>
    <row r="327" spans="1:22" ht="25.15" customHeight="1" x14ac:dyDescent="0.25">
      <c r="A327" s="17"/>
      <c r="G327"/>
      <c r="H327"/>
      <c r="J327"/>
      <c r="K327"/>
      <c r="L327"/>
      <c r="M327"/>
      <c r="N327"/>
      <c r="P327"/>
      <c r="Q327"/>
      <c r="R327"/>
      <c r="S327"/>
      <c r="T327" s="54"/>
      <c r="U327" s="279"/>
      <c r="V327" s="279"/>
    </row>
    <row r="328" spans="1:22" ht="25.15" customHeight="1" x14ac:dyDescent="0.25">
      <c r="A328" s="17"/>
      <c r="G328"/>
      <c r="H328"/>
      <c r="J328"/>
      <c r="K328"/>
      <c r="L328"/>
      <c r="M328"/>
      <c r="N328"/>
      <c r="P328"/>
      <c r="Q328"/>
      <c r="R328"/>
      <c r="S328"/>
      <c r="T328" s="54"/>
      <c r="U328" s="279"/>
      <c r="V328" s="279"/>
    </row>
    <row r="329" spans="1:22" ht="25.15" customHeight="1" x14ac:dyDescent="0.25">
      <c r="A329" s="17"/>
      <c r="G329"/>
      <c r="H329"/>
      <c r="J329"/>
      <c r="K329"/>
      <c r="L329"/>
      <c r="M329"/>
      <c r="N329"/>
      <c r="P329"/>
      <c r="Q329"/>
      <c r="R329"/>
      <c r="S329"/>
      <c r="T329" s="54"/>
      <c r="U329" s="279"/>
      <c r="V329" s="279"/>
    </row>
    <row r="330" spans="1:22" ht="25.15" customHeight="1" x14ac:dyDescent="0.25">
      <c r="A330" s="17"/>
      <c r="G330"/>
      <c r="H330"/>
      <c r="J330"/>
      <c r="K330"/>
      <c r="L330"/>
      <c r="M330"/>
      <c r="N330"/>
      <c r="P330"/>
      <c r="Q330"/>
      <c r="R330"/>
      <c r="S330"/>
      <c r="T330" s="54"/>
      <c r="U330" s="279"/>
      <c r="V330" s="279"/>
    </row>
    <row r="331" spans="1:22" ht="25.15" customHeight="1" x14ac:dyDescent="0.25">
      <c r="A331" s="17"/>
      <c r="G331"/>
      <c r="H331"/>
      <c r="J331"/>
      <c r="K331"/>
      <c r="L331"/>
      <c r="M331"/>
      <c r="N331"/>
      <c r="P331"/>
      <c r="Q331"/>
      <c r="R331"/>
      <c r="S331"/>
      <c r="T331" s="54"/>
      <c r="U331" s="279"/>
      <c r="V331" s="279"/>
    </row>
    <row r="332" spans="1:22" ht="25.15" customHeight="1" x14ac:dyDescent="0.25">
      <c r="A332" s="17"/>
      <c r="G332"/>
      <c r="H332"/>
      <c r="J332"/>
      <c r="K332"/>
      <c r="L332"/>
      <c r="M332"/>
      <c r="N332"/>
      <c r="P332"/>
      <c r="Q332"/>
      <c r="R332"/>
      <c r="S332"/>
      <c r="T332" s="54"/>
      <c r="U332" s="279"/>
      <c r="V332" s="279"/>
    </row>
    <row r="333" spans="1:22" ht="25.15" customHeight="1" x14ac:dyDescent="0.25">
      <c r="A333" s="17"/>
      <c r="G333"/>
      <c r="H333"/>
      <c r="J333"/>
      <c r="K333"/>
      <c r="L333"/>
      <c r="M333"/>
      <c r="N333"/>
      <c r="P333"/>
      <c r="Q333"/>
      <c r="R333"/>
      <c r="S333"/>
      <c r="T333" s="54"/>
      <c r="U333" s="279"/>
      <c r="V333" s="279"/>
    </row>
    <row r="334" spans="1:22" ht="25.15" customHeight="1" x14ac:dyDescent="0.25">
      <c r="A334" s="17"/>
      <c r="G334"/>
      <c r="H334"/>
      <c r="J334"/>
      <c r="K334"/>
      <c r="L334"/>
      <c r="M334"/>
      <c r="N334"/>
      <c r="P334"/>
      <c r="Q334"/>
      <c r="R334"/>
      <c r="S334"/>
      <c r="T334" s="54"/>
      <c r="U334" s="279"/>
      <c r="V334" s="279"/>
    </row>
    <row r="335" spans="1:22" ht="25.15" customHeight="1" x14ac:dyDescent="0.25">
      <c r="A335" s="17"/>
      <c r="G335"/>
      <c r="H335"/>
      <c r="J335"/>
      <c r="K335"/>
      <c r="L335"/>
      <c r="M335"/>
      <c r="N335"/>
      <c r="P335"/>
      <c r="Q335"/>
      <c r="R335"/>
      <c r="S335"/>
      <c r="T335" s="54"/>
      <c r="U335" s="279"/>
      <c r="V335" s="279"/>
    </row>
    <row r="336" spans="1:22" ht="25.15" customHeight="1" x14ac:dyDescent="0.25">
      <c r="A336" s="17"/>
      <c r="G336"/>
      <c r="H336"/>
      <c r="J336"/>
      <c r="K336"/>
      <c r="L336"/>
      <c r="M336"/>
      <c r="N336"/>
      <c r="P336"/>
      <c r="Q336"/>
      <c r="R336"/>
      <c r="S336"/>
      <c r="T336" s="54"/>
      <c r="U336" s="279"/>
      <c r="V336" s="279"/>
    </row>
    <row r="337" spans="1:22" ht="25.15" customHeight="1" x14ac:dyDescent="0.25">
      <c r="A337" s="17"/>
      <c r="G337"/>
      <c r="H337"/>
      <c r="J337"/>
      <c r="K337"/>
      <c r="L337"/>
      <c r="M337"/>
      <c r="N337"/>
      <c r="P337"/>
      <c r="Q337"/>
      <c r="R337"/>
      <c r="S337"/>
      <c r="T337" s="54"/>
      <c r="U337" s="279"/>
      <c r="V337" s="279"/>
    </row>
    <row r="338" spans="1:22" ht="25.15" customHeight="1" x14ac:dyDescent="0.25">
      <c r="A338" s="17"/>
      <c r="G338"/>
      <c r="H338"/>
      <c r="J338"/>
      <c r="K338"/>
      <c r="L338"/>
      <c r="M338"/>
      <c r="N338"/>
      <c r="P338"/>
      <c r="Q338"/>
      <c r="R338"/>
      <c r="S338"/>
      <c r="T338" s="54"/>
      <c r="U338" s="279"/>
      <c r="V338" s="279"/>
    </row>
    <row r="339" spans="1:22" ht="25.15" customHeight="1" x14ac:dyDescent="0.25">
      <c r="A339" s="17"/>
      <c r="G339"/>
      <c r="H339"/>
      <c r="J339"/>
      <c r="K339"/>
      <c r="L339"/>
      <c r="M339"/>
      <c r="N339"/>
      <c r="P339"/>
      <c r="Q339"/>
      <c r="R339"/>
      <c r="S339"/>
      <c r="T339" s="54"/>
      <c r="U339" s="279"/>
      <c r="V339" s="279"/>
    </row>
    <row r="340" spans="1:22" ht="25.15" customHeight="1" x14ac:dyDescent="0.25">
      <c r="A340" s="17"/>
      <c r="G340"/>
      <c r="H340"/>
      <c r="J340"/>
      <c r="K340"/>
      <c r="L340"/>
      <c r="M340"/>
      <c r="N340"/>
      <c r="P340"/>
      <c r="Q340"/>
      <c r="R340"/>
      <c r="S340"/>
      <c r="T340" s="54"/>
      <c r="U340" s="279"/>
      <c r="V340" s="279"/>
    </row>
    <row r="341" spans="1:22" ht="25.15" customHeight="1" x14ac:dyDescent="0.25">
      <c r="A341" s="17"/>
      <c r="G341"/>
      <c r="H341"/>
      <c r="J341"/>
      <c r="K341"/>
      <c r="L341"/>
      <c r="M341"/>
      <c r="N341"/>
      <c r="P341"/>
      <c r="Q341"/>
      <c r="R341"/>
      <c r="S341"/>
      <c r="T341" s="54"/>
      <c r="U341" s="279"/>
      <c r="V341" s="279"/>
    </row>
    <row r="342" spans="1:22" ht="25.15" customHeight="1" x14ac:dyDescent="0.25">
      <c r="A342" s="17"/>
      <c r="G342"/>
      <c r="H342"/>
      <c r="J342"/>
      <c r="K342"/>
      <c r="L342"/>
      <c r="M342"/>
      <c r="N342"/>
      <c r="P342"/>
      <c r="Q342"/>
      <c r="R342"/>
      <c r="S342"/>
      <c r="T342" s="54"/>
      <c r="U342" s="279"/>
      <c r="V342" s="279"/>
    </row>
    <row r="343" spans="1:22" ht="25.15" customHeight="1" x14ac:dyDescent="0.25">
      <c r="A343" s="17"/>
      <c r="G343"/>
      <c r="H343"/>
      <c r="J343"/>
      <c r="K343"/>
      <c r="L343"/>
      <c r="M343"/>
      <c r="N343"/>
      <c r="P343"/>
      <c r="Q343"/>
      <c r="R343"/>
      <c r="S343"/>
      <c r="T343" s="54"/>
      <c r="U343" s="279"/>
      <c r="V343" s="279"/>
    </row>
    <row r="344" spans="1:22" ht="25.15" customHeight="1" x14ac:dyDescent="0.25">
      <c r="A344" s="17"/>
      <c r="G344"/>
      <c r="H344"/>
      <c r="J344"/>
      <c r="K344"/>
      <c r="L344"/>
      <c r="M344"/>
      <c r="N344"/>
      <c r="P344"/>
      <c r="Q344"/>
      <c r="R344"/>
      <c r="S344"/>
      <c r="T344" s="54"/>
      <c r="U344" s="279"/>
      <c r="V344" s="279"/>
    </row>
    <row r="345" spans="1:22" ht="25.15" customHeight="1" x14ac:dyDescent="0.25">
      <c r="A345" s="17"/>
      <c r="G345"/>
      <c r="H345"/>
      <c r="J345"/>
      <c r="K345"/>
      <c r="L345"/>
      <c r="M345"/>
      <c r="N345"/>
      <c r="P345"/>
      <c r="Q345"/>
      <c r="R345"/>
      <c r="S345"/>
      <c r="T345" s="54"/>
      <c r="U345" s="279"/>
      <c r="V345" s="279"/>
    </row>
    <row r="346" spans="1:22" ht="25.15" customHeight="1" x14ac:dyDescent="0.25">
      <c r="A346" s="17"/>
      <c r="G346"/>
      <c r="H346"/>
      <c r="J346"/>
      <c r="K346"/>
      <c r="L346"/>
      <c r="M346"/>
      <c r="N346"/>
      <c r="P346"/>
      <c r="Q346"/>
      <c r="R346"/>
      <c r="S346"/>
      <c r="T346" s="54"/>
      <c r="U346" s="279"/>
      <c r="V346" s="279"/>
    </row>
    <row r="347" spans="1:22" ht="25.15" customHeight="1" x14ac:dyDescent="0.25">
      <c r="A347" s="17"/>
      <c r="G347"/>
      <c r="H347"/>
      <c r="J347"/>
      <c r="K347"/>
      <c r="L347"/>
      <c r="M347"/>
      <c r="N347"/>
      <c r="P347"/>
      <c r="Q347"/>
      <c r="R347"/>
      <c r="S347"/>
      <c r="T347" s="54"/>
      <c r="U347" s="279"/>
      <c r="V347" s="279"/>
    </row>
    <row r="348" spans="1:22" ht="25.15" customHeight="1" x14ac:dyDescent="0.25">
      <c r="A348" s="17"/>
      <c r="G348"/>
      <c r="H348"/>
      <c r="J348"/>
      <c r="K348"/>
      <c r="L348"/>
      <c r="M348"/>
      <c r="N348"/>
      <c r="P348"/>
      <c r="Q348"/>
      <c r="R348"/>
      <c r="S348"/>
      <c r="T348" s="54"/>
      <c r="U348" s="279"/>
      <c r="V348" s="279"/>
    </row>
    <row r="349" spans="1:22" ht="25.15" customHeight="1" x14ac:dyDescent="0.25">
      <c r="A349" s="17"/>
      <c r="G349"/>
      <c r="H349"/>
      <c r="J349"/>
      <c r="K349"/>
      <c r="L349"/>
      <c r="M349"/>
      <c r="N349"/>
      <c r="P349"/>
      <c r="Q349"/>
      <c r="R349"/>
      <c r="S349"/>
      <c r="T349" s="54"/>
      <c r="U349" s="279"/>
      <c r="V349" s="279"/>
    </row>
    <row r="350" spans="1:22" ht="25.15" customHeight="1" x14ac:dyDescent="0.25">
      <c r="A350" s="17"/>
      <c r="G350"/>
      <c r="H350"/>
      <c r="J350"/>
      <c r="K350"/>
      <c r="L350"/>
      <c r="M350"/>
      <c r="N350"/>
      <c r="P350"/>
      <c r="Q350"/>
      <c r="R350"/>
      <c r="S350"/>
      <c r="T350" s="54"/>
      <c r="U350" s="279"/>
      <c r="V350" s="279"/>
    </row>
    <row r="351" spans="1:22" ht="25.15" customHeight="1" x14ac:dyDescent="0.25">
      <c r="A351" s="17"/>
      <c r="G351"/>
      <c r="H351"/>
      <c r="J351"/>
      <c r="K351"/>
      <c r="L351"/>
      <c r="M351"/>
      <c r="N351"/>
      <c r="P351"/>
      <c r="Q351"/>
      <c r="R351"/>
      <c r="S351"/>
      <c r="T351" s="54"/>
      <c r="U351" s="279"/>
      <c r="V351" s="279"/>
    </row>
    <row r="352" spans="1:22" ht="25.15" customHeight="1" x14ac:dyDescent="0.25">
      <c r="A352" s="17"/>
      <c r="G352"/>
      <c r="H352"/>
      <c r="J352"/>
      <c r="K352"/>
      <c r="L352"/>
      <c r="M352"/>
      <c r="N352"/>
      <c r="P352"/>
      <c r="Q352"/>
      <c r="R352"/>
      <c r="S352"/>
      <c r="T352" s="54"/>
      <c r="U352" s="279"/>
      <c r="V352" s="279"/>
    </row>
    <row r="353" spans="1:22" ht="25.15" customHeight="1" x14ac:dyDescent="0.25">
      <c r="A353" s="17"/>
      <c r="G353"/>
      <c r="H353"/>
      <c r="J353"/>
      <c r="K353"/>
      <c r="L353"/>
      <c r="M353"/>
      <c r="N353"/>
      <c r="P353"/>
      <c r="Q353"/>
      <c r="R353"/>
      <c r="S353"/>
      <c r="T353" s="54"/>
      <c r="U353" s="279"/>
      <c r="V353" s="279"/>
    </row>
    <row r="354" spans="1:22" ht="25.15" customHeight="1" x14ac:dyDescent="0.25">
      <c r="A354" s="17"/>
      <c r="G354"/>
      <c r="H354"/>
      <c r="J354"/>
      <c r="K354"/>
      <c r="L354"/>
      <c r="M354"/>
      <c r="N354"/>
      <c r="P354"/>
      <c r="Q354"/>
      <c r="R354"/>
      <c r="S354"/>
      <c r="T354" s="54"/>
      <c r="U354" s="279"/>
      <c r="V354" s="279"/>
    </row>
    <row r="355" spans="1:22" ht="25.15" customHeight="1" x14ac:dyDescent="0.25">
      <c r="A355" s="17"/>
      <c r="G355"/>
      <c r="H355"/>
      <c r="J355"/>
      <c r="K355"/>
      <c r="L355"/>
      <c r="M355"/>
      <c r="N355"/>
      <c r="P355"/>
      <c r="Q355"/>
      <c r="R355"/>
      <c r="S355"/>
      <c r="T355" s="54"/>
      <c r="U355" s="279"/>
      <c r="V355" s="279"/>
    </row>
    <row r="356" spans="1:22" ht="25.15" customHeight="1" x14ac:dyDescent="0.25">
      <c r="A356" s="17"/>
      <c r="G356"/>
      <c r="H356"/>
      <c r="J356"/>
      <c r="K356"/>
      <c r="L356"/>
      <c r="M356"/>
      <c r="N356"/>
      <c r="P356"/>
      <c r="Q356"/>
      <c r="R356"/>
      <c r="S356"/>
      <c r="T356" s="54"/>
      <c r="U356" s="279"/>
      <c r="V356" s="279"/>
    </row>
    <row r="357" spans="1:22" ht="25.15" customHeight="1" x14ac:dyDescent="0.25">
      <c r="A357" s="17"/>
      <c r="G357"/>
      <c r="H357"/>
      <c r="J357"/>
      <c r="K357"/>
      <c r="L357"/>
      <c r="M357"/>
      <c r="N357"/>
      <c r="P357"/>
      <c r="Q357"/>
      <c r="R357"/>
      <c r="S357"/>
      <c r="T357" s="54"/>
      <c r="U357" s="279"/>
      <c r="V357" s="279"/>
    </row>
    <row r="358" spans="1:22" ht="25.15" customHeight="1" x14ac:dyDescent="0.25">
      <c r="A358" s="17"/>
      <c r="G358"/>
      <c r="H358"/>
      <c r="J358"/>
      <c r="K358"/>
      <c r="L358"/>
      <c r="M358"/>
      <c r="N358"/>
      <c r="P358"/>
      <c r="Q358"/>
      <c r="R358"/>
      <c r="S358"/>
      <c r="T358" s="54"/>
      <c r="U358" s="279"/>
      <c r="V358" s="279"/>
    </row>
    <row r="359" spans="1:22" ht="25.15" customHeight="1" x14ac:dyDescent="0.25">
      <c r="A359" s="17"/>
      <c r="G359"/>
      <c r="H359"/>
      <c r="J359"/>
      <c r="K359"/>
      <c r="L359"/>
      <c r="M359"/>
      <c r="N359"/>
      <c r="P359"/>
      <c r="Q359"/>
      <c r="R359"/>
      <c r="S359"/>
      <c r="T359" s="54"/>
      <c r="U359" s="279"/>
      <c r="V359" s="279"/>
    </row>
    <row r="360" spans="1:22" ht="25.15" customHeight="1" x14ac:dyDescent="0.25">
      <c r="A360" s="17"/>
      <c r="G360"/>
      <c r="H360"/>
      <c r="J360"/>
      <c r="K360"/>
      <c r="L360"/>
      <c r="M360"/>
      <c r="N360"/>
      <c r="P360"/>
      <c r="Q360"/>
      <c r="R360"/>
      <c r="S360"/>
      <c r="T360" s="54"/>
      <c r="U360" s="279"/>
      <c r="V360" s="279"/>
    </row>
    <row r="361" spans="1:22" ht="25.15" customHeight="1" x14ac:dyDescent="0.25">
      <c r="A361" s="17"/>
      <c r="G361"/>
      <c r="H361"/>
      <c r="J361"/>
      <c r="K361"/>
      <c r="L361"/>
      <c r="M361"/>
      <c r="N361"/>
      <c r="P361"/>
      <c r="Q361"/>
      <c r="R361"/>
      <c r="S361"/>
      <c r="T361" s="54"/>
      <c r="U361" s="279"/>
      <c r="V361" s="279"/>
    </row>
    <row r="362" spans="1:22" ht="25.15" customHeight="1" x14ac:dyDescent="0.25">
      <c r="A362" s="17"/>
      <c r="G362"/>
      <c r="H362"/>
      <c r="J362"/>
      <c r="K362"/>
      <c r="L362"/>
      <c r="M362"/>
      <c r="N362"/>
      <c r="P362"/>
      <c r="Q362"/>
      <c r="R362"/>
      <c r="S362"/>
      <c r="T362" s="54"/>
      <c r="U362" s="279"/>
      <c r="V362" s="279"/>
    </row>
    <row r="363" spans="1:22" ht="25.15" customHeight="1" x14ac:dyDescent="0.25">
      <c r="A363" s="17"/>
      <c r="G363"/>
      <c r="H363"/>
      <c r="J363"/>
      <c r="K363"/>
      <c r="L363"/>
      <c r="M363"/>
      <c r="N363"/>
      <c r="P363"/>
      <c r="Q363"/>
      <c r="R363"/>
      <c r="S363"/>
      <c r="T363" s="54"/>
      <c r="U363" s="279"/>
      <c r="V363" s="279"/>
    </row>
    <row r="364" spans="1:22" ht="25.15" customHeight="1" x14ac:dyDescent="0.25">
      <c r="A364" s="17"/>
      <c r="G364"/>
      <c r="H364"/>
      <c r="J364"/>
      <c r="K364"/>
      <c r="L364"/>
      <c r="M364"/>
      <c r="N364"/>
      <c r="P364"/>
      <c r="Q364"/>
      <c r="R364"/>
      <c r="S364"/>
      <c r="T364" s="54"/>
      <c r="U364" s="279"/>
      <c r="V364" s="279"/>
    </row>
    <row r="365" spans="1:22" ht="25.15" customHeight="1" x14ac:dyDescent="0.25">
      <c r="A365" s="17"/>
      <c r="G365"/>
      <c r="H365"/>
      <c r="J365"/>
      <c r="K365"/>
      <c r="L365"/>
      <c r="M365"/>
      <c r="N365"/>
      <c r="P365"/>
      <c r="Q365"/>
      <c r="R365"/>
      <c r="S365"/>
      <c r="T365" s="54"/>
      <c r="U365" s="279"/>
      <c r="V365" s="279"/>
    </row>
    <row r="366" spans="1:22" ht="25.15" customHeight="1" x14ac:dyDescent="0.25">
      <c r="A366" s="17"/>
      <c r="G366"/>
      <c r="H366"/>
      <c r="J366"/>
      <c r="K366"/>
      <c r="L366"/>
      <c r="M366"/>
      <c r="N366"/>
      <c r="P366"/>
      <c r="Q366"/>
      <c r="R366"/>
      <c r="S366"/>
      <c r="T366" s="54"/>
      <c r="U366" s="279"/>
      <c r="V366" s="279"/>
    </row>
    <row r="367" spans="1:22" ht="25.15" customHeight="1" x14ac:dyDescent="0.25">
      <c r="A367" s="17"/>
      <c r="G367"/>
      <c r="H367"/>
      <c r="J367"/>
      <c r="K367"/>
      <c r="L367"/>
      <c r="M367"/>
      <c r="N367"/>
      <c r="P367"/>
      <c r="Q367"/>
      <c r="R367"/>
      <c r="S367"/>
      <c r="T367" s="54"/>
      <c r="U367" s="279"/>
      <c r="V367" s="279"/>
    </row>
    <row r="368" spans="1:22" ht="25.15" customHeight="1" x14ac:dyDescent="0.25">
      <c r="A368" s="17"/>
      <c r="G368"/>
      <c r="H368"/>
      <c r="J368"/>
      <c r="K368"/>
      <c r="L368"/>
      <c r="M368"/>
      <c r="N368"/>
      <c r="P368"/>
      <c r="Q368"/>
      <c r="R368"/>
      <c r="S368"/>
      <c r="T368" s="54"/>
      <c r="U368" s="279"/>
      <c r="V368" s="279"/>
    </row>
    <row r="369" spans="1:22" ht="25.15" customHeight="1" x14ac:dyDescent="0.25">
      <c r="A369" s="17"/>
      <c r="G369"/>
      <c r="H369"/>
      <c r="J369"/>
      <c r="K369"/>
      <c r="L369"/>
      <c r="M369"/>
      <c r="N369"/>
      <c r="P369"/>
      <c r="Q369"/>
      <c r="R369"/>
      <c r="S369"/>
      <c r="T369" s="54"/>
      <c r="U369" s="279"/>
      <c r="V369" s="279"/>
    </row>
    <row r="370" spans="1:22" ht="25.15" customHeight="1" x14ac:dyDescent="0.25">
      <c r="A370" s="17"/>
      <c r="G370"/>
      <c r="H370"/>
      <c r="J370"/>
      <c r="K370"/>
      <c r="L370"/>
      <c r="M370"/>
      <c r="N370"/>
      <c r="P370"/>
      <c r="Q370"/>
      <c r="R370"/>
      <c r="S370"/>
      <c r="T370" s="54"/>
      <c r="U370" s="279"/>
      <c r="V370" s="279"/>
    </row>
    <row r="371" spans="1:22" ht="25.15" customHeight="1" x14ac:dyDescent="0.25">
      <c r="A371" s="17"/>
      <c r="G371"/>
      <c r="H371"/>
      <c r="J371"/>
      <c r="K371"/>
      <c r="L371"/>
      <c r="M371"/>
      <c r="N371"/>
      <c r="P371"/>
      <c r="Q371"/>
      <c r="R371"/>
      <c r="S371"/>
      <c r="T371" s="54"/>
      <c r="U371" s="279"/>
      <c r="V371" s="279"/>
    </row>
    <row r="372" spans="1:22" ht="25.15" customHeight="1" x14ac:dyDescent="0.25">
      <c r="A372" s="17"/>
      <c r="G372"/>
      <c r="H372"/>
      <c r="J372"/>
      <c r="K372"/>
      <c r="L372"/>
      <c r="M372"/>
      <c r="N372"/>
      <c r="P372"/>
      <c r="Q372"/>
      <c r="R372"/>
      <c r="S372"/>
      <c r="T372" s="54"/>
      <c r="U372" s="279"/>
      <c r="V372" s="279"/>
    </row>
    <row r="373" spans="1:22" ht="25.15" customHeight="1" x14ac:dyDescent="0.25">
      <c r="A373" s="17"/>
      <c r="G373"/>
      <c r="H373"/>
      <c r="J373"/>
      <c r="K373"/>
      <c r="L373"/>
      <c r="M373"/>
      <c r="N373"/>
      <c r="P373"/>
      <c r="Q373"/>
      <c r="R373"/>
      <c r="S373"/>
      <c r="T373" s="54"/>
      <c r="U373" s="279"/>
      <c r="V373" s="279"/>
    </row>
    <row r="374" spans="1:22" ht="25.15" customHeight="1" x14ac:dyDescent="0.25">
      <c r="A374" s="17"/>
      <c r="G374"/>
      <c r="H374"/>
      <c r="J374"/>
      <c r="K374"/>
      <c r="L374"/>
      <c r="M374"/>
      <c r="N374"/>
      <c r="P374"/>
      <c r="Q374"/>
      <c r="R374"/>
      <c r="S374"/>
      <c r="T374" s="54"/>
      <c r="U374" s="279"/>
      <c r="V374" s="279"/>
    </row>
    <row r="375" spans="1:22" ht="25.15" customHeight="1" x14ac:dyDescent="0.25">
      <c r="A375" s="17"/>
      <c r="G375"/>
      <c r="H375"/>
      <c r="J375"/>
      <c r="K375"/>
      <c r="L375"/>
      <c r="M375"/>
      <c r="N375"/>
      <c r="P375"/>
      <c r="Q375"/>
      <c r="R375"/>
      <c r="S375"/>
      <c r="T375" s="54"/>
      <c r="U375" s="279"/>
      <c r="V375" s="279"/>
    </row>
    <row r="376" spans="1:22" ht="25.15" customHeight="1" x14ac:dyDescent="0.25">
      <c r="A376" s="17"/>
      <c r="G376"/>
      <c r="H376"/>
      <c r="J376"/>
      <c r="K376"/>
      <c r="L376"/>
      <c r="M376"/>
      <c r="N376"/>
      <c r="P376"/>
      <c r="Q376"/>
      <c r="R376"/>
      <c r="S376"/>
      <c r="T376" s="54"/>
      <c r="U376" s="279"/>
      <c r="V376" s="279"/>
    </row>
    <row r="377" spans="1:22" ht="25.15" customHeight="1" x14ac:dyDescent="0.25">
      <c r="A377" s="17"/>
      <c r="G377"/>
      <c r="H377"/>
      <c r="J377"/>
      <c r="K377"/>
      <c r="L377"/>
      <c r="M377"/>
      <c r="N377"/>
      <c r="P377"/>
      <c r="Q377"/>
      <c r="R377"/>
      <c r="S377"/>
      <c r="T377" s="54"/>
      <c r="U377" s="279"/>
      <c r="V377" s="279"/>
    </row>
    <row r="378" spans="1:22" ht="25.15" customHeight="1" x14ac:dyDescent="0.25">
      <c r="A378" s="17"/>
      <c r="G378"/>
      <c r="H378"/>
      <c r="J378"/>
      <c r="K378"/>
      <c r="L378"/>
      <c r="M378"/>
      <c r="N378"/>
      <c r="P378"/>
      <c r="Q378"/>
      <c r="R378"/>
      <c r="S378"/>
      <c r="T378" s="54"/>
      <c r="U378" s="279"/>
      <c r="V378" s="279"/>
    </row>
    <row r="379" spans="1:22" ht="25.15" customHeight="1" x14ac:dyDescent="0.25">
      <c r="A379" s="17"/>
      <c r="G379"/>
      <c r="H379"/>
      <c r="J379"/>
      <c r="K379"/>
      <c r="L379"/>
      <c r="M379"/>
      <c r="N379"/>
      <c r="P379"/>
      <c r="Q379"/>
      <c r="R379"/>
      <c r="S379"/>
      <c r="T379" s="54"/>
      <c r="U379" s="279"/>
      <c r="V379" s="279"/>
    </row>
    <row r="380" spans="1:22" ht="25.15" customHeight="1" x14ac:dyDescent="0.25">
      <c r="A380" s="17"/>
      <c r="G380"/>
      <c r="H380"/>
      <c r="J380"/>
      <c r="K380"/>
      <c r="L380"/>
      <c r="M380"/>
      <c r="N380"/>
      <c r="P380"/>
      <c r="Q380"/>
      <c r="R380"/>
      <c r="S380"/>
      <c r="T380" s="54"/>
      <c r="U380" s="279"/>
      <c r="V380" s="279"/>
    </row>
    <row r="381" spans="1:22" ht="25.15" customHeight="1" x14ac:dyDescent="0.25">
      <c r="A381" s="17"/>
      <c r="G381"/>
      <c r="H381"/>
      <c r="J381"/>
      <c r="K381"/>
      <c r="L381"/>
      <c r="M381"/>
      <c r="N381"/>
      <c r="P381"/>
      <c r="Q381"/>
      <c r="R381"/>
      <c r="S381"/>
      <c r="T381" s="54"/>
      <c r="U381" s="279"/>
      <c r="V381" s="279"/>
    </row>
    <row r="382" spans="1:22" ht="25.15" customHeight="1" x14ac:dyDescent="0.25">
      <c r="A382" s="17"/>
      <c r="G382"/>
      <c r="H382"/>
      <c r="J382"/>
      <c r="K382"/>
      <c r="L382"/>
      <c r="M382"/>
      <c r="N382"/>
      <c r="P382"/>
      <c r="Q382"/>
      <c r="R382"/>
      <c r="S382"/>
      <c r="T382" s="54"/>
      <c r="U382" s="279"/>
      <c r="V382" s="279"/>
    </row>
    <row r="383" spans="1:22" ht="25.15" customHeight="1" x14ac:dyDescent="0.25">
      <c r="A383" s="17"/>
      <c r="G383"/>
      <c r="H383"/>
      <c r="J383"/>
      <c r="K383"/>
      <c r="L383"/>
      <c r="M383"/>
      <c r="N383"/>
      <c r="P383"/>
      <c r="Q383"/>
      <c r="R383"/>
      <c r="S383"/>
      <c r="T383" s="54"/>
      <c r="U383" s="279"/>
      <c r="V383" s="279"/>
    </row>
    <row r="384" spans="1:22" ht="25.15" customHeight="1" x14ac:dyDescent="0.25">
      <c r="A384" s="17"/>
      <c r="G384"/>
      <c r="H384"/>
      <c r="J384"/>
      <c r="K384"/>
      <c r="L384"/>
      <c r="M384"/>
      <c r="N384"/>
      <c r="P384"/>
      <c r="Q384"/>
      <c r="R384"/>
      <c r="S384"/>
      <c r="T384" s="54"/>
      <c r="U384" s="279"/>
      <c r="V384" s="279"/>
    </row>
    <row r="385" spans="1:22" ht="25.15" customHeight="1" x14ac:dyDescent="0.25">
      <c r="A385" s="17"/>
      <c r="G385"/>
      <c r="H385"/>
      <c r="J385"/>
      <c r="K385"/>
      <c r="L385"/>
      <c r="M385"/>
      <c r="N385"/>
      <c r="P385"/>
      <c r="Q385"/>
      <c r="R385"/>
      <c r="S385"/>
      <c r="T385" s="54"/>
      <c r="U385" s="279"/>
      <c r="V385" s="279"/>
    </row>
    <row r="386" spans="1:22" ht="25.15" customHeight="1" x14ac:dyDescent="0.25">
      <c r="A386" s="17"/>
      <c r="G386"/>
      <c r="H386"/>
      <c r="J386"/>
      <c r="K386"/>
      <c r="L386"/>
      <c r="M386"/>
      <c r="N386"/>
      <c r="P386"/>
      <c r="Q386"/>
      <c r="R386"/>
      <c r="S386"/>
      <c r="T386" s="54"/>
      <c r="U386" s="279"/>
      <c r="V386" s="279"/>
    </row>
    <row r="387" spans="1:22" ht="25.15" customHeight="1" x14ac:dyDescent="0.25">
      <c r="A387" s="17"/>
      <c r="G387"/>
      <c r="H387"/>
      <c r="J387"/>
      <c r="K387"/>
      <c r="L387"/>
      <c r="M387"/>
      <c r="N387"/>
      <c r="P387"/>
      <c r="Q387"/>
      <c r="R387"/>
      <c r="S387"/>
      <c r="T387" s="54"/>
      <c r="U387" s="279"/>
      <c r="V387" s="279"/>
    </row>
    <row r="388" spans="1:22" ht="25.15" customHeight="1" x14ac:dyDescent="0.25">
      <c r="A388" s="17"/>
      <c r="G388"/>
      <c r="H388"/>
      <c r="J388"/>
      <c r="K388"/>
      <c r="L388"/>
      <c r="M388"/>
      <c r="N388"/>
      <c r="P388"/>
      <c r="Q388"/>
      <c r="R388"/>
      <c r="S388"/>
      <c r="T388" s="54"/>
      <c r="U388" s="279"/>
      <c r="V388" s="279"/>
    </row>
    <row r="389" spans="1:22" ht="25.15" customHeight="1" x14ac:dyDescent="0.25">
      <c r="A389" s="17"/>
      <c r="G389"/>
      <c r="H389"/>
      <c r="J389"/>
      <c r="K389"/>
      <c r="L389"/>
      <c r="M389"/>
      <c r="N389"/>
      <c r="P389"/>
      <c r="Q389"/>
      <c r="R389"/>
      <c r="S389"/>
      <c r="T389" s="54"/>
      <c r="U389" s="279"/>
      <c r="V389" s="279"/>
    </row>
    <row r="390" spans="1:22" ht="25.15" customHeight="1" x14ac:dyDescent="0.25">
      <c r="A390" s="17"/>
      <c r="G390"/>
      <c r="H390"/>
      <c r="J390"/>
      <c r="K390"/>
      <c r="L390"/>
      <c r="M390"/>
      <c r="N390"/>
      <c r="P390"/>
      <c r="Q390"/>
      <c r="R390"/>
      <c r="S390"/>
      <c r="T390" s="54"/>
      <c r="U390" s="279"/>
      <c r="V390" s="279"/>
    </row>
    <row r="391" spans="1:22" ht="25.15" customHeight="1" x14ac:dyDescent="0.25">
      <c r="A391" s="17"/>
      <c r="G391"/>
      <c r="H391"/>
      <c r="J391"/>
      <c r="K391"/>
      <c r="L391"/>
      <c r="M391"/>
      <c r="N391"/>
      <c r="P391"/>
      <c r="Q391"/>
      <c r="R391"/>
      <c r="S391"/>
      <c r="T391" s="54"/>
      <c r="U391" s="279"/>
      <c r="V391" s="279"/>
    </row>
    <row r="392" spans="1:22" ht="25.15" customHeight="1" x14ac:dyDescent="0.25">
      <c r="A392" s="17"/>
      <c r="G392"/>
      <c r="H392"/>
      <c r="J392"/>
      <c r="K392"/>
      <c r="L392"/>
      <c r="M392"/>
      <c r="N392"/>
      <c r="P392"/>
      <c r="Q392"/>
      <c r="R392"/>
      <c r="S392"/>
      <c r="T392" s="54"/>
      <c r="U392" s="279"/>
      <c r="V392" s="279"/>
    </row>
    <row r="393" spans="1:22" ht="25.15" customHeight="1" x14ac:dyDescent="0.25">
      <c r="A393" s="17"/>
      <c r="G393"/>
      <c r="H393"/>
      <c r="J393"/>
      <c r="K393"/>
      <c r="L393"/>
      <c r="M393"/>
      <c r="N393"/>
      <c r="P393"/>
      <c r="Q393"/>
      <c r="R393"/>
      <c r="S393"/>
      <c r="T393" s="54"/>
      <c r="U393" s="279"/>
      <c r="V393" s="279"/>
    </row>
    <row r="394" spans="1:22" ht="25.15" customHeight="1" x14ac:dyDescent="0.25">
      <c r="A394" s="17"/>
      <c r="G394"/>
      <c r="H394"/>
      <c r="J394"/>
      <c r="K394"/>
      <c r="L394"/>
      <c r="M394"/>
      <c r="N394"/>
      <c r="P394"/>
      <c r="Q394"/>
      <c r="R394"/>
      <c r="S394"/>
      <c r="T394" s="54"/>
      <c r="U394" s="279"/>
      <c r="V394" s="279"/>
    </row>
    <row r="395" spans="1:22" ht="25.15" customHeight="1" x14ac:dyDescent="0.25">
      <c r="A395" s="17"/>
      <c r="G395"/>
      <c r="H395"/>
      <c r="J395"/>
      <c r="K395"/>
      <c r="L395"/>
      <c r="M395"/>
      <c r="N395"/>
      <c r="P395"/>
      <c r="Q395"/>
      <c r="R395"/>
      <c r="S395"/>
      <c r="T395" s="54"/>
      <c r="U395" s="279"/>
      <c r="V395" s="279"/>
    </row>
    <row r="396" spans="1:22" ht="25.15" customHeight="1" x14ac:dyDescent="0.25">
      <c r="A396" s="17"/>
      <c r="G396"/>
      <c r="H396"/>
      <c r="J396"/>
      <c r="K396"/>
      <c r="L396"/>
      <c r="M396"/>
      <c r="N396"/>
      <c r="P396"/>
      <c r="Q396"/>
      <c r="R396"/>
      <c r="S396"/>
      <c r="T396" s="54"/>
      <c r="U396" s="279"/>
      <c r="V396" s="279"/>
    </row>
    <row r="397" spans="1:22" ht="25.15" customHeight="1" x14ac:dyDescent="0.25">
      <c r="A397" s="17"/>
      <c r="G397"/>
      <c r="H397"/>
      <c r="J397"/>
      <c r="K397"/>
      <c r="L397"/>
      <c r="M397"/>
      <c r="N397"/>
      <c r="P397"/>
      <c r="Q397"/>
      <c r="R397"/>
      <c r="S397"/>
      <c r="T397" s="54"/>
      <c r="U397" s="279"/>
      <c r="V397" s="279"/>
    </row>
    <row r="398" spans="1:22" ht="25.15" customHeight="1" x14ac:dyDescent="0.25">
      <c r="A398" s="17"/>
      <c r="G398"/>
      <c r="H398"/>
      <c r="J398"/>
      <c r="K398"/>
      <c r="L398"/>
      <c r="M398"/>
      <c r="N398"/>
      <c r="P398"/>
      <c r="Q398"/>
      <c r="R398"/>
      <c r="S398"/>
      <c r="T398" s="54"/>
      <c r="U398" s="279"/>
      <c r="V398" s="279"/>
    </row>
    <row r="399" spans="1:22" ht="25.15" customHeight="1" x14ac:dyDescent="0.25">
      <c r="A399" s="17"/>
      <c r="G399"/>
      <c r="H399"/>
      <c r="J399"/>
      <c r="K399"/>
      <c r="L399"/>
      <c r="M399"/>
      <c r="N399"/>
      <c r="P399"/>
      <c r="Q399"/>
      <c r="R399"/>
      <c r="S399"/>
      <c r="T399" s="54"/>
      <c r="U399" s="279"/>
      <c r="V399" s="279"/>
    </row>
    <row r="400" spans="1:22" ht="25.15" customHeight="1" x14ac:dyDescent="0.25">
      <c r="A400" s="17"/>
      <c r="G400"/>
      <c r="H400"/>
      <c r="J400"/>
      <c r="K400"/>
      <c r="L400"/>
      <c r="M400"/>
      <c r="N400"/>
      <c r="P400"/>
      <c r="Q400"/>
      <c r="R400"/>
      <c r="S400"/>
      <c r="T400" s="54"/>
      <c r="U400" s="279"/>
      <c r="V400" s="279"/>
    </row>
    <row r="401" spans="1:22" ht="25.15" customHeight="1" x14ac:dyDescent="0.25">
      <c r="A401" s="17"/>
      <c r="G401"/>
      <c r="H401"/>
      <c r="J401"/>
      <c r="K401"/>
      <c r="L401"/>
      <c r="M401"/>
      <c r="N401"/>
      <c r="P401"/>
      <c r="Q401"/>
      <c r="R401"/>
      <c r="S401"/>
      <c r="T401" s="54"/>
      <c r="U401" s="279"/>
      <c r="V401" s="279"/>
    </row>
    <row r="402" spans="1:22" ht="25.15" customHeight="1" x14ac:dyDescent="0.25">
      <c r="A402" s="17"/>
      <c r="G402"/>
      <c r="H402"/>
      <c r="J402"/>
      <c r="K402"/>
      <c r="L402"/>
      <c r="M402"/>
      <c r="N402"/>
      <c r="P402"/>
      <c r="Q402"/>
      <c r="R402"/>
      <c r="S402"/>
      <c r="T402" s="54"/>
      <c r="U402" s="279"/>
      <c r="V402" s="279"/>
    </row>
    <row r="403" spans="1:22" ht="25.15" customHeight="1" x14ac:dyDescent="0.25">
      <c r="A403" s="17"/>
      <c r="G403"/>
      <c r="H403"/>
      <c r="J403"/>
      <c r="K403"/>
      <c r="L403"/>
      <c r="M403"/>
      <c r="N403"/>
      <c r="P403"/>
      <c r="Q403"/>
      <c r="R403"/>
      <c r="S403"/>
      <c r="T403" s="54"/>
      <c r="U403" s="279"/>
      <c r="V403" s="279"/>
    </row>
    <row r="404" spans="1:22" ht="25.15" customHeight="1" x14ac:dyDescent="0.25">
      <c r="A404" s="17"/>
      <c r="G404"/>
      <c r="H404"/>
      <c r="J404"/>
      <c r="K404"/>
      <c r="L404"/>
      <c r="M404"/>
      <c r="N404"/>
      <c r="P404"/>
      <c r="Q404"/>
      <c r="R404"/>
      <c r="S404"/>
      <c r="T404" s="54"/>
      <c r="U404" s="279"/>
      <c r="V404" s="279"/>
    </row>
    <row r="405" spans="1:22" ht="25.15" customHeight="1" x14ac:dyDescent="0.25">
      <c r="A405" s="17"/>
      <c r="G405"/>
      <c r="H405"/>
      <c r="J405"/>
      <c r="K405"/>
      <c r="L405"/>
      <c r="M405"/>
      <c r="N405"/>
      <c r="P405"/>
      <c r="Q405"/>
      <c r="R405"/>
      <c r="S405"/>
      <c r="T405" s="54"/>
      <c r="U405" s="279"/>
      <c r="V405" s="279"/>
    </row>
    <row r="406" spans="1:22" ht="25.15" customHeight="1" x14ac:dyDescent="0.25">
      <c r="A406" s="17"/>
      <c r="G406"/>
      <c r="H406"/>
      <c r="J406"/>
      <c r="K406"/>
      <c r="L406"/>
      <c r="M406"/>
      <c r="N406"/>
      <c r="P406"/>
      <c r="Q406"/>
      <c r="R406"/>
      <c r="S406"/>
      <c r="T406" s="54"/>
      <c r="U406" s="279"/>
      <c r="V406" s="279"/>
    </row>
    <row r="407" spans="1:22" ht="25.15" customHeight="1" x14ac:dyDescent="0.25">
      <c r="A407" s="17"/>
      <c r="G407"/>
      <c r="H407"/>
      <c r="J407"/>
      <c r="K407"/>
      <c r="L407"/>
      <c r="M407"/>
      <c r="N407"/>
      <c r="P407"/>
      <c r="Q407"/>
      <c r="R407"/>
      <c r="S407"/>
      <c r="T407" s="54"/>
      <c r="U407" s="279"/>
      <c r="V407" s="279"/>
    </row>
    <row r="408" spans="1:22" ht="25.15" customHeight="1" x14ac:dyDescent="0.25">
      <c r="A408" s="17"/>
      <c r="G408"/>
      <c r="H408"/>
      <c r="J408"/>
      <c r="K408"/>
      <c r="L408"/>
      <c r="M408"/>
      <c r="N408"/>
      <c r="P408"/>
      <c r="Q408"/>
      <c r="R408"/>
      <c r="S408"/>
      <c r="T408" s="54"/>
      <c r="U408" s="279"/>
      <c r="V408" s="279"/>
    </row>
    <row r="409" spans="1:22" ht="25.15" customHeight="1" x14ac:dyDescent="0.25">
      <c r="A409" s="17"/>
      <c r="G409"/>
      <c r="H409"/>
      <c r="J409"/>
      <c r="K409"/>
      <c r="L409"/>
      <c r="M409"/>
      <c r="N409"/>
      <c r="P409"/>
      <c r="Q409"/>
      <c r="R409"/>
      <c r="S409"/>
      <c r="T409" s="54"/>
      <c r="U409" s="279"/>
      <c r="V409" s="279"/>
    </row>
    <row r="410" spans="1:22" ht="25.15" customHeight="1" x14ac:dyDescent="0.25">
      <c r="A410" s="17"/>
      <c r="G410"/>
      <c r="H410"/>
      <c r="J410"/>
      <c r="K410"/>
      <c r="L410"/>
      <c r="M410"/>
      <c r="N410"/>
      <c r="P410"/>
      <c r="Q410"/>
      <c r="R410"/>
      <c r="S410"/>
      <c r="T410" s="54"/>
      <c r="U410" s="279"/>
      <c r="V410" s="279"/>
    </row>
    <row r="411" spans="1:22" ht="25.15" customHeight="1" x14ac:dyDescent="0.25">
      <c r="A411" s="17"/>
      <c r="G411"/>
      <c r="H411"/>
      <c r="J411"/>
      <c r="K411"/>
      <c r="L411"/>
      <c r="M411"/>
      <c r="N411"/>
      <c r="P411"/>
      <c r="Q411"/>
      <c r="R411"/>
      <c r="S411"/>
      <c r="T411" s="54"/>
      <c r="U411" s="279"/>
      <c r="V411" s="279"/>
    </row>
    <row r="412" spans="1:22" ht="25.15" customHeight="1" x14ac:dyDescent="0.25">
      <c r="A412" s="17"/>
      <c r="G412"/>
      <c r="H412"/>
      <c r="J412"/>
      <c r="K412"/>
      <c r="L412"/>
      <c r="M412"/>
      <c r="N412"/>
      <c r="P412"/>
      <c r="Q412"/>
      <c r="R412"/>
      <c r="S412"/>
      <c r="T412" s="54"/>
      <c r="U412" s="279"/>
      <c r="V412" s="279"/>
    </row>
    <row r="413" spans="1:22" ht="25.15" customHeight="1" x14ac:dyDescent="0.25">
      <c r="A413" s="17"/>
      <c r="G413"/>
      <c r="H413"/>
      <c r="J413"/>
      <c r="K413"/>
      <c r="L413"/>
      <c r="M413"/>
      <c r="N413"/>
      <c r="P413"/>
      <c r="Q413"/>
      <c r="R413"/>
      <c r="S413"/>
      <c r="T413" s="54"/>
      <c r="U413" s="279"/>
      <c r="V413" s="279"/>
    </row>
    <row r="414" spans="1:22" ht="25.15" customHeight="1" x14ac:dyDescent="0.25">
      <c r="A414" s="17"/>
      <c r="G414"/>
      <c r="H414"/>
      <c r="J414"/>
      <c r="K414"/>
      <c r="L414"/>
      <c r="M414"/>
      <c r="N414"/>
      <c r="P414"/>
      <c r="Q414"/>
      <c r="R414"/>
      <c r="S414"/>
      <c r="T414" s="54"/>
      <c r="U414" s="279"/>
      <c r="V414" s="279"/>
    </row>
    <row r="415" spans="1:22" ht="25.15" customHeight="1" x14ac:dyDescent="0.25">
      <c r="A415" s="17"/>
      <c r="G415"/>
      <c r="H415"/>
      <c r="J415"/>
      <c r="K415"/>
      <c r="L415"/>
      <c r="M415"/>
      <c r="N415"/>
      <c r="P415"/>
      <c r="Q415"/>
      <c r="R415"/>
      <c r="S415"/>
      <c r="T415" s="54"/>
      <c r="U415" s="279"/>
      <c r="V415" s="279"/>
    </row>
    <row r="416" spans="1:22" ht="25.15" customHeight="1" x14ac:dyDescent="0.25">
      <c r="A416" s="17"/>
      <c r="G416"/>
      <c r="H416"/>
      <c r="J416"/>
      <c r="K416"/>
      <c r="L416"/>
      <c r="M416"/>
      <c r="N416"/>
      <c r="P416"/>
      <c r="Q416"/>
      <c r="R416"/>
      <c r="S416"/>
      <c r="T416" s="54"/>
      <c r="U416" s="279"/>
      <c r="V416" s="279"/>
    </row>
    <row r="417" spans="1:22" ht="25.15" customHeight="1" x14ac:dyDescent="0.25">
      <c r="A417" s="17"/>
      <c r="G417"/>
      <c r="H417"/>
      <c r="J417"/>
      <c r="K417"/>
      <c r="L417"/>
      <c r="M417"/>
      <c r="N417"/>
      <c r="P417"/>
      <c r="Q417"/>
      <c r="R417"/>
      <c r="S417"/>
      <c r="T417" s="54"/>
      <c r="U417" s="279"/>
      <c r="V417" s="279"/>
    </row>
    <row r="418" spans="1:22" ht="25.15" customHeight="1" x14ac:dyDescent="0.25">
      <c r="A418" s="17"/>
      <c r="G418"/>
      <c r="H418"/>
      <c r="J418"/>
      <c r="K418"/>
      <c r="L418"/>
      <c r="M418"/>
      <c r="N418"/>
      <c r="P418"/>
      <c r="Q418"/>
      <c r="R418"/>
      <c r="S418"/>
      <c r="T418" s="54"/>
      <c r="U418" s="279"/>
      <c r="V418" s="279"/>
    </row>
    <row r="419" spans="1:22" ht="25.15" customHeight="1" x14ac:dyDescent="0.25">
      <c r="A419" s="17"/>
      <c r="G419"/>
      <c r="H419"/>
      <c r="J419"/>
      <c r="K419"/>
      <c r="L419"/>
      <c r="M419"/>
      <c r="N419"/>
      <c r="P419"/>
      <c r="Q419"/>
      <c r="R419"/>
      <c r="S419"/>
      <c r="T419" s="54"/>
      <c r="U419" s="279"/>
      <c r="V419" s="279"/>
    </row>
    <row r="420" spans="1:22" ht="25.15" customHeight="1" x14ac:dyDescent="0.25">
      <c r="A420" s="17"/>
      <c r="G420"/>
      <c r="H420"/>
      <c r="J420"/>
      <c r="K420"/>
      <c r="L420"/>
      <c r="M420"/>
      <c r="N420"/>
      <c r="P420"/>
      <c r="Q420"/>
      <c r="R420"/>
      <c r="S420"/>
      <c r="T420" s="54"/>
      <c r="U420" s="279"/>
      <c r="V420" s="279"/>
    </row>
    <row r="421" spans="1:22" ht="25.15" customHeight="1" x14ac:dyDescent="0.25">
      <c r="A421" s="17"/>
      <c r="G421"/>
      <c r="H421"/>
      <c r="J421"/>
      <c r="K421"/>
      <c r="L421"/>
      <c r="M421"/>
      <c r="N421"/>
      <c r="P421"/>
      <c r="Q421"/>
      <c r="R421"/>
      <c r="S421"/>
      <c r="T421" s="54"/>
      <c r="U421" s="279"/>
      <c r="V421" s="279"/>
    </row>
    <row r="422" spans="1:22" ht="25.15" customHeight="1" x14ac:dyDescent="0.25">
      <c r="A422" s="17"/>
      <c r="G422"/>
      <c r="H422"/>
      <c r="J422"/>
      <c r="K422"/>
      <c r="L422"/>
      <c r="M422"/>
      <c r="N422"/>
      <c r="P422"/>
      <c r="Q422"/>
      <c r="R422"/>
      <c r="S422"/>
      <c r="T422" s="54"/>
      <c r="U422" s="279"/>
      <c r="V422" s="279"/>
    </row>
    <row r="423" spans="1:22" ht="25.15" customHeight="1" x14ac:dyDescent="0.25">
      <c r="A423" s="17"/>
      <c r="G423"/>
      <c r="H423"/>
      <c r="J423"/>
      <c r="K423"/>
      <c r="L423"/>
      <c r="M423"/>
      <c r="N423"/>
      <c r="P423"/>
      <c r="Q423"/>
      <c r="R423"/>
      <c r="S423"/>
      <c r="T423" s="54"/>
      <c r="U423" s="279"/>
      <c r="V423" s="279"/>
    </row>
    <row r="424" spans="1:22" ht="25.15" customHeight="1" x14ac:dyDescent="0.25">
      <c r="A424" s="17"/>
      <c r="G424"/>
      <c r="H424"/>
      <c r="J424"/>
      <c r="K424"/>
      <c r="L424"/>
      <c r="M424"/>
      <c r="N424"/>
      <c r="P424"/>
      <c r="Q424"/>
      <c r="R424"/>
      <c r="S424"/>
      <c r="T424" s="54"/>
      <c r="U424" s="279"/>
      <c r="V424" s="279"/>
    </row>
    <row r="425" spans="1:22" ht="25.15" customHeight="1" x14ac:dyDescent="0.25">
      <c r="A425" s="17"/>
      <c r="G425"/>
      <c r="H425"/>
      <c r="J425"/>
      <c r="K425"/>
      <c r="L425"/>
      <c r="M425"/>
      <c r="N425"/>
      <c r="P425"/>
      <c r="Q425"/>
      <c r="R425"/>
      <c r="S425"/>
      <c r="T425" s="54"/>
      <c r="U425" s="279"/>
      <c r="V425" s="279"/>
    </row>
    <row r="426" spans="1:22" ht="25.15" customHeight="1" x14ac:dyDescent="0.25">
      <c r="A426" s="17"/>
      <c r="G426"/>
      <c r="H426"/>
      <c r="J426"/>
      <c r="K426"/>
      <c r="L426"/>
      <c r="M426"/>
      <c r="N426"/>
      <c r="P426"/>
      <c r="Q426"/>
      <c r="R426"/>
      <c r="S426"/>
      <c r="T426" s="54"/>
      <c r="U426" s="279"/>
      <c r="V426" s="279"/>
    </row>
    <row r="427" spans="1:22" ht="25.15" customHeight="1" x14ac:dyDescent="0.25">
      <c r="H427"/>
      <c r="U427" s="279"/>
      <c r="V427" s="279"/>
    </row>
    <row r="428" spans="1:22" ht="25.15" customHeight="1" x14ac:dyDescent="0.25">
      <c r="U428" s="279"/>
      <c r="V428" s="279"/>
    </row>
    <row r="429" spans="1:22" ht="25.15" customHeight="1" x14ac:dyDescent="0.25">
      <c r="U429" s="279"/>
      <c r="V429" s="279"/>
    </row>
    <row r="430" spans="1:22" ht="25.15" customHeight="1" x14ac:dyDescent="0.25">
      <c r="U430" s="279"/>
      <c r="V430" s="279"/>
    </row>
    <row r="431" spans="1:22" ht="25.15" customHeight="1" x14ac:dyDescent="0.25">
      <c r="U431" s="279"/>
      <c r="V431" s="279"/>
    </row>
    <row r="432" spans="1:22" ht="25.15" customHeight="1" x14ac:dyDescent="0.25">
      <c r="U432" s="279"/>
      <c r="V432" s="279"/>
    </row>
    <row r="433" spans="21:22" ht="25.15" customHeight="1" x14ac:dyDescent="0.25">
      <c r="U433" s="279"/>
      <c r="V433" s="279"/>
    </row>
    <row r="434" spans="21:22" ht="25.15" customHeight="1" x14ac:dyDescent="0.25"/>
    <row r="435" spans="21:22" ht="25.15" customHeight="1" x14ac:dyDescent="0.25"/>
  </sheetData>
  <phoneticPr fontId="8" type="noConversion"/>
  <conditionalFormatting sqref="P1:T1 E2:T1048576">
    <cfRule type="cellIs" dxfId="46" priority="7" operator="lessThan">
      <formula>6</formula>
    </cfRule>
  </conditionalFormatting>
  <conditionalFormatting sqref="U1:U34 V2:V33 U39:U1048576">
    <cfRule type="cellIs" dxfId="45" priority="6" operator="greaterThan">
      <formula>19</formula>
    </cfRule>
  </conditionalFormatting>
  <conditionalFormatting sqref="V1 V34 V39:V1048576">
    <cfRule type="cellIs" dxfId="44" priority="5" operator="greaterThan">
      <formula>5</formula>
    </cfRule>
  </conditionalFormatting>
  <conditionalFormatting sqref="AE1">
    <cfRule type="cellIs" dxfId="43" priority="4" operator="lessThan">
      <formula>6</formula>
    </cfRule>
  </conditionalFormatting>
  <conditionalFormatting sqref="AG1:AG34 AG36:AG1048576">
    <cfRule type="cellIs" dxfId="42" priority="2" operator="greaterThan">
      <formula>14</formula>
    </cfRule>
  </conditionalFormatting>
  <conditionalFormatting sqref="AK1:AK1048576">
    <cfRule type="cellIs" dxfId="41" priority="3" operator="greaterThan">
      <formula>4</formula>
    </cfRule>
  </conditionalFormatting>
  <dataValidations xWindow="1191" yWindow="395" count="12">
    <dataValidation allowBlank="1" showInputMessage="1" showErrorMessage="1" promptTitle="Petunjuk pengisian" prompt="Izin 20 Hari dalam 1 Semester dapat menurunkan satu nilai akhlaq" sqref="AE1" xr:uid="{00000000-0002-0000-0700-000000000000}"/>
    <dataValidation allowBlank="1" showInputMessage="1" showErrorMessage="1" promptTitle="Petunjuk Pengisian" prompt="Tidak Izin 6 Hari dalam 1 Semester dapat menurunkan satu nilai akhlaq" sqref="V39:V1048576 V1 V34" xr:uid="{00000000-0002-0000-0700-000001000000}"/>
    <dataValidation allowBlank="1" showInputMessage="1" showErrorMessage="1" promptTitle="petunjuk Pengisian " prompt="Izin 20 Hari dalam 1 Semester dapat menurunkan satu nilai akhlaq" sqref="U39:U1048576 V2:V33 U1:U34" xr:uid="{00000000-0002-0000-0700-000002000000}"/>
    <dataValidation allowBlank="1" showInputMessage="1" showErrorMessage="1" promptTitle="Petunjuk Pengisian" prompt="jumlah nilai pelajaran seluruh siswi dibagi Jumlah siswi _x000a_- tanpa mengikutkan yang boyong _x000a_- cuty tetap diikutkan_x000a_- siswi yang her/ tanpa keterangan dikira kirakan 4 nilainya" sqref="H38 H53" xr:uid="{00000000-0002-0000-0700-000003000000}"/>
    <dataValidation allowBlank="1" showInputMessage="1" showErrorMessage="1" promptTitle="Petunjuk Pengisian" prompt="jumlah nilai pelajaran seluruh siswi dibagi Jumlah siswi _x000a_- tanpa mengikutkan yang boyong/ cuty_x000a_- siswi yang her/ tanpa keterangan dikira kirakan 4 nilainya" sqref="H39:H52" xr:uid="{00000000-0002-0000-0700-00000B000000}"/>
    <dataValidation allowBlank="1" showInputMessage="1" showErrorMessage="1" promptTitle="PETUNJUIK PENGISIAN" prompt="IZIN 15 HARI DALAM 1 TAHUN (SEMESTER I &amp; II )MENURUNKAN SATU NILAI PRESTASI" sqref="AG1:AG34 AG36:AG1048576" xr:uid="{00000000-0002-0000-0700-000004000000}"/>
    <dataValidation allowBlank="1" showInputMessage="1" showErrorMessage="1" promptTitle="PETUNJUK PENGISIAN" prompt="TIDAK IZIN 5 HARI DALAM 1 TAHUN (SEMESTER I &amp; II )MENURUNKAN SATU NILAI PRESTASI" sqref="AK1:AK1048576" xr:uid="{00000000-0002-0000-0700-000005000000}"/>
    <dataValidation allowBlank="1" showInputMessage="1" showErrorMessage="1" promptTitle="petunjuk pengisian" prompt="Jumlah Nilai siswi Semester I &amp; II dibagi Jumlah Pelajaran semster I &amp; II" sqref="AB1:AB34 AB36:AB1048576" xr:uid="{00000000-0002-0000-0700-000006000000}"/>
    <dataValidation allowBlank="1" showInputMessage="1" showErrorMessage="1" promptTitle="Petunjuk Pengisian" prompt="Jumlah Mata pelajran semester I &amp; II" sqref="AA1:AA34 AA36:AA1048576" xr:uid="{00000000-0002-0000-0700-000007000000}"/>
    <dataValidation allowBlank="1" showInputMessage="1" showErrorMessage="1" promptTitle="Petunjuk pengisian" prompt="Jumlah Nilai Pelajaran siswi semester I &amp; II" sqref="Z1:Z34 Z36:Z1048576" xr:uid="{00000000-0002-0000-0700-000008000000}"/>
    <dataValidation allowBlank="1" showInputMessage="1" showErrorMessage="1" promptTitle="Petunjuk Pengisian" prompt="Jumlah Nilai pelajaran siswi" sqref="X1:Y34 X36:Y1048576" xr:uid="{00000000-0002-0000-0700-000009000000}"/>
    <dataValidation allowBlank="1" showInputMessage="1" showErrorMessage="1" promptTitle="Petunjuk Pengisian" prompt="Jika Nilai Rata-ratanya mencapai_x000a_9 : الجيد الأول_x000a_8 : الجيد الثاني_x000a_7 : المتوسط الأول_x000a_6 : المتوسط الثاني_x000a_5 : الرديء/ المثبت" sqref="AC36:AC1048576 AC1:AC34" xr:uid="{00000000-0002-0000-0700-00000A000000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AK437"/>
  <sheetViews>
    <sheetView zoomScale="55" zoomScaleNormal="55" workbookViewId="0">
      <selection activeCell="Y30" sqref="Y30"/>
    </sheetView>
  </sheetViews>
  <sheetFormatPr defaultRowHeight="30" x14ac:dyDescent="0.25"/>
  <cols>
    <col min="1" max="1" width="14.85546875" style="35" customWidth="1"/>
    <col min="2" max="2" width="59.42578125" style="7" bestFit="1" customWidth="1"/>
    <col min="3" max="3" width="16.85546875" style="7" customWidth="1"/>
    <col min="4" max="4" width="14.85546875" style="7" customWidth="1"/>
    <col min="5" max="5" width="17.7109375" style="3" customWidth="1"/>
    <col min="6" max="6" width="9.85546875" style="5" customWidth="1"/>
    <col min="7" max="7" width="12.7109375" style="5" customWidth="1"/>
    <col min="8" max="8" width="17.7109375" style="5" customWidth="1"/>
    <col min="9" max="9" width="17.7109375" style="25" customWidth="1"/>
    <col min="10" max="14" width="17.7109375" style="5" customWidth="1"/>
    <col min="15" max="15" width="17.7109375" style="25" customWidth="1"/>
    <col min="16" max="19" width="17.7109375" style="5" customWidth="1"/>
    <col min="20" max="20" width="29.42578125" style="6" customWidth="1"/>
    <col min="21" max="22" width="8.7109375" style="45" customWidth="1"/>
    <col min="24" max="24" width="13.42578125" style="30" customWidth="1"/>
    <col min="25" max="25" width="13.28515625" style="30" customWidth="1"/>
    <col min="26" max="26" width="14.85546875" style="32" customWidth="1"/>
    <col min="27" max="27" width="17.7109375" style="30" customWidth="1"/>
    <col min="28" max="28" width="10.7109375" style="32" customWidth="1"/>
    <col min="29" max="29" width="13.42578125" style="31" customWidth="1"/>
    <col min="31" max="31" width="11" style="53" customWidth="1"/>
    <col min="32" max="32" width="9.140625" style="53" customWidth="1"/>
    <col min="33" max="33" width="14" style="54" customWidth="1"/>
    <col min="34" max="34" width="9.140625" customWidth="1"/>
    <col min="35" max="36" width="9.140625" style="53" customWidth="1"/>
    <col min="37" max="37" width="18.28515625" style="55" customWidth="1"/>
  </cols>
  <sheetData>
    <row r="1" spans="1:37" s="20" customFormat="1" ht="25.15" customHeight="1" thickBot="1" x14ac:dyDescent="0.3">
      <c r="A1" s="34" t="s">
        <v>1</v>
      </c>
      <c r="B1" s="11" t="s">
        <v>0</v>
      </c>
      <c r="C1" s="11" t="s">
        <v>2</v>
      </c>
      <c r="D1" s="11" t="s">
        <v>13</v>
      </c>
      <c r="E1" s="39" t="s">
        <v>3</v>
      </c>
      <c r="F1" s="36"/>
      <c r="G1" s="21" t="s">
        <v>51</v>
      </c>
      <c r="H1" s="21" t="s">
        <v>4</v>
      </c>
      <c r="I1" s="22" t="s">
        <v>52</v>
      </c>
      <c r="J1" s="21" t="s">
        <v>5</v>
      </c>
      <c r="K1" s="21" t="s">
        <v>53</v>
      </c>
      <c r="L1" s="21" t="s">
        <v>73</v>
      </c>
      <c r="M1" s="21" t="s">
        <v>54</v>
      </c>
      <c r="N1" s="21" t="s">
        <v>55</v>
      </c>
      <c r="O1" s="22" t="s">
        <v>57</v>
      </c>
      <c r="P1" s="12" t="s">
        <v>6</v>
      </c>
      <c r="Q1" s="12" t="s">
        <v>7</v>
      </c>
      <c r="R1" s="12" t="s">
        <v>8</v>
      </c>
      <c r="S1" s="12" t="s">
        <v>9</v>
      </c>
      <c r="T1" s="13" t="s">
        <v>10</v>
      </c>
      <c r="U1" s="43" t="s">
        <v>11</v>
      </c>
      <c r="V1" s="43" t="s">
        <v>12</v>
      </c>
      <c r="X1" s="26" t="s">
        <v>58</v>
      </c>
      <c r="Y1" s="26" t="s">
        <v>59</v>
      </c>
      <c r="Z1" s="26" t="s">
        <v>60</v>
      </c>
      <c r="AA1" s="26" t="s">
        <v>61</v>
      </c>
      <c r="AB1" s="26" t="s">
        <v>62</v>
      </c>
      <c r="AC1" s="26" t="s">
        <v>63</v>
      </c>
      <c r="AE1" s="47" t="s">
        <v>67</v>
      </c>
      <c r="AF1" s="48" t="s">
        <v>68</v>
      </c>
      <c r="AG1" s="49" t="s">
        <v>69</v>
      </c>
      <c r="AH1" s="42"/>
      <c r="AI1" s="50" t="s">
        <v>70</v>
      </c>
      <c r="AJ1" s="50" t="s">
        <v>71</v>
      </c>
      <c r="AK1" s="49" t="s">
        <v>72</v>
      </c>
    </row>
    <row r="2" spans="1:37" s="1" customFormat="1" ht="25.15" customHeight="1" thickBot="1" x14ac:dyDescent="0.3">
      <c r="A2" s="41" t="s">
        <v>14</v>
      </c>
      <c r="B2" s="79" t="str">
        <f>'2 ALIYAH C'!B2:D35</f>
        <v>AFIDATUL MUNAWAROH</v>
      </c>
      <c r="C2" s="132">
        <v>2687</v>
      </c>
      <c r="D2" s="19" t="s">
        <v>14</v>
      </c>
      <c r="E2" s="3" t="str">
        <f>TEXT(F2,"[$-2000000]0")</f>
        <v>٥</v>
      </c>
      <c r="F2" s="3">
        <v>5</v>
      </c>
      <c r="G2" s="3" t="s">
        <v>56</v>
      </c>
      <c r="H2" s="3">
        <v>7</v>
      </c>
      <c r="I2" s="3">
        <v>6</v>
      </c>
      <c r="J2" s="3">
        <v>4</v>
      </c>
      <c r="K2" s="3">
        <v>6</v>
      </c>
      <c r="L2" s="3">
        <v>5</v>
      </c>
      <c r="M2" s="3">
        <v>4</v>
      </c>
      <c r="N2" s="3">
        <v>4</v>
      </c>
      <c r="O2" s="3">
        <v>5</v>
      </c>
      <c r="P2" s="3">
        <v>7</v>
      </c>
      <c r="Q2" s="3">
        <v>7</v>
      </c>
      <c r="R2" s="3">
        <v>8</v>
      </c>
      <c r="S2" s="3">
        <v>8</v>
      </c>
      <c r="T2" s="4">
        <f>SUM(E2:S2)</f>
        <v>76</v>
      </c>
      <c r="U2" s="44" t="s">
        <v>56</v>
      </c>
      <c r="V2" s="44" t="s">
        <v>56</v>
      </c>
      <c r="X2" s="27">
        <f>'2 ALIYAH C'!T2:T35</f>
        <v>75</v>
      </c>
      <c r="Y2" s="27">
        <f t="shared" ref="Y2" si="0">T2</f>
        <v>76</v>
      </c>
      <c r="Z2" s="28">
        <f t="shared" ref="Z2:Z35" si="1">X2+Y2</f>
        <v>151</v>
      </c>
      <c r="AA2" s="27">
        <v>26</v>
      </c>
      <c r="AB2" s="28">
        <f>Z2/AA2</f>
        <v>6</v>
      </c>
      <c r="AC2" s="29" t="str">
        <f t="shared" ref="AC2:AC35" si="2">IF(AB2&gt;=8.5,"الجيد الأول",IF(AB2&gt;=7.5,"الجيد الثاني",IF(AB2&gt;=6.5,"المتوسط الأول",IF(AB2&gt;=5.5,"المتوسط الثاني",IF(AB2&gt;=4.5,"الرديء",)))))</f>
        <v>المتوسط الثاني</v>
      </c>
      <c r="AE2" s="51">
        <f>'2 ALIYAH C'!U2:U35</f>
        <v>1</v>
      </c>
      <c r="AF2" s="51" t="str">
        <f>U2:U34</f>
        <v>-</v>
      </c>
      <c r="AG2" s="52">
        <f>SUM(AE2:AF2)</f>
        <v>1</v>
      </c>
      <c r="AI2" s="51">
        <f>'2 ALIYAH C'!V2:V36</f>
        <v>0</v>
      </c>
      <c r="AJ2" s="51" t="str">
        <f t="shared" ref="AJ2:AJ11" si="3">V2:V26</f>
        <v>-</v>
      </c>
      <c r="AK2" s="52">
        <f>SUM(AI2:AJ2)</f>
        <v>0</v>
      </c>
    </row>
    <row r="3" spans="1:37" s="1" customFormat="1" ht="25.15" customHeight="1" thickBot="1" x14ac:dyDescent="0.3">
      <c r="A3" s="41" t="s">
        <v>15</v>
      </c>
      <c r="B3" s="79" t="str">
        <f>'2 ALIYAH C'!B3:D36</f>
        <v>ARINA PUTRI AISYAH</v>
      </c>
      <c r="C3" s="132">
        <v>2728</v>
      </c>
      <c r="D3" s="19" t="s">
        <v>15</v>
      </c>
      <c r="E3" s="3" t="str">
        <f t="shared" ref="E3:E35" si="4">TEXT(F3,"[$-2000000]0")</f>
        <v>٩</v>
      </c>
      <c r="F3" s="3">
        <v>9</v>
      </c>
      <c r="G3" s="3" t="s">
        <v>56</v>
      </c>
      <c r="H3" s="3">
        <v>9</v>
      </c>
      <c r="I3" s="3">
        <v>9</v>
      </c>
      <c r="J3" s="3">
        <v>5</v>
      </c>
      <c r="K3" s="3">
        <v>8</v>
      </c>
      <c r="L3" s="3">
        <v>9</v>
      </c>
      <c r="M3" s="3">
        <v>9</v>
      </c>
      <c r="N3" s="3">
        <v>5</v>
      </c>
      <c r="O3" s="3">
        <v>9</v>
      </c>
      <c r="P3" s="3">
        <v>9</v>
      </c>
      <c r="Q3" s="3">
        <v>9</v>
      </c>
      <c r="R3" s="3">
        <v>9</v>
      </c>
      <c r="S3" s="3">
        <v>8</v>
      </c>
      <c r="T3" s="4">
        <f>SUM(E3:S3)</f>
        <v>107</v>
      </c>
      <c r="U3" s="44">
        <v>1</v>
      </c>
      <c r="V3" s="44" t="s">
        <v>56</v>
      </c>
      <c r="X3" s="27">
        <f>'2 ALIYAH C'!T3:T36</f>
        <v>113</v>
      </c>
      <c r="Y3" s="27">
        <f t="shared" ref="Y3:Y35" si="5">T3</f>
        <v>107</v>
      </c>
      <c r="Z3" s="28">
        <f t="shared" si="1"/>
        <v>220</v>
      </c>
      <c r="AA3" s="27">
        <v>26</v>
      </c>
      <c r="AB3" s="28">
        <f t="shared" ref="AB3:AB35" si="6">Z3/AA3</f>
        <v>8</v>
      </c>
      <c r="AC3" s="29" t="str">
        <f t="shared" si="2"/>
        <v>الجيد الثاني</v>
      </c>
      <c r="AE3" s="51">
        <f>'2 ALIYAH C'!U3:U36</f>
        <v>1</v>
      </c>
      <c r="AF3" s="51">
        <f>U3:U35</f>
        <v>1</v>
      </c>
      <c r="AG3" s="52">
        <f t="shared" ref="AG3:AG35" si="7">SUM(AE3:AF3)</f>
        <v>2</v>
      </c>
      <c r="AI3" s="51" t="str">
        <f>'2 ALIYAH C'!V3:V37</f>
        <v>-</v>
      </c>
      <c r="AJ3" s="51" t="str">
        <f t="shared" si="3"/>
        <v>-</v>
      </c>
      <c r="AK3" s="52">
        <f t="shared" ref="AK3:AK35" si="8">SUM(AI3:AJ3)</f>
        <v>0</v>
      </c>
    </row>
    <row r="4" spans="1:37" s="1" customFormat="1" ht="25.15" customHeight="1" thickBot="1" x14ac:dyDescent="0.3">
      <c r="A4" s="41" t="s">
        <v>16</v>
      </c>
      <c r="B4" s="79" t="str">
        <f>'2 ALIYAH C'!B4:D37</f>
        <v>DWI NOVI ARINI</v>
      </c>
      <c r="C4" s="132">
        <v>2800</v>
      </c>
      <c r="D4" s="19" t="s">
        <v>16</v>
      </c>
      <c r="E4" s="3" t="str">
        <f t="shared" si="4"/>
        <v>٤</v>
      </c>
      <c r="F4" s="3">
        <v>4</v>
      </c>
      <c r="G4" s="3" t="s">
        <v>56</v>
      </c>
      <c r="H4" s="3">
        <v>7</v>
      </c>
      <c r="I4" s="3">
        <v>7</v>
      </c>
      <c r="J4" s="3">
        <v>5</v>
      </c>
      <c r="K4" s="3">
        <v>4</v>
      </c>
      <c r="L4" s="3">
        <v>5</v>
      </c>
      <c r="M4" s="3">
        <v>4</v>
      </c>
      <c r="N4" s="3">
        <v>5</v>
      </c>
      <c r="O4" s="3">
        <v>4</v>
      </c>
      <c r="P4" s="3">
        <v>7</v>
      </c>
      <c r="Q4" s="3">
        <v>7</v>
      </c>
      <c r="R4" s="3">
        <v>7</v>
      </c>
      <c r="S4" s="3">
        <v>6</v>
      </c>
      <c r="T4" s="4">
        <f t="shared" ref="T4:T35" si="9">SUM(E4:S4)</f>
        <v>72</v>
      </c>
      <c r="U4" s="44">
        <v>4</v>
      </c>
      <c r="V4" s="44" t="s">
        <v>56</v>
      </c>
      <c r="X4" s="27">
        <f>'2 ALIYAH C'!T4:T37</f>
        <v>83</v>
      </c>
      <c r="Y4" s="27">
        <f t="shared" si="5"/>
        <v>72</v>
      </c>
      <c r="Z4" s="28">
        <f t="shared" si="1"/>
        <v>155</v>
      </c>
      <c r="AA4" s="27">
        <v>26</v>
      </c>
      <c r="AB4" s="28">
        <f t="shared" si="6"/>
        <v>6</v>
      </c>
      <c r="AC4" s="29" t="str">
        <f t="shared" si="2"/>
        <v>المتوسط الثاني</v>
      </c>
      <c r="AE4" s="51">
        <f>'2 ALIYAH C'!U4:U37</f>
        <v>4</v>
      </c>
      <c r="AF4" s="51">
        <f>U4:U35</f>
        <v>4</v>
      </c>
      <c r="AG4" s="52">
        <f t="shared" si="7"/>
        <v>8</v>
      </c>
      <c r="AI4" s="51" t="str">
        <f>'2 ALIYAH C'!V4:V38</f>
        <v>-</v>
      </c>
      <c r="AJ4" s="51" t="str">
        <f t="shared" si="3"/>
        <v>-</v>
      </c>
      <c r="AK4" s="52">
        <f t="shared" si="8"/>
        <v>0</v>
      </c>
    </row>
    <row r="5" spans="1:37" s="1" customFormat="1" ht="25.15" customHeight="1" thickBot="1" x14ac:dyDescent="0.3">
      <c r="A5" s="41" t="s">
        <v>17</v>
      </c>
      <c r="B5" s="79" t="str">
        <f>'2 ALIYAH C'!B5:D38</f>
        <v>FATHINA RAMADHANI</v>
      </c>
      <c r="C5" s="132">
        <v>2691</v>
      </c>
      <c r="D5" s="19" t="s">
        <v>17</v>
      </c>
      <c r="E5" s="3" t="str">
        <f t="shared" si="4"/>
        <v>٨</v>
      </c>
      <c r="F5" s="3">
        <v>8</v>
      </c>
      <c r="G5" s="3" t="s">
        <v>56</v>
      </c>
      <c r="H5" s="3">
        <v>8</v>
      </c>
      <c r="I5" s="3">
        <v>9</v>
      </c>
      <c r="J5" s="3">
        <v>8</v>
      </c>
      <c r="K5" s="3">
        <v>7</v>
      </c>
      <c r="L5" s="3">
        <v>9</v>
      </c>
      <c r="M5" s="3">
        <v>9</v>
      </c>
      <c r="N5" s="3">
        <v>7</v>
      </c>
      <c r="O5" s="3">
        <v>8</v>
      </c>
      <c r="P5" s="3">
        <v>8</v>
      </c>
      <c r="Q5" s="3">
        <v>8</v>
      </c>
      <c r="R5" s="3">
        <v>8</v>
      </c>
      <c r="S5" s="3">
        <v>8</v>
      </c>
      <c r="T5" s="4">
        <f t="shared" si="9"/>
        <v>105</v>
      </c>
      <c r="U5" s="44" t="s">
        <v>56</v>
      </c>
      <c r="V5" s="44" t="s">
        <v>56</v>
      </c>
      <c r="X5" s="27">
        <f>'2 ALIYAH C'!T5:T38</f>
        <v>109</v>
      </c>
      <c r="Y5" s="27">
        <f t="shared" si="5"/>
        <v>105</v>
      </c>
      <c r="Z5" s="28">
        <f t="shared" si="1"/>
        <v>214</v>
      </c>
      <c r="AA5" s="27">
        <v>26</v>
      </c>
      <c r="AB5" s="28">
        <f t="shared" si="6"/>
        <v>8</v>
      </c>
      <c r="AC5" s="29" t="str">
        <f t="shared" si="2"/>
        <v>الجيد الثاني</v>
      </c>
      <c r="AE5" s="51">
        <f>'2 ALIYAH C'!U5:U38</f>
        <v>2</v>
      </c>
      <c r="AF5" s="51" t="str">
        <f>U5:U35</f>
        <v>-</v>
      </c>
      <c r="AG5" s="52">
        <f t="shared" si="7"/>
        <v>2</v>
      </c>
      <c r="AI5" s="51" t="str">
        <f>'2 ALIYAH C'!V5:V39</f>
        <v>-</v>
      </c>
      <c r="AJ5" s="51" t="str">
        <f t="shared" si="3"/>
        <v>-</v>
      </c>
      <c r="AK5" s="52">
        <f t="shared" si="8"/>
        <v>0</v>
      </c>
    </row>
    <row r="6" spans="1:37" s="1" customFormat="1" ht="25.15" customHeight="1" thickBot="1" x14ac:dyDescent="0.3">
      <c r="A6" s="41" t="s">
        <v>18</v>
      </c>
      <c r="B6" s="79" t="str">
        <f>'2 ALIYAH C'!B6:D39</f>
        <v>FAZA KAUTSARA</v>
      </c>
      <c r="C6" s="132">
        <v>2693</v>
      </c>
      <c r="D6" s="19" t="s">
        <v>18</v>
      </c>
      <c r="E6" s="3" t="str">
        <f t="shared" si="4"/>
        <v>٧</v>
      </c>
      <c r="F6" s="3">
        <v>7</v>
      </c>
      <c r="G6" s="3" t="s">
        <v>56</v>
      </c>
      <c r="H6" s="3">
        <v>8</v>
      </c>
      <c r="I6" s="3">
        <v>8</v>
      </c>
      <c r="J6" s="3">
        <v>6</v>
      </c>
      <c r="K6" s="3">
        <v>4</v>
      </c>
      <c r="L6" s="3">
        <v>6</v>
      </c>
      <c r="M6" s="3">
        <v>4</v>
      </c>
      <c r="N6" s="3">
        <v>4</v>
      </c>
      <c r="O6" s="3">
        <v>7</v>
      </c>
      <c r="P6" s="3">
        <v>7</v>
      </c>
      <c r="Q6" s="3">
        <v>8</v>
      </c>
      <c r="R6" s="3">
        <v>7</v>
      </c>
      <c r="S6" s="3">
        <v>7</v>
      </c>
      <c r="T6" s="4">
        <f t="shared" si="9"/>
        <v>83</v>
      </c>
      <c r="U6" s="44" t="s">
        <v>56</v>
      </c>
      <c r="V6" s="44" t="s">
        <v>56</v>
      </c>
      <c r="X6" s="27">
        <f>'2 ALIYAH C'!T6:T39</f>
        <v>94</v>
      </c>
      <c r="Y6" s="27">
        <f t="shared" si="5"/>
        <v>83</v>
      </c>
      <c r="Z6" s="28">
        <f t="shared" si="1"/>
        <v>177</v>
      </c>
      <c r="AA6" s="27">
        <v>26</v>
      </c>
      <c r="AB6" s="28">
        <f t="shared" si="6"/>
        <v>7</v>
      </c>
      <c r="AC6" s="29" t="str">
        <f t="shared" si="2"/>
        <v>المتوسط الأول</v>
      </c>
      <c r="AE6" s="51">
        <f>'2 ALIYAH C'!U6:U39</f>
        <v>1</v>
      </c>
      <c r="AF6" s="51" t="str">
        <f>U6:U35</f>
        <v>-</v>
      </c>
      <c r="AG6" s="52">
        <f t="shared" si="7"/>
        <v>1</v>
      </c>
      <c r="AI6" s="51" t="str">
        <f>'2 ALIYAH C'!V6:V40</f>
        <v>-</v>
      </c>
      <c r="AJ6" s="51" t="str">
        <f t="shared" si="3"/>
        <v>-</v>
      </c>
      <c r="AK6" s="52">
        <f t="shared" si="8"/>
        <v>0</v>
      </c>
    </row>
    <row r="7" spans="1:37" s="1" customFormat="1" ht="25.15" customHeight="1" thickBot="1" x14ac:dyDescent="0.3">
      <c r="A7" s="41" t="s">
        <v>19</v>
      </c>
      <c r="B7" s="79" t="str">
        <f>'2 ALIYAH C'!B7:D40</f>
        <v>FAZA NAYYIROTUT THOYYIBAH AL-FAIQOH</v>
      </c>
      <c r="C7" s="132">
        <v>2731</v>
      </c>
      <c r="D7" s="19" t="s">
        <v>19</v>
      </c>
      <c r="E7" s="3" t="str">
        <f t="shared" si="4"/>
        <v>٦</v>
      </c>
      <c r="F7" s="3">
        <v>6</v>
      </c>
      <c r="G7" s="3" t="s">
        <v>56</v>
      </c>
      <c r="H7" s="3">
        <v>7</v>
      </c>
      <c r="I7" s="3">
        <v>9</v>
      </c>
      <c r="J7" s="3">
        <v>7</v>
      </c>
      <c r="K7" s="3">
        <v>7</v>
      </c>
      <c r="L7" s="3">
        <v>6</v>
      </c>
      <c r="M7" s="3">
        <v>7</v>
      </c>
      <c r="N7" s="3">
        <v>9</v>
      </c>
      <c r="O7" s="3">
        <v>7</v>
      </c>
      <c r="P7" s="3">
        <v>8</v>
      </c>
      <c r="Q7" s="3">
        <v>8</v>
      </c>
      <c r="R7" s="3">
        <v>8</v>
      </c>
      <c r="S7" s="3">
        <v>8</v>
      </c>
      <c r="T7" s="4">
        <f t="shared" si="9"/>
        <v>97</v>
      </c>
      <c r="U7" s="44" t="s">
        <v>56</v>
      </c>
      <c r="V7" s="44" t="s">
        <v>56</v>
      </c>
      <c r="X7" s="27">
        <f>'2 ALIYAH C'!T7:T40</f>
        <v>100</v>
      </c>
      <c r="Y7" s="27">
        <f t="shared" si="5"/>
        <v>97</v>
      </c>
      <c r="Z7" s="28">
        <f t="shared" si="1"/>
        <v>197</v>
      </c>
      <c r="AA7" s="27">
        <v>26</v>
      </c>
      <c r="AB7" s="28">
        <f t="shared" si="6"/>
        <v>8</v>
      </c>
      <c r="AC7" s="29" t="str">
        <f t="shared" si="2"/>
        <v>الجيد الثاني</v>
      </c>
      <c r="AE7" s="51" t="str">
        <f>'2 ALIYAH C'!U7:U40</f>
        <v>-</v>
      </c>
      <c r="AF7" s="51" t="str">
        <f>U7:U35</f>
        <v>-</v>
      </c>
      <c r="AG7" s="52">
        <f t="shared" si="7"/>
        <v>0</v>
      </c>
      <c r="AI7" s="51" t="str">
        <f>'2 ALIYAH C'!V7:V41</f>
        <v>-</v>
      </c>
      <c r="AJ7" s="51" t="str">
        <f t="shared" si="3"/>
        <v>-</v>
      </c>
      <c r="AK7" s="52">
        <f t="shared" si="8"/>
        <v>0</v>
      </c>
    </row>
    <row r="8" spans="1:37" s="1" customFormat="1" ht="25.15" customHeight="1" thickBot="1" x14ac:dyDescent="0.3">
      <c r="A8" s="41" t="s">
        <v>20</v>
      </c>
      <c r="B8" s="79" t="str">
        <f>'2 ALIYAH C'!B8:D41</f>
        <v>HARTI MINAWATI</v>
      </c>
      <c r="C8" s="132">
        <v>2694</v>
      </c>
      <c r="D8" s="19" t="s">
        <v>20</v>
      </c>
      <c r="E8" s="3" t="str">
        <f t="shared" si="4"/>
        <v>٩</v>
      </c>
      <c r="F8" s="3">
        <v>9</v>
      </c>
      <c r="G8" s="3" t="s">
        <v>56</v>
      </c>
      <c r="H8" s="3">
        <v>9</v>
      </c>
      <c r="I8" s="3">
        <v>9</v>
      </c>
      <c r="J8" s="3">
        <v>9</v>
      </c>
      <c r="K8" s="3">
        <v>7</v>
      </c>
      <c r="L8" s="3">
        <v>9</v>
      </c>
      <c r="M8" s="3">
        <v>4</v>
      </c>
      <c r="N8" s="3">
        <v>4</v>
      </c>
      <c r="O8" s="3">
        <v>8</v>
      </c>
      <c r="P8" s="3">
        <v>8</v>
      </c>
      <c r="Q8" s="3">
        <v>8</v>
      </c>
      <c r="R8" s="3">
        <v>8</v>
      </c>
      <c r="S8" s="3">
        <v>8</v>
      </c>
      <c r="T8" s="4">
        <f>SUM(E8:S8)</f>
        <v>100</v>
      </c>
      <c r="U8" s="44" t="s">
        <v>56</v>
      </c>
      <c r="V8" s="44" t="s">
        <v>56</v>
      </c>
      <c r="X8" s="27">
        <f>'2 ALIYAH C'!T8:T41</f>
        <v>102</v>
      </c>
      <c r="Y8" s="27">
        <f t="shared" si="5"/>
        <v>100</v>
      </c>
      <c r="Z8" s="28">
        <f t="shared" si="1"/>
        <v>202</v>
      </c>
      <c r="AA8" s="27">
        <v>26</v>
      </c>
      <c r="AB8" s="28">
        <f t="shared" si="6"/>
        <v>8</v>
      </c>
      <c r="AC8" s="29" t="str">
        <f t="shared" si="2"/>
        <v>الجيد الثاني</v>
      </c>
      <c r="AE8" s="51" t="str">
        <f>'2 ALIYAH C'!U8:U41</f>
        <v>-</v>
      </c>
      <c r="AF8" s="51" t="str">
        <f>U8:U35</f>
        <v>-</v>
      </c>
      <c r="AG8" s="52">
        <f t="shared" si="7"/>
        <v>0</v>
      </c>
      <c r="AI8" s="51" t="str">
        <f>'2 ALIYAH C'!V8:V42</f>
        <v>-</v>
      </c>
      <c r="AJ8" s="51" t="str">
        <f t="shared" si="3"/>
        <v>-</v>
      </c>
      <c r="AK8" s="52">
        <f t="shared" si="8"/>
        <v>0</v>
      </c>
    </row>
    <row r="9" spans="1:37" s="1" customFormat="1" ht="25.15" customHeight="1" thickBot="1" x14ac:dyDescent="0.3">
      <c r="A9" s="41" t="s">
        <v>21</v>
      </c>
      <c r="B9" s="124" t="s">
        <v>143</v>
      </c>
      <c r="C9" s="132">
        <v>2828</v>
      </c>
      <c r="D9" s="19" t="s">
        <v>21</v>
      </c>
      <c r="E9" s="3" t="str">
        <f t="shared" si="4"/>
        <v>٩</v>
      </c>
      <c r="F9" s="3">
        <v>9</v>
      </c>
      <c r="G9" s="3" t="s">
        <v>56</v>
      </c>
      <c r="H9" s="3">
        <v>9</v>
      </c>
      <c r="I9" s="3">
        <v>9</v>
      </c>
      <c r="J9" s="3">
        <v>9</v>
      </c>
      <c r="K9" s="3">
        <v>9</v>
      </c>
      <c r="L9" s="3">
        <v>9</v>
      </c>
      <c r="M9" s="3">
        <v>8</v>
      </c>
      <c r="N9" s="3">
        <v>9</v>
      </c>
      <c r="O9" s="3">
        <v>9</v>
      </c>
      <c r="P9" s="3">
        <v>9</v>
      </c>
      <c r="Q9" s="3">
        <v>9</v>
      </c>
      <c r="R9" s="3">
        <v>9</v>
      </c>
      <c r="S9" s="3">
        <v>8</v>
      </c>
      <c r="T9" s="4">
        <f t="shared" si="9"/>
        <v>115</v>
      </c>
      <c r="U9" s="44" t="s">
        <v>56</v>
      </c>
      <c r="V9" s="44" t="s">
        <v>56</v>
      </c>
      <c r="X9" s="27">
        <f>'2 ALIYAH C'!T9:T42</f>
        <v>114</v>
      </c>
      <c r="Y9" s="27">
        <f t="shared" si="5"/>
        <v>115</v>
      </c>
      <c r="Z9" s="28">
        <f t="shared" si="1"/>
        <v>229</v>
      </c>
      <c r="AA9" s="27">
        <v>26</v>
      </c>
      <c r="AB9" s="28">
        <f t="shared" si="6"/>
        <v>9</v>
      </c>
      <c r="AC9" s="29" t="str">
        <f t="shared" si="2"/>
        <v>الجيد الأول</v>
      </c>
      <c r="AE9" s="51" t="str">
        <f>'2 ALIYAH C'!U9:U42</f>
        <v>-</v>
      </c>
      <c r="AF9" s="51" t="str">
        <f>U9:U35</f>
        <v>-</v>
      </c>
      <c r="AG9" s="52">
        <f t="shared" si="7"/>
        <v>0</v>
      </c>
      <c r="AI9" s="51" t="str">
        <f>'2 ALIYAH C'!V9:V43</f>
        <v>-</v>
      </c>
      <c r="AJ9" s="51" t="str">
        <f t="shared" si="3"/>
        <v>-</v>
      </c>
      <c r="AK9" s="52">
        <f t="shared" si="8"/>
        <v>0</v>
      </c>
    </row>
    <row r="10" spans="1:37" s="218" customFormat="1" ht="25.15" customHeight="1" thickBot="1" x14ac:dyDescent="0.3">
      <c r="A10" s="222" t="s">
        <v>22</v>
      </c>
      <c r="B10" s="223" t="s">
        <v>168</v>
      </c>
      <c r="C10" s="224">
        <v>2656</v>
      </c>
      <c r="D10" s="215" t="s">
        <v>22</v>
      </c>
      <c r="E10" s="216" t="str">
        <f t="shared" si="4"/>
        <v>٤</v>
      </c>
      <c r="F10" s="216">
        <v>4</v>
      </c>
      <c r="G10" s="216" t="s">
        <v>56</v>
      </c>
      <c r="H10" s="216">
        <v>4</v>
      </c>
      <c r="I10" s="216">
        <v>4</v>
      </c>
      <c r="J10" s="216">
        <v>6</v>
      </c>
      <c r="K10" s="216">
        <v>4</v>
      </c>
      <c r="L10" s="216">
        <v>7</v>
      </c>
      <c r="M10" s="216">
        <v>4</v>
      </c>
      <c r="N10" s="216">
        <v>4</v>
      </c>
      <c r="O10" s="216">
        <v>4</v>
      </c>
      <c r="P10" s="216">
        <v>7</v>
      </c>
      <c r="Q10" s="216">
        <v>7</v>
      </c>
      <c r="R10" s="216">
        <v>7</v>
      </c>
      <c r="S10" s="216">
        <v>7</v>
      </c>
      <c r="T10" s="216">
        <f t="shared" si="9"/>
        <v>69</v>
      </c>
      <c r="U10" s="217" t="s">
        <v>56</v>
      </c>
      <c r="V10" s="217">
        <v>1</v>
      </c>
      <c r="X10" s="219">
        <f>'2 ALIYAH C'!T10:T43</f>
        <v>81</v>
      </c>
      <c r="Y10" s="219">
        <f t="shared" si="5"/>
        <v>69</v>
      </c>
      <c r="Z10" s="219">
        <f t="shared" si="1"/>
        <v>150</v>
      </c>
      <c r="AA10" s="219">
        <v>26</v>
      </c>
      <c r="AB10" s="219">
        <f t="shared" si="6"/>
        <v>6</v>
      </c>
      <c r="AC10" s="219" t="str">
        <f t="shared" si="2"/>
        <v>المتوسط الثاني</v>
      </c>
      <c r="AE10" s="220">
        <f>'2 ALIYAH C'!U10:U43</f>
        <v>6</v>
      </c>
      <c r="AF10" s="220" t="str">
        <f>U10:U35</f>
        <v>-</v>
      </c>
      <c r="AG10" s="220">
        <f t="shared" si="7"/>
        <v>6</v>
      </c>
      <c r="AI10" s="220">
        <f>'2 ALIYAH C'!V10:V44</f>
        <v>7</v>
      </c>
      <c r="AJ10" s="220">
        <f t="shared" si="3"/>
        <v>1</v>
      </c>
      <c r="AK10" s="220">
        <f t="shared" si="8"/>
        <v>8</v>
      </c>
    </row>
    <row r="11" spans="1:37" s="1" customFormat="1" ht="25.15" customHeight="1" thickBot="1" x14ac:dyDescent="0.3">
      <c r="A11" s="41" t="s">
        <v>23</v>
      </c>
      <c r="B11" s="123" t="s">
        <v>144</v>
      </c>
      <c r="C11" s="132">
        <v>2695</v>
      </c>
      <c r="D11" s="19" t="s">
        <v>23</v>
      </c>
      <c r="E11" s="3" t="str">
        <f t="shared" si="4"/>
        <v>٥</v>
      </c>
      <c r="F11" s="3">
        <v>5</v>
      </c>
      <c r="G11" s="3" t="s">
        <v>56</v>
      </c>
      <c r="H11" s="3">
        <v>8</v>
      </c>
      <c r="I11" s="3">
        <v>7</v>
      </c>
      <c r="J11" s="3">
        <v>6</v>
      </c>
      <c r="K11" s="3">
        <v>6</v>
      </c>
      <c r="L11" s="3">
        <v>9</v>
      </c>
      <c r="M11" s="3">
        <v>4</v>
      </c>
      <c r="N11" s="3">
        <v>7</v>
      </c>
      <c r="O11" s="3">
        <v>6</v>
      </c>
      <c r="P11" s="3">
        <v>8</v>
      </c>
      <c r="Q11" s="3">
        <v>7</v>
      </c>
      <c r="R11" s="3">
        <v>8</v>
      </c>
      <c r="S11" s="3">
        <v>8</v>
      </c>
      <c r="T11" s="4">
        <f t="shared" si="9"/>
        <v>89</v>
      </c>
      <c r="U11" s="44" t="s">
        <v>56</v>
      </c>
      <c r="V11" s="44" t="s">
        <v>56</v>
      </c>
      <c r="X11" s="27">
        <f>'2 ALIYAH C'!T11:T44</f>
        <v>101</v>
      </c>
      <c r="Y11" s="27">
        <f t="shared" si="5"/>
        <v>89</v>
      </c>
      <c r="Z11" s="28">
        <f t="shared" si="1"/>
        <v>190</v>
      </c>
      <c r="AA11" s="27">
        <v>26</v>
      </c>
      <c r="AB11" s="28">
        <f t="shared" si="6"/>
        <v>7</v>
      </c>
      <c r="AC11" s="29" t="str">
        <f t="shared" si="2"/>
        <v>المتوسط الأول</v>
      </c>
      <c r="AE11" s="51">
        <f>'2 ALIYAH C'!U11:U44</f>
        <v>1</v>
      </c>
      <c r="AF11" s="51" t="str">
        <f>U11:U35</f>
        <v>-</v>
      </c>
      <c r="AG11" s="52">
        <f t="shared" si="7"/>
        <v>1</v>
      </c>
      <c r="AI11" s="51" t="str">
        <f>'2 ALIYAH C'!V11:V45</f>
        <v>-</v>
      </c>
      <c r="AJ11" s="51" t="str">
        <f t="shared" si="3"/>
        <v>-</v>
      </c>
      <c r="AK11" s="52">
        <f t="shared" si="8"/>
        <v>0</v>
      </c>
    </row>
    <row r="12" spans="1:37" s="1" customFormat="1" ht="25.15" customHeight="1" thickBot="1" x14ac:dyDescent="0.3">
      <c r="A12" s="41" t="s">
        <v>24</v>
      </c>
      <c r="B12" s="124" t="s">
        <v>145</v>
      </c>
      <c r="C12" s="213">
        <v>2538</v>
      </c>
      <c r="D12" s="19" t="s">
        <v>24</v>
      </c>
      <c r="E12" s="3" t="str">
        <f t="shared" si="4"/>
        <v>٤</v>
      </c>
      <c r="F12" s="3">
        <v>4</v>
      </c>
      <c r="G12" s="3" t="s">
        <v>56</v>
      </c>
      <c r="H12" s="3">
        <v>5</v>
      </c>
      <c r="I12" s="3">
        <v>5</v>
      </c>
      <c r="J12" s="3">
        <v>4</v>
      </c>
      <c r="K12" s="3">
        <v>7</v>
      </c>
      <c r="L12" s="3">
        <v>6</v>
      </c>
      <c r="M12" s="3">
        <v>4</v>
      </c>
      <c r="N12" s="3">
        <v>4</v>
      </c>
      <c r="O12" s="3">
        <v>5</v>
      </c>
      <c r="P12" s="3">
        <v>7</v>
      </c>
      <c r="Q12" s="3">
        <v>7</v>
      </c>
      <c r="R12" s="3">
        <v>8</v>
      </c>
      <c r="S12" s="3">
        <v>8</v>
      </c>
      <c r="T12" s="4">
        <f t="shared" si="9"/>
        <v>74</v>
      </c>
      <c r="U12" s="44">
        <v>6</v>
      </c>
      <c r="V12" s="44" t="s">
        <v>56</v>
      </c>
      <c r="X12" s="27">
        <f>'2 ALIYAH C'!T12:T45</f>
        <v>76</v>
      </c>
      <c r="Y12" s="27">
        <f t="shared" si="5"/>
        <v>74</v>
      </c>
      <c r="Z12" s="28">
        <f t="shared" si="1"/>
        <v>150</v>
      </c>
      <c r="AA12" s="27">
        <v>26</v>
      </c>
      <c r="AB12" s="28">
        <f t="shared" si="6"/>
        <v>6</v>
      </c>
      <c r="AC12" s="29" t="str">
        <f t="shared" si="2"/>
        <v>المتوسط الثاني</v>
      </c>
      <c r="AE12" s="51" t="str">
        <f>'2 ALIYAH C'!U12:U45</f>
        <v>-</v>
      </c>
      <c r="AF12" s="51">
        <f t="shared" ref="AF12:AF25" si="10">U12:U35</f>
        <v>6</v>
      </c>
      <c r="AG12" s="52">
        <f t="shared" si="7"/>
        <v>6</v>
      </c>
      <c r="AI12" s="51" t="str">
        <f>'2 ALIYAH C'!V12:V46</f>
        <v>-</v>
      </c>
      <c r="AJ12" s="51" t="str">
        <f>V12:V35</f>
        <v>-</v>
      </c>
      <c r="AK12" s="52">
        <f t="shared" si="8"/>
        <v>0</v>
      </c>
    </row>
    <row r="13" spans="1:37" s="1" customFormat="1" ht="25.15" customHeight="1" thickBot="1" x14ac:dyDescent="0.3">
      <c r="A13" s="41" t="s">
        <v>25</v>
      </c>
      <c r="B13" s="124" t="s">
        <v>146</v>
      </c>
      <c r="C13" s="132">
        <v>2767</v>
      </c>
      <c r="D13" s="19" t="s">
        <v>25</v>
      </c>
      <c r="E13" s="3" t="str">
        <f t="shared" si="4"/>
        <v>٩</v>
      </c>
      <c r="F13" s="3">
        <v>9</v>
      </c>
      <c r="G13" s="3" t="s">
        <v>56</v>
      </c>
      <c r="H13" s="3">
        <v>9</v>
      </c>
      <c r="I13" s="3">
        <v>9</v>
      </c>
      <c r="J13" s="3">
        <v>9</v>
      </c>
      <c r="K13" s="3">
        <v>9</v>
      </c>
      <c r="L13" s="3">
        <v>8</v>
      </c>
      <c r="M13" s="3">
        <v>9</v>
      </c>
      <c r="N13" s="3">
        <v>9</v>
      </c>
      <c r="O13" s="3">
        <v>9</v>
      </c>
      <c r="P13" s="3">
        <v>9</v>
      </c>
      <c r="Q13" s="3">
        <v>8</v>
      </c>
      <c r="R13" s="3">
        <v>8</v>
      </c>
      <c r="S13" s="3">
        <v>8</v>
      </c>
      <c r="T13" s="4">
        <f t="shared" si="9"/>
        <v>113</v>
      </c>
      <c r="U13" s="44">
        <v>1</v>
      </c>
      <c r="V13" s="44" t="s">
        <v>56</v>
      </c>
      <c r="X13" s="27">
        <f>'2 ALIYAH C'!T13:T46</f>
        <v>114</v>
      </c>
      <c r="Y13" s="27">
        <f t="shared" si="5"/>
        <v>113</v>
      </c>
      <c r="Z13" s="28">
        <f t="shared" si="1"/>
        <v>227</v>
      </c>
      <c r="AA13" s="27">
        <v>26</v>
      </c>
      <c r="AB13" s="28">
        <f t="shared" si="6"/>
        <v>9</v>
      </c>
      <c r="AC13" s="29" t="str">
        <f t="shared" si="2"/>
        <v>الجيد الأول</v>
      </c>
      <c r="AE13" s="51">
        <f>'2 ALIYAH C'!U13:U46</f>
        <v>1</v>
      </c>
      <c r="AF13" s="51">
        <f t="shared" si="10"/>
        <v>1</v>
      </c>
      <c r="AG13" s="52">
        <f t="shared" si="7"/>
        <v>2</v>
      </c>
      <c r="AI13" s="51" t="str">
        <f>'2 ALIYAH C'!V13:V47</f>
        <v>-</v>
      </c>
      <c r="AJ13" s="51" t="str">
        <f>V13:V35</f>
        <v>-</v>
      </c>
      <c r="AK13" s="52">
        <f t="shared" si="8"/>
        <v>0</v>
      </c>
    </row>
    <row r="14" spans="1:37" s="1" customFormat="1" ht="25.15" customHeight="1" thickBot="1" x14ac:dyDescent="0.3">
      <c r="A14" s="41" t="s">
        <v>26</v>
      </c>
      <c r="B14" s="124" t="s">
        <v>147</v>
      </c>
      <c r="C14" s="132">
        <v>2735</v>
      </c>
      <c r="D14" s="19" t="s">
        <v>26</v>
      </c>
      <c r="E14" s="3" t="str">
        <f t="shared" si="4"/>
        <v>٩</v>
      </c>
      <c r="F14" s="3">
        <v>9</v>
      </c>
      <c r="G14" s="3" t="s">
        <v>56</v>
      </c>
      <c r="H14" s="3">
        <v>9</v>
      </c>
      <c r="I14" s="3">
        <v>9</v>
      </c>
      <c r="J14" s="3">
        <v>9</v>
      </c>
      <c r="K14" s="3">
        <v>9</v>
      </c>
      <c r="L14" s="3">
        <v>9</v>
      </c>
      <c r="M14" s="3">
        <v>8</v>
      </c>
      <c r="N14" s="3">
        <v>9</v>
      </c>
      <c r="O14" s="3">
        <v>9</v>
      </c>
      <c r="P14" s="3">
        <v>9</v>
      </c>
      <c r="Q14" s="3">
        <v>8</v>
      </c>
      <c r="R14" s="3">
        <v>8</v>
      </c>
      <c r="S14" s="3">
        <v>8</v>
      </c>
      <c r="T14" s="4">
        <f t="shared" si="9"/>
        <v>113</v>
      </c>
      <c r="U14" s="44" t="s">
        <v>56</v>
      </c>
      <c r="V14" s="44" t="s">
        <v>56</v>
      </c>
      <c r="X14" s="27">
        <f>'2 ALIYAH C'!T14:T47</f>
        <v>112</v>
      </c>
      <c r="Y14" s="27">
        <f t="shared" si="5"/>
        <v>113</v>
      </c>
      <c r="Z14" s="28">
        <f t="shared" si="1"/>
        <v>225</v>
      </c>
      <c r="AA14" s="27">
        <v>26</v>
      </c>
      <c r="AB14" s="28">
        <f t="shared" si="6"/>
        <v>9</v>
      </c>
      <c r="AC14" s="29" t="str">
        <f t="shared" si="2"/>
        <v>الجيد الأول</v>
      </c>
      <c r="AE14" s="51" t="str">
        <f>'2 ALIYAH C'!U14:U47</f>
        <v>-</v>
      </c>
      <c r="AF14" s="51" t="str">
        <f t="shared" si="10"/>
        <v>-</v>
      </c>
      <c r="AG14" s="52">
        <f t="shared" si="7"/>
        <v>0</v>
      </c>
      <c r="AI14" s="51" t="str">
        <f>'2 ALIYAH C'!V14:V48</f>
        <v>-</v>
      </c>
      <c r="AJ14" s="51" t="str">
        <f>V14:V35</f>
        <v>-</v>
      </c>
      <c r="AK14" s="52">
        <f t="shared" si="8"/>
        <v>0</v>
      </c>
    </row>
    <row r="15" spans="1:37" s="1" customFormat="1" ht="25.15" customHeight="1" thickBot="1" x14ac:dyDescent="0.3">
      <c r="A15" s="41" t="s">
        <v>27</v>
      </c>
      <c r="B15" s="124" t="s">
        <v>148</v>
      </c>
      <c r="C15" s="132">
        <v>2894</v>
      </c>
      <c r="D15" s="19" t="s">
        <v>27</v>
      </c>
      <c r="E15" s="3" t="str">
        <f t="shared" si="4"/>
        <v>٩</v>
      </c>
      <c r="F15" s="3">
        <v>9</v>
      </c>
      <c r="G15" s="3" t="s">
        <v>56</v>
      </c>
      <c r="H15" s="3">
        <v>9</v>
      </c>
      <c r="I15" s="3">
        <v>9</v>
      </c>
      <c r="J15" s="3">
        <v>9</v>
      </c>
      <c r="K15" s="3">
        <v>8</v>
      </c>
      <c r="L15" s="3">
        <v>8</v>
      </c>
      <c r="M15" s="3">
        <v>7</v>
      </c>
      <c r="N15" s="3">
        <v>9</v>
      </c>
      <c r="O15" s="3">
        <v>8</v>
      </c>
      <c r="P15" s="3">
        <v>8</v>
      </c>
      <c r="Q15" s="3">
        <v>8</v>
      </c>
      <c r="R15" s="3">
        <v>8</v>
      </c>
      <c r="S15" s="3">
        <v>8</v>
      </c>
      <c r="T15" s="4">
        <f t="shared" si="9"/>
        <v>108</v>
      </c>
      <c r="U15" s="44" t="s">
        <v>56</v>
      </c>
      <c r="V15" s="44" t="s">
        <v>56</v>
      </c>
      <c r="X15" s="27">
        <f>'2 ALIYAH C'!T15:T48</f>
        <v>110</v>
      </c>
      <c r="Y15" s="27">
        <f t="shared" si="5"/>
        <v>108</v>
      </c>
      <c r="Z15" s="28">
        <f t="shared" si="1"/>
        <v>218</v>
      </c>
      <c r="AA15" s="27">
        <v>26</v>
      </c>
      <c r="AB15" s="28">
        <f t="shared" si="6"/>
        <v>8</v>
      </c>
      <c r="AC15" s="29" t="str">
        <f t="shared" si="2"/>
        <v>الجيد الثاني</v>
      </c>
      <c r="AE15" s="51">
        <f>'2 ALIYAH C'!U15:U48</f>
        <v>5</v>
      </c>
      <c r="AF15" s="51" t="str">
        <f t="shared" si="10"/>
        <v>-</v>
      </c>
      <c r="AG15" s="52">
        <f t="shared" si="7"/>
        <v>5</v>
      </c>
      <c r="AI15" s="51">
        <f>'2 ALIYAH C'!V15:V49</f>
        <v>1</v>
      </c>
      <c r="AJ15" s="51" t="str">
        <f>V15:V35</f>
        <v>-</v>
      </c>
      <c r="AK15" s="52">
        <f t="shared" si="8"/>
        <v>1</v>
      </c>
    </row>
    <row r="16" spans="1:37" s="1" customFormat="1" ht="25.15" customHeight="1" thickBot="1" x14ac:dyDescent="0.3">
      <c r="A16" s="41" t="s">
        <v>28</v>
      </c>
      <c r="B16" s="124" t="s">
        <v>149</v>
      </c>
      <c r="C16" s="132">
        <v>2834</v>
      </c>
      <c r="D16" s="19" t="s">
        <v>28</v>
      </c>
      <c r="E16" s="3" t="str">
        <f t="shared" si="4"/>
        <v>٦</v>
      </c>
      <c r="F16" s="3">
        <v>6</v>
      </c>
      <c r="G16" s="3" t="s">
        <v>56</v>
      </c>
      <c r="H16" s="3">
        <v>9</v>
      </c>
      <c r="I16" s="3">
        <v>8</v>
      </c>
      <c r="J16" s="3">
        <v>7</v>
      </c>
      <c r="K16" s="3">
        <v>7</v>
      </c>
      <c r="L16" s="3">
        <v>9</v>
      </c>
      <c r="M16" s="3">
        <v>9</v>
      </c>
      <c r="N16" s="3">
        <v>8</v>
      </c>
      <c r="O16" s="3">
        <v>8</v>
      </c>
      <c r="P16" s="3">
        <v>8</v>
      </c>
      <c r="Q16" s="3">
        <v>8</v>
      </c>
      <c r="R16" s="3">
        <v>8</v>
      </c>
      <c r="S16" s="3">
        <v>8</v>
      </c>
      <c r="T16" s="4">
        <f t="shared" si="9"/>
        <v>103</v>
      </c>
      <c r="U16" s="44" t="s">
        <v>56</v>
      </c>
      <c r="V16" s="44" t="s">
        <v>56</v>
      </c>
      <c r="X16" s="27">
        <f>'2 ALIYAH C'!T16:T49</f>
        <v>105</v>
      </c>
      <c r="Y16" s="27">
        <f t="shared" si="5"/>
        <v>103</v>
      </c>
      <c r="Z16" s="28">
        <f t="shared" si="1"/>
        <v>208</v>
      </c>
      <c r="AA16" s="27">
        <v>26</v>
      </c>
      <c r="AB16" s="28">
        <f t="shared" si="6"/>
        <v>8</v>
      </c>
      <c r="AC16" s="29" t="str">
        <f t="shared" si="2"/>
        <v>الجيد الثاني</v>
      </c>
      <c r="AE16" s="51" t="str">
        <f>'2 ALIYAH C'!U16:U49</f>
        <v>-</v>
      </c>
      <c r="AF16" s="51" t="str">
        <f t="shared" si="10"/>
        <v>-</v>
      </c>
      <c r="AG16" s="52">
        <f t="shared" si="7"/>
        <v>0</v>
      </c>
      <c r="AI16" s="51">
        <f>'2 ALIYAH C'!V16:V50</f>
        <v>1</v>
      </c>
      <c r="AJ16" s="51" t="str">
        <f>V16:V35</f>
        <v>-</v>
      </c>
      <c r="AK16" s="52">
        <f t="shared" si="8"/>
        <v>1</v>
      </c>
    </row>
    <row r="17" spans="1:37" s="1" customFormat="1" ht="25.15" customHeight="1" thickBot="1" x14ac:dyDescent="0.3">
      <c r="A17" s="41" t="s">
        <v>29</v>
      </c>
      <c r="B17" s="128" t="s">
        <v>169</v>
      </c>
      <c r="C17" s="132">
        <v>2772</v>
      </c>
      <c r="D17" s="19" t="s">
        <v>29</v>
      </c>
      <c r="E17" s="3" t="str">
        <f t="shared" si="4"/>
        <v>٩</v>
      </c>
      <c r="F17" s="3">
        <v>9</v>
      </c>
      <c r="G17" s="3" t="s">
        <v>56</v>
      </c>
      <c r="H17" s="3">
        <v>8</v>
      </c>
      <c r="I17" s="3">
        <v>9</v>
      </c>
      <c r="J17" s="3">
        <v>6</v>
      </c>
      <c r="K17" s="3">
        <v>8</v>
      </c>
      <c r="L17" s="3">
        <v>9</v>
      </c>
      <c r="M17" s="3">
        <v>7</v>
      </c>
      <c r="N17" s="3">
        <v>7</v>
      </c>
      <c r="O17" s="3">
        <v>9</v>
      </c>
      <c r="P17" s="3">
        <v>9</v>
      </c>
      <c r="Q17" s="3">
        <v>8</v>
      </c>
      <c r="R17" s="3">
        <v>8</v>
      </c>
      <c r="S17" s="3">
        <v>8</v>
      </c>
      <c r="T17" s="4">
        <f t="shared" si="9"/>
        <v>105</v>
      </c>
      <c r="U17" s="44" t="s">
        <v>56</v>
      </c>
      <c r="V17" s="44" t="s">
        <v>56</v>
      </c>
      <c r="X17" s="27">
        <f>'2 ALIYAH C'!T17:T50</f>
        <v>107</v>
      </c>
      <c r="Y17" s="27">
        <f t="shared" si="5"/>
        <v>105</v>
      </c>
      <c r="Z17" s="28">
        <f t="shared" si="1"/>
        <v>212</v>
      </c>
      <c r="AA17" s="27">
        <v>26</v>
      </c>
      <c r="AB17" s="28">
        <f t="shared" si="6"/>
        <v>8</v>
      </c>
      <c r="AC17" s="29" t="str">
        <f t="shared" si="2"/>
        <v>الجيد الثاني</v>
      </c>
      <c r="AE17" s="51">
        <f>'2 ALIYAH C'!U17:U50</f>
        <v>4</v>
      </c>
      <c r="AF17" s="51" t="str">
        <f t="shared" si="10"/>
        <v>-</v>
      </c>
      <c r="AG17" s="52">
        <f t="shared" si="7"/>
        <v>4</v>
      </c>
      <c r="AI17" s="51">
        <f>'2 ALIYAH C'!V17:V51</f>
        <v>3</v>
      </c>
      <c r="AJ17" s="51" t="str">
        <f>V17:V35</f>
        <v>-</v>
      </c>
      <c r="AK17" s="52">
        <f t="shared" si="8"/>
        <v>3</v>
      </c>
    </row>
    <row r="18" spans="1:37" s="1" customFormat="1" ht="25.15" customHeight="1" thickBot="1" x14ac:dyDescent="0.3">
      <c r="A18" s="41" t="s">
        <v>30</v>
      </c>
      <c r="B18" s="123" t="s">
        <v>150</v>
      </c>
      <c r="C18" s="132">
        <v>2810</v>
      </c>
      <c r="D18" s="19" t="s">
        <v>30</v>
      </c>
      <c r="E18" s="3" t="str">
        <f t="shared" si="4"/>
        <v>٩</v>
      </c>
      <c r="F18" s="3">
        <v>9</v>
      </c>
      <c r="G18" s="3" t="s">
        <v>56</v>
      </c>
      <c r="H18" s="3">
        <v>9</v>
      </c>
      <c r="I18" s="3">
        <v>9</v>
      </c>
      <c r="J18" s="3">
        <v>8</v>
      </c>
      <c r="K18" s="3">
        <v>8</v>
      </c>
      <c r="L18" s="3">
        <v>9</v>
      </c>
      <c r="M18" s="3">
        <v>4</v>
      </c>
      <c r="N18" s="3">
        <v>9</v>
      </c>
      <c r="O18" s="3">
        <v>7</v>
      </c>
      <c r="P18" s="3">
        <v>7</v>
      </c>
      <c r="Q18" s="3">
        <v>8</v>
      </c>
      <c r="R18" s="3">
        <v>8</v>
      </c>
      <c r="S18" s="3">
        <v>7</v>
      </c>
      <c r="T18" s="4">
        <f t="shared" si="9"/>
        <v>102</v>
      </c>
      <c r="U18" s="44">
        <v>2</v>
      </c>
      <c r="V18" s="44" t="s">
        <v>56</v>
      </c>
      <c r="X18" s="27">
        <f>'2 ALIYAH C'!T18:T51</f>
        <v>108</v>
      </c>
      <c r="Y18" s="27">
        <f t="shared" si="5"/>
        <v>102</v>
      </c>
      <c r="Z18" s="28">
        <f t="shared" si="1"/>
        <v>210</v>
      </c>
      <c r="AA18" s="27">
        <v>26</v>
      </c>
      <c r="AB18" s="28">
        <f t="shared" si="6"/>
        <v>8</v>
      </c>
      <c r="AC18" s="29" t="str">
        <f t="shared" si="2"/>
        <v>الجيد الثاني</v>
      </c>
      <c r="AE18" s="51">
        <f>'2 ALIYAH C'!U18:U51</f>
        <v>1</v>
      </c>
      <c r="AF18" s="51">
        <f t="shared" si="10"/>
        <v>2</v>
      </c>
      <c r="AG18" s="52">
        <f t="shared" si="7"/>
        <v>3</v>
      </c>
      <c r="AI18" s="51" t="str">
        <f>'2 ALIYAH C'!V18:V52</f>
        <v>-</v>
      </c>
      <c r="AJ18" s="51" t="str">
        <f>V18:V35</f>
        <v>-</v>
      </c>
      <c r="AK18" s="52">
        <f t="shared" si="8"/>
        <v>0</v>
      </c>
    </row>
    <row r="19" spans="1:37" s="1" customFormat="1" ht="25.15" customHeight="1" thickBot="1" x14ac:dyDescent="0.3">
      <c r="A19" s="41" t="s">
        <v>31</v>
      </c>
      <c r="B19" s="124" t="s">
        <v>151</v>
      </c>
      <c r="C19" s="132">
        <v>2742</v>
      </c>
      <c r="D19" s="19" t="s">
        <v>31</v>
      </c>
      <c r="E19" s="3" t="str">
        <f t="shared" si="4"/>
        <v>٨</v>
      </c>
      <c r="F19" s="3">
        <v>8</v>
      </c>
      <c r="G19" s="3" t="s">
        <v>56</v>
      </c>
      <c r="H19" s="3">
        <v>9</v>
      </c>
      <c r="I19" s="3">
        <v>9</v>
      </c>
      <c r="J19" s="3">
        <v>9</v>
      </c>
      <c r="K19" s="3">
        <v>8</v>
      </c>
      <c r="L19" s="3">
        <v>9</v>
      </c>
      <c r="M19" s="3">
        <v>6</v>
      </c>
      <c r="N19" s="3">
        <v>8</v>
      </c>
      <c r="O19" s="3">
        <v>8</v>
      </c>
      <c r="P19" s="3">
        <v>8</v>
      </c>
      <c r="Q19" s="3">
        <v>8</v>
      </c>
      <c r="R19" s="3">
        <v>8</v>
      </c>
      <c r="S19" s="3">
        <v>8</v>
      </c>
      <c r="T19" s="4">
        <f t="shared" si="9"/>
        <v>106</v>
      </c>
      <c r="U19" s="44">
        <v>1</v>
      </c>
      <c r="V19" s="44" t="s">
        <v>56</v>
      </c>
      <c r="X19" s="27">
        <f>'2 ALIYAH C'!T19:T52</f>
        <v>110</v>
      </c>
      <c r="Y19" s="27">
        <f t="shared" si="5"/>
        <v>106</v>
      </c>
      <c r="Z19" s="28">
        <f t="shared" si="1"/>
        <v>216</v>
      </c>
      <c r="AA19" s="27">
        <v>26</v>
      </c>
      <c r="AB19" s="28">
        <f t="shared" si="6"/>
        <v>8</v>
      </c>
      <c r="AC19" s="29" t="str">
        <f t="shared" si="2"/>
        <v>الجيد الثاني</v>
      </c>
      <c r="AE19" s="51">
        <f>'2 ALIYAH C'!U19:U52</f>
        <v>1</v>
      </c>
      <c r="AF19" s="51">
        <f t="shared" si="10"/>
        <v>1</v>
      </c>
      <c r="AG19" s="52">
        <f t="shared" si="7"/>
        <v>2</v>
      </c>
      <c r="AI19" s="51" t="str">
        <f>'2 ALIYAH C'!V19:V53</f>
        <v>-</v>
      </c>
      <c r="AJ19" s="51" t="str">
        <f>V19:V35</f>
        <v>-</v>
      </c>
      <c r="AK19" s="52">
        <f t="shared" si="8"/>
        <v>0</v>
      </c>
    </row>
    <row r="20" spans="1:37" s="1" customFormat="1" ht="25.15" customHeight="1" thickBot="1" x14ac:dyDescent="0.3">
      <c r="A20" s="41" t="s">
        <v>32</v>
      </c>
      <c r="B20" s="124" t="s">
        <v>152</v>
      </c>
      <c r="C20" s="214">
        <v>2707</v>
      </c>
      <c r="D20" s="19" t="s">
        <v>32</v>
      </c>
      <c r="E20" s="3" t="str">
        <f t="shared" si="4"/>
        <v>٦</v>
      </c>
      <c r="F20" s="3">
        <v>6</v>
      </c>
      <c r="G20" s="3" t="s">
        <v>56</v>
      </c>
      <c r="H20" s="3">
        <v>7</v>
      </c>
      <c r="I20" s="3">
        <v>7</v>
      </c>
      <c r="J20" s="3">
        <v>8</v>
      </c>
      <c r="K20" s="3">
        <v>9</v>
      </c>
      <c r="L20" s="3">
        <v>9</v>
      </c>
      <c r="M20" s="3">
        <v>6</v>
      </c>
      <c r="N20" s="3">
        <v>7</v>
      </c>
      <c r="O20" s="3">
        <v>7</v>
      </c>
      <c r="P20" s="3">
        <v>7</v>
      </c>
      <c r="Q20" s="3">
        <v>8</v>
      </c>
      <c r="R20" s="3">
        <v>8</v>
      </c>
      <c r="S20" s="3">
        <v>8</v>
      </c>
      <c r="T20" s="4">
        <f t="shared" si="9"/>
        <v>97</v>
      </c>
      <c r="U20" s="44" t="s">
        <v>56</v>
      </c>
      <c r="V20" s="44" t="s">
        <v>56</v>
      </c>
      <c r="X20" s="27">
        <f>'2 ALIYAH C'!T20:T53</f>
        <v>109</v>
      </c>
      <c r="Y20" s="27">
        <f t="shared" si="5"/>
        <v>97</v>
      </c>
      <c r="Z20" s="28">
        <f t="shared" si="1"/>
        <v>206</v>
      </c>
      <c r="AA20" s="27">
        <v>26</v>
      </c>
      <c r="AB20" s="28">
        <f t="shared" si="6"/>
        <v>8</v>
      </c>
      <c r="AC20" s="29" t="str">
        <f t="shared" si="2"/>
        <v>الجيد الثاني</v>
      </c>
      <c r="AE20" s="51" t="str">
        <f>'2 ALIYAH C'!U20:U53</f>
        <v>-</v>
      </c>
      <c r="AF20" s="51" t="str">
        <f t="shared" si="10"/>
        <v>-</v>
      </c>
      <c r="AG20" s="52">
        <f t="shared" si="7"/>
        <v>0</v>
      </c>
      <c r="AI20" s="51" t="str">
        <f>'2 ALIYAH C'!V20:V54</f>
        <v>-</v>
      </c>
      <c r="AJ20" s="51" t="str">
        <f t="shared" ref="AJ20:AJ25" si="11">V20:V35</f>
        <v>-</v>
      </c>
      <c r="AK20" s="52">
        <f t="shared" si="8"/>
        <v>0</v>
      </c>
    </row>
    <row r="21" spans="1:37" s="1" customFormat="1" ht="25.15" customHeight="1" thickBot="1" x14ac:dyDescent="0.3">
      <c r="A21" s="41" t="s">
        <v>33</v>
      </c>
      <c r="B21" s="124" t="s">
        <v>153</v>
      </c>
      <c r="C21" s="132">
        <v>2811</v>
      </c>
      <c r="D21" s="19" t="s">
        <v>33</v>
      </c>
      <c r="E21" s="3" t="str">
        <f t="shared" si="4"/>
        <v>٥</v>
      </c>
      <c r="F21" s="3">
        <v>5</v>
      </c>
      <c r="G21" s="3" t="s">
        <v>56</v>
      </c>
      <c r="H21" s="3">
        <v>6</v>
      </c>
      <c r="I21" s="3">
        <v>7</v>
      </c>
      <c r="J21" s="3">
        <v>4</v>
      </c>
      <c r="K21" s="3">
        <v>5</v>
      </c>
      <c r="L21" s="3">
        <v>8</v>
      </c>
      <c r="M21" s="3">
        <v>4</v>
      </c>
      <c r="N21" s="3">
        <v>4</v>
      </c>
      <c r="O21" s="3">
        <v>5</v>
      </c>
      <c r="P21" s="3">
        <v>8</v>
      </c>
      <c r="Q21" s="3">
        <v>7</v>
      </c>
      <c r="R21" s="3">
        <v>8</v>
      </c>
      <c r="S21" s="3">
        <v>8</v>
      </c>
      <c r="T21" s="4">
        <f t="shared" si="9"/>
        <v>79</v>
      </c>
      <c r="U21" s="44">
        <v>1</v>
      </c>
      <c r="V21" s="44" t="s">
        <v>56</v>
      </c>
      <c r="X21" s="27">
        <f>'2 ALIYAH C'!T21:T54</f>
        <v>90</v>
      </c>
      <c r="Y21" s="27">
        <f t="shared" si="5"/>
        <v>79</v>
      </c>
      <c r="Z21" s="28">
        <f t="shared" si="1"/>
        <v>169</v>
      </c>
      <c r="AA21" s="27">
        <v>26</v>
      </c>
      <c r="AB21" s="28">
        <f t="shared" si="6"/>
        <v>7</v>
      </c>
      <c r="AC21" s="29" t="str">
        <f t="shared" si="2"/>
        <v>المتوسط الأول</v>
      </c>
      <c r="AE21" s="51">
        <f>'2 ALIYAH C'!U21:U54</f>
        <v>1</v>
      </c>
      <c r="AF21" s="51">
        <f t="shared" si="10"/>
        <v>1</v>
      </c>
      <c r="AG21" s="52">
        <f t="shared" si="7"/>
        <v>2</v>
      </c>
      <c r="AI21" s="51" t="str">
        <f>'2 ALIYAH C'!V21:V55</f>
        <v>-</v>
      </c>
      <c r="AJ21" s="51" t="str">
        <f t="shared" si="11"/>
        <v>-</v>
      </c>
      <c r="AK21" s="52">
        <f t="shared" si="8"/>
        <v>0</v>
      </c>
    </row>
    <row r="22" spans="1:37" s="1" customFormat="1" ht="25.15" customHeight="1" thickBot="1" x14ac:dyDescent="0.3">
      <c r="A22" s="41" t="s">
        <v>34</v>
      </c>
      <c r="B22" s="124" t="s">
        <v>154</v>
      </c>
      <c r="C22" s="214">
        <v>2512</v>
      </c>
      <c r="D22" s="19" t="s">
        <v>34</v>
      </c>
      <c r="E22" s="3" t="str">
        <f t="shared" si="4"/>
        <v>٤</v>
      </c>
      <c r="F22" s="3">
        <v>4</v>
      </c>
      <c r="G22" s="3" t="s">
        <v>56</v>
      </c>
      <c r="H22" s="3">
        <v>8</v>
      </c>
      <c r="I22" s="3">
        <v>6</v>
      </c>
      <c r="J22" s="3">
        <v>5</v>
      </c>
      <c r="K22" s="3">
        <v>5</v>
      </c>
      <c r="L22" s="3">
        <v>8</v>
      </c>
      <c r="M22" s="3">
        <v>4</v>
      </c>
      <c r="N22" s="3">
        <v>4</v>
      </c>
      <c r="O22" s="3">
        <v>6</v>
      </c>
      <c r="P22" s="3">
        <v>8</v>
      </c>
      <c r="Q22" s="3">
        <v>7</v>
      </c>
      <c r="R22" s="3">
        <v>7</v>
      </c>
      <c r="S22" s="3">
        <v>7</v>
      </c>
      <c r="T22" s="4">
        <f t="shared" si="9"/>
        <v>79</v>
      </c>
      <c r="U22" s="44">
        <v>1</v>
      </c>
      <c r="V22" s="44" t="s">
        <v>56</v>
      </c>
      <c r="X22" s="27">
        <f>'2 ALIYAH C'!T22:T55</f>
        <v>77</v>
      </c>
      <c r="Y22" s="27">
        <f t="shared" si="5"/>
        <v>79</v>
      </c>
      <c r="Z22" s="28">
        <f t="shared" si="1"/>
        <v>156</v>
      </c>
      <c r="AA22" s="27">
        <v>26</v>
      </c>
      <c r="AB22" s="28">
        <f t="shared" si="6"/>
        <v>6</v>
      </c>
      <c r="AC22" s="29" t="str">
        <f t="shared" si="2"/>
        <v>المتوسط الثاني</v>
      </c>
      <c r="AE22" s="51">
        <f>'2 ALIYAH C'!U22:U55</f>
        <v>2</v>
      </c>
      <c r="AF22" s="51">
        <f t="shared" si="10"/>
        <v>1</v>
      </c>
      <c r="AG22" s="52">
        <f t="shared" si="7"/>
        <v>3</v>
      </c>
      <c r="AI22" s="51">
        <f>'2 ALIYAH C'!V22:V56</f>
        <v>2</v>
      </c>
      <c r="AJ22" s="51" t="str">
        <f t="shared" si="11"/>
        <v>-</v>
      </c>
      <c r="AK22" s="52">
        <f t="shared" si="8"/>
        <v>2</v>
      </c>
    </row>
    <row r="23" spans="1:37" s="1" customFormat="1" ht="25.15" customHeight="1" thickBot="1" x14ac:dyDescent="0.3">
      <c r="A23" s="41" t="s">
        <v>35</v>
      </c>
      <c r="B23" s="124" t="s">
        <v>155</v>
      </c>
      <c r="C23" s="132">
        <v>2843</v>
      </c>
      <c r="D23" s="19" t="s">
        <v>35</v>
      </c>
      <c r="E23" s="3" t="str">
        <f t="shared" si="4"/>
        <v>٧</v>
      </c>
      <c r="F23" s="3">
        <v>7</v>
      </c>
      <c r="G23" s="3" t="s">
        <v>56</v>
      </c>
      <c r="H23" s="3">
        <v>8</v>
      </c>
      <c r="I23" s="3">
        <v>8</v>
      </c>
      <c r="J23" s="3">
        <v>6</v>
      </c>
      <c r="K23" s="3">
        <v>4</v>
      </c>
      <c r="L23" s="3">
        <v>5</v>
      </c>
      <c r="M23" s="3">
        <v>5</v>
      </c>
      <c r="N23" s="3">
        <v>8</v>
      </c>
      <c r="O23" s="3">
        <v>7</v>
      </c>
      <c r="P23" s="3">
        <v>8</v>
      </c>
      <c r="Q23" s="3">
        <v>8</v>
      </c>
      <c r="R23" s="3">
        <v>8</v>
      </c>
      <c r="S23" s="3">
        <v>8</v>
      </c>
      <c r="T23" s="4">
        <f t="shared" si="9"/>
        <v>90</v>
      </c>
      <c r="U23" s="44" t="s">
        <v>56</v>
      </c>
      <c r="V23" s="44" t="s">
        <v>56</v>
      </c>
      <c r="X23" s="27">
        <f>'2 ALIYAH C'!T23:T56</f>
        <v>99</v>
      </c>
      <c r="Y23" s="27">
        <f t="shared" si="5"/>
        <v>90</v>
      </c>
      <c r="Z23" s="28">
        <f t="shared" si="1"/>
        <v>189</v>
      </c>
      <c r="AA23" s="27">
        <v>26</v>
      </c>
      <c r="AB23" s="28">
        <f t="shared" si="6"/>
        <v>7</v>
      </c>
      <c r="AC23" s="29" t="str">
        <f t="shared" si="2"/>
        <v>المتوسط الأول</v>
      </c>
      <c r="AE23" s="51" t="str">
        <f>'2 ALIYAH C'!U23:U56</f>
        <v>-</v>
      </c>
      <c r="AF23" s="51" t="str">
        <f t="shared" si="10"/>
        <v>-</v>
      </c>
      <c r="AG23" s="52">
        <f t="shared" si="7"/>
        <v>0</v>
      </c>
      <c r="AI23" s="51" t="str">
        <f>'2 ALIYAH C'!V23:V57</f>
        <v>-</v>
      </c>
      <c r="AJ23" s="51" t="str">
        <f t="shared" si="11"/>
        <v>-</v>
      </c>
      <c r="AK23" s="52">
        <f t="shared" si="8"/>
        <v>0</v>
      </c>
    </row>
    <row r="24" spans="1:37" s="1" customFormat="1" ht="25.15" customHeight="1" thickBot="1" x14ac:dyDescent="0.3">
      <c r="A24" s="41" t="s">
        <v>36</v>
      </c>
      <c r="B24" s="124" t="s">
        <v>156</v>
      </c>
      <c r="C24" s="132">
        <v>2746</v>
      </c>
      <c r="D24" s="19" t="s">
        <v>36</v>
      </c>
      <c r="E24" s="3" t="str">
        <f t="shared" si="4"/>
        <v>٩</v>
      </c>
      <c r="F24" s="3">
        <v>9</v>
      </c>
      <c r="G24" s="3" t="s">
        <v>56</v>
      </c>
      <c r="H24" s="3">
        <v>9</v>
      </c>
      <c r="I24" s="3">
        <v>9</v>
      </c>
      <c r="J24" s="3">
        <v>9</v>
      </c>
      <c r="K24" s="3">
        <v>8</v>
      </c>
      <c r="L24" s="3">
        <v>8</v>
      </c>
      <c r="M24" s="3">
        <v>7</v>
      </c>
      <c r="N24" s="3">
        <v>9</v>
      </c>
      <c r="O24" s="3">
        <v>9</v>
      </c>
      <c r="P24" s="3">
        <v>9</v>
      </c>
      <c r="Q24" s="3">
        <v>9</v>
      </c>
      <c r="R24" s="3">
        <v>8</v>
      </c>
      <c r="S24" s="3">
        <v>8</v>
      </c>
      <c r="T24" s="4">
        <f t="shared" si="9"/>
        <v>111</v>
      </c>
      <c r="U24" s="44">
        <v>1</v>
      </c>
      <c r="V24" s="44" t="s">
        <v>56</v>
      </c>
      <c r="X24" s="27">
        <f>'2 ALIYAH C'!T24:T57</f>
        <v>114</v>
      </c>
      <c r="Y24" s="27">
        <f t="shared" si="5"/>
        <v>111</v>
      </c>
      <c r="Z24" s="28">
        <f t="shared" si="1"/>
        <v>225</v>
      </c>
      <c r="AA24" s="27">
        <v>26</v>
      </c>
      <c r="AB24" s="28">
        <f t="shared" si="6"/>
        <v>9</v>
      </c>
      <c r="AC24" s="29" t="str">
        <f t="shared" si="2"/>
        <v>الجيد الأول</v>
      </c>
      <c r="AE24" s="51" t="str">
        <f>'2 ALIYAH C'!U24:U57</f>
        <v>-</v>
      </c>
      <c r="AF24" s="51">
        <f t="shared" si="10"/>
        <v>1</v>
      </c>
      <c r="AG24" s="52">
        <f t="shared" si="7"/>
        <v>1</v>
      </c>
      <c r="AI24" s="51" t="str">
        <f>'2 ALIYAH C'!V24:V58</f>
        <v>-</v>
      </c>
      <c r="AJ24" s="51" t="str">
        <f t="shared" si="11"/>
        <v>-</v>
      </c>
      <c r="AK24" s="52">
        <f t="shared" si="8"/>
        <v>0</v>
      </c>
    </row>
    <row r="25" spans="1:37" s="1" customFormat="1" ht="25.15" customHeight="1" thickBot="1" x14ac:dyDescent="0.3">
      <c r="A25" s="41" t="s">
        <v>37</v>
      </c>
      <c r="B25" s="124" t="s">
        <v>157</v>
      </c>
      <c r="C25" s="132">
        <v>2709</v>
      </c>
      <c r="D25" s="19" t="s">
        <v>37</v>
      </c>
      <c r="E25" s="3" t="str">
        <f t="shared" si="4"/>
        <v>٧</v>
      </c>
      <c r="F25" s="3">
        <v>7</v>
      </c>
      <c r="G25" s="3" t="s">
        <v>56</v>
      </c>
      <c r="H25" s="3">
        <v>9</v>
      </c>
      <c r="I25" s="3">
        <v>7</v>
      </c>
      <c r="J25" s="3">
        <v>9</v>
      </c>
      <c r="K25" s="3">
        <v>7</v>
      </c>
      <c r="L25" s="3">
        <v>9</v>
      </c>
      <c r="M25" s="3">
        <v>5</v>
      </c>
      <c r="N25" s="3">
        <v>7</v>
      </c>
      <c r="O25" s="3">
        <v>5</v>
      </c>
      <c r="P25" s="3">
        <v>8</v>
      </c>
      <c r="Q25" s="3">
        <v>8</v>
      </c>
      <c r="R25" s="3">
        <v>8</v>
      </c>
      <c r="S25" s="3">
        <v>8</v>
      </c>
      <c r="T25" s="4">
        <f t="shared" si="9"/>
        <v>97</v>
      </c>
      <c r="U25" s="44" t="s">
        <v>56</v>
      </c>
      <c r="V25" s="44" t="s">
        <v>56</v>
      </c>
      <c r="X25" s="27">
        <f>'2 ALIYAH C'!T25:T58</f>
        <v>96</v>
      </c>
      <c r="Y25" s="27">
        <f t="shared" si="5"/>
        <v>97</v>
      </c>
      <c r="Z25" s="28">
        <f t="shared" si="1"/>
        <v>193</v>
      </c>
      <c r="AA25" s="27">
        <v>26</v>
      </c>
      <c r="AB25" s="28">
        <f t="shared" si="6"/>
        <v>7</v>
      </c>
      <c r="AC25" s="29" t="str">
        <f t="shared" si="2"/>
        <v>المتوسط الأول</v>
      </c>
      <c r="AE25" s="51" t="str">
        <f>'2 ALIYAH C'!U25:U58</f>
        <v>-</v>
      </c>
      <c r="AF25" s="51" t="str">
        <f t="shared" si="10"/>
        <v>-</v>
      </c>
      <c r="AG25" s="52">
        <f t="shared" si="7"/>
        <v>0</v>
      </c>
      <c r="AI25" s="51" t="str">
        <f>'2 ALIYAH C'!V25:V59</f>
        <v>-</v>
      </c>
      <c r="AJ25" s="51" t="str">
        <f t="shared" si="11"/>
        <v>-</v>
      </c>
      <c r="AK25" s="52">
        <f t="shared" si="8"/>
        <v>0</v>
      </c>
    </row>
    <row r="26" spans="1:37" s="1" customFormat="1" ht="25.15" customHeight="1" thickBot="1" x14ac:dyDescent="0.3">
      <c r="A26" s="41" t="s">
        <v>38</v>
      </c>
      <c r="B26" s="124" t="s">
        <v>158</v>
      </c>
      <c r="C26" s="132">
        <v>2904</v>
      </c>
      <c r="D26" s="19" t="s">
        <v>38</v>
      </c>
      <c r="E26" s="3" t="str">
        <f t="shared" si="4"/>
        <v>٨</v>
      </c>
      <c r="F26" s="3">
        <v>8</v>
      </c>
      <c r="G26" s="3" t="s">
        <v>56</v>
      </c>
      <c r="H26" s="3">
        <v>8</v>
      </c>
      <c r="I26" s="3">
        <v>8</v>
      </c>
      <c r="J26" s="3">
        <v>7</v>
      </c>
      <c r="K26" s="3">
        <v>6</v>
      </c>
      <c r="L26" s="3">
        <v>9</v>
      </c>
      <c r="M26" s="3">
        <v>5</v>
      </c>
      <c r="N26" s="3">
        <v>8</v>
      </c>
      <c r="O26" s="3">
        <v>7</v>
      </c>
      <c r="P26" s="3">
        <v>8</v>
      </c>
      <c r="Q26" s="3">
        <v>8</v>
      </c>
      <c r="R26" s="3">
        <v>8</v>
      </c>
      <c r="S26" s="3">
        <v>7</v>
      </c>
      <c r="T26" s="4">
        <f t="shared" si="9"/>
        <v>97</v>
      </c>
      <c r="U26" s="44">
        <v>2</v>
      </c>
      <c r="V26" s="44" t="s">
        <v>56</v>
      </c>
      <c r="X26" s="27">
        <f>'2 ALIYAH C'!T26:T59</f>
        <v>97</v>
      </c>
      <c r="Y26" s="27">
        <f t="shared" si="5"/>
        <v>97</v>
      </c>
      <c r="Z26" s="28">
        <f t="shared" si="1"/>
        <v>194</v>
      </c>
      <c r="AA26" s="27">
        <v>26</v>
      </c>
      <c r="AB26" s="28">
        <f t="shared" si="6"/>
        <v>7</v>
      </c>
      <c r="AC26" s="29" t="str">
        <f t="shared" si="2"/>
        <v>المتوسط الأول</v>
      </c>
      <c r="AE26" s="51" t="str">
        <f>'2 ALIYAH C'!U26:U59</f>
        <v>-</v>
      </c>
      <c r="AF26" s="51">
        <f t="shared" ref="AF26:AF35" si="12">U26:U50</f>
        <v>2</v>
      </c>
      <c r="AG26" s="52">
        <f t="shared" si="7"/>
        <v>2</v>
      </c>
      <c r="AI26" s="51" t="str">
        <f>'2 ALIYAH C'!V26:V60</f>
        <v>-</v>
      </c>
      <c r="AJ26" s="51" t="str">
        <f t="shared" ref="AJ26:AJ35" si="13">V26:V42</f>
        <v>-</v>
      </c>
      <c r="AK26" s="52">
        <f t="shared" si="8"/>
        <v>0</v>
      </c>
    </row>
    <row r="27" spans="1:37" s="1" customFormat="1" ht="25.15" customHeight="1" thickBot="1" x14ac:dyDescent="0.3">
      <c r="A27" s="41" t="s">
        <v>39</v>
      </c>
      <c r="B27" s="124" t="s">
        <v>159</v>
      </c>
      <c r="C27" s="132">
        <v>2878</v>
      </c>
      <c r="D27" s="19" t="s">
        <v>39</v>
      </c>
      <c r="E27" s="3" t="str">
        <f t="shared" si="4"/>
        <v>٩</v>
      </c>
      <c r="F27" s="3">
        <v>9</v>
      </c>
      <c r="G27" s="3" t="s">
        <v>56</v>
      </c>
      <c r="H27" s="3">
        <v>9</v>
      </c>
      <c r="I27" s="3">
        <v>9</v>
      </c>
      <c r="J27" s="3">
        <v>9</v>
      </c>
      <c r="K27" s="3">
        <v>9</v>
      </c>
      <c r="L27" s="3">
        <v>9</v>
      </c>
      <c r="M27" s="3">
        <v>9</v>
      </c>
      <c r="N27" s="3">
        <v>9</v>
      </c>
      <c r="O27" s="3">
        <v>9</v>
      </c>
      <c r="P27" s="3">
        <v>9</v>
      </c>
      <c r="Q27" s="3">
        <v>9</v>
      </c>
      <c r="R27" s="3">
        <v>9</v>
      </c>
      <c r="S27" s="3">
        <v>8</v>
      </c>
      <c r="T27" s="4">
        <f t="shared" si="9"/>
        <v>116</v>
      </c>
      <c r="U27" s="44" t="s">
        <v>56</v>
      </c>
      <c r="V27" s="44" t="s">
        <v>56</v>
      </c>
      <c r="X27" s="27">
        <f>'2 ALIYAH C'!T27:T60</f>
        <v>116</v>
      </c>
      <c r="Y27" s="27">
        <f t="shared" si="5"/>
        <v>116</v>
      </c>
      <c r="Z27" s="28">
        <f t="shared" si="1"/>
        <v>232</v>
      </c>
      <c r="AA27" s="27">
        <v>26</v>
      </c>
      <c r="AB27" s="28">
        <f t="shared" si="6"/>
        <v>9</v>
      </c>
      <c r="AC27" s="29" t="str">
        <f t="shared" si="2"/>
        <v>الجيد الأول</v>
      </c>
      <c r="AE27" s="51">
        <f>'2 ALIYAH C'!U27:U60</f>
        <v>1</v>
      </c>
      <c r="AF27" s="51" t="str">
        <f t="shared" si="12"/>
        <v>-</v>
      </c>
      <c r="AG27" s="52">
        <f t="shared" si="7"/>
        <v>1</v>
      </c>
      <c r="AI27" s="51" t="str">
        <f>'2 ALIYAH C'!V27:V61</f>
        <v>-</v>
      </c>
      <c r="AJ27" s="51" t="str">
        <f t="shared" si="13"/>
        <v>-</v>
      </c>
      <c r="AK27" s="52">
        <f t="shared" si="8"/>
        <v>0</v>
      </c>
    </row>
    <row r="28" spans="1:37" s="2" customFormat="1" ht="25.15" customHeight="1" thickBot="1" x14ac:dyDescent="0.3">
      <c r="A28" s="41" t="s">
        <v>40</v>
      </c>
      <c r="B28" s="124" t="s">
        <v>160</v>
      </c>
      <c r="C28" s="132">
        <v>2880</v>
      </c>
      <c r="D28" s="19" t="s">
        <v>40</v>
      </c>
      <c r="E28" s="3" t="str">
        <f t="shared" si="4"/>
        <v>٥</v>
      </c>
      <c r="F28" s="3">
        <v>5</v>
      </c>
      <c r="G28" s="3" t="s">
        <v>56</v>
      </c>
      <c r="H28" s="3">
        <v>8</v>
      </c>
      <c r="I28" s="3">
        <v>6</v>
      </c>
      <c r="J28" s="3">
        <v>6</v>
      </c>
      <c r="K28" s="3">
        <v>6</v>
      </c>
      <c r="L28" s="3">
        <v>9</v>
      </c>
      <c r="M28" s="3">
        <v>4</v>
      </c>
      <c r="N28" s="3">
        <v>6</v>
      </c>
      <c r="O28" s="3">
        <v>4</v>
      </c>
      <c r="P28" s="3">
        <v>8</v>
      </c>
      <c r="Q28" s="3">
        <v>7</v>
      </c>
      <c r="R28" s="3">
        <v>8</v>
      </c>
      <c r="S28" s="3">
        <v>8</v>
      </c>
      <c r="T28" s="4">
        <f t="shared" si="9"/>
        <v>85</v>
      </c>
      <c r="U28" s="44">
        <v>1</v>
      </c>
      <c r="V28" s="44" t="s">
        <v>56</v>
      </c>
      <c r="X28" s="27">
        <f>'2 ALIYAH C'!T28:T61</f>
        <v>90</v>
      </c>
      <c r="Y28" s="27">
        <f t="shared" si="5"/>
        <v>85</v>
      </c>
      <c r="Z28" s="28">
        <f t="shared" si="1"/>
        <v>175</v>
      </c>
      <c r="AA28" s="27">
        <v>26</v>
      </c>
      <c r="AB28" s="28">
        <f t="shared" si="6"/>
        <v>7</v>
      </c>
      <c r="AC28" s="29" t="str">
        <f t="shared" si="2"/>
        <v>المتوسط الأول</v>
      </c>
      <c r="AE28" s="51" t="str">
        <f>'2 ALIYAH C'!U28:U61</f>
        <v>-</v>
      </c>
      <c r="AF28" s="51">
        <f t="shared" si="12"/>
        <v>1</v>
      </c>
      <c r="AG28" s="52">
        <f t="shared" si="7"/>
        <v>1</v>
      </c>
      <c r="AH28" s="1"/>
      <c r="AI28" s="51">
        <f>'2 ALIYAH C'!V28:V62</f>
        <v>2</v>
      </c>
      <c r="AJ28" s="51" t="str">
        <f t="shared" si="13"/>
        <v>-</v>
      </c>
      <c r="AK28" s="52">
        <f t="shared" si="8"/>
        <v>2</v>
      </c>
    </row>
    <row r="29" spans="1:37" s="2" customFormat="1" ht="25.15" customHeight="1" thickBot="1" x14ac:dyDescent="0.3">
      <c r="A29" s="41" t="s">
        <v>41</v>
      </c>
      <c r="B29" s="124" t="s">
        <v>161</v>
      </c>
      <c r="C29" s="132">
        <v>2850</v>
      </c>
      <c r="D29" s="19" t="s">
        <v>41</v>
      </c>
      <c r="E29" s="3" t="str">
        <f t="shared" si="4"/>
        <v>٦</v>
      </c>
      <c r="F29" s="3">
        <v>6</v>
      </c>
      <c r="G29" s="3" t="s">
        <v>56</v>
      </c>
      <c r="H29" s="3">
        <v>6</v>
      </c>
      <c r="I29" s="3">
        <v>8</v>
      </c>
      <c r="J29" s="3">
        <v>6</v>
      </c>
      <c r="K29" s="3">
        <v>5</v>
      </c>
      <c r="L29" s="3">
        <v>9</v>
      </c>
      <c r="M29" s="3">
        <v>4</v>
      </c>
      <c r="N29" s="3">
        <v>4</v>
      </c>
      <c r="O29" s="3">
        <v>7</v>
      </c>
      <c r="P29" s="3">
        <v>8</v>
      </c>
      <c r="Q29" s="3">
        <v>8</v>
      </c>
      <c r="R29" s="3">
        <v>8</v>
      </c>
      <c r="S29" s="3">
        <v>8</v>
      </c>
      <c r="T29" s="4">
        <f t="shared" si="9"/>
        <v>87</v>
      </c>
      <c r="U29" s="44" t="s">
        <v>56</v>
      </c>
      <c r="V29" s="44">
        <v>1</v>
      </c>
      <c r="X29" s="27">
        <f>'2 ALIYAH C'!T29:T62</f>
        <v>88</v>
      </c>
      <c r="Y29" s="27">
        <f t="shared" si="5"/>
        <v>87</v>
      </c>
      <c r="Z29" s="28">
        <f t="shared" si="1"/>
        <v>175</v>
      </c>
      <c r="AA29" s="27">
        <v>26</v>
      </c>
      <c r="AB29" s="28">
        <f t="shared" si="6"/>
        <v>7</v>
      </c>
      <c r="AC29" s="29" t="str">
        <f t="shared" si="2"/>
        <v>المتوسط الأول</v>
      </c>
      <c r="AE29" s="51" t="str">
        <f>'2 ALIYAH C'!U29:U62</f>
        <v>-</v>
      </c>
      <c r="AF29" s="51" t="str">
        <f t="shared" si="12"/>
        <v>-</v>
      </c>
      <c r="AG29" s="52">
        <f t="shared" si="7"/>
        <v>0</v>
      </c>
      <c r="AH29" s="1"/>
      <c r="AI29" s="51" t="str">
        <f>'2 ALIYAH C'!V29:V63</f>
        <v>-</v>
      </c>
      <c r="AJ29" s="51">
        <f t="shared" si="13"/>
        <v>1</v>
      </c>
      <c r="AK29" s="52">
        <f t="shared" si="8"/>
        <v>1</v>
      </c>
    </row>
    <row r="30" spans="1:37" s="2" customFormat="1" ht="25.15" customHeight="1" thickBot="1" x14ac:dyDescent="0.3">
      <c r="A30" s="41" t="s">
        <v>42</v>
      </c>
      <c r="B30" s="124" t="s">
        <v>162</v>
      </c>
      <c r="C30" s="132">
        <v>2752</v>
      </c>
      <c r="D30" s="19" t="s">
        <v>42</v>
      </c>
      <c r="E30" s="3" t="str">
        <f t="shared" si="4"/>
        <v>٨</v>
      </c>
      <c r="F30" s="3">
        <v>8</v>
      </c>
      <c r="G30" s="3" t="s">
        <v>56</v>
      </c>
      <c r="H30" s="3">
        <v>9</v>
      </c>
      <c r="I30" s="3">
        <v>8</v>
      </c>
      <c r="J30" s="3">
        <v>6</v>
      </c>
      <c r="K30" s="3">
        <v>6</v>
      </c>
      <c r="L30" s="3">
        <v>5</v>
      </c>
      <c r="M30" s="3">
        <v>4</v>
      </c>
      <c r="N30" s="3">
        <v>4</v>
      </c>
      <c r="O30" s="3">
        <v>7</v>
      </c>
      <c r="P30" s="3">
        <v>8</v>
      </c>
      <c r="Q30" s="3">
        <v>7</v>
      </c>
      <c r="R30" s="3">
        <v>8</v>
      </c>
      <c r="S30" s="3">
        <v>8</v>
      </c>
      <c r="T30" s="4">
        <f t="shared" si="9"/>
        <v>88</v>
      </c>
      <c r="U30" s="44" t="s">
        <v>56</v>
      </c>
      <c r="V30" s="44" t="s">
        <v>56</v>
      </c>
      <c r="X30" s="27">
        <f>'2 ALIYAH C'!T30:T63</f>
        <v>88</v>
      </c>
      <c r="Y30" s="27">
        <f t="shared" si="5"/>
        <v>88</v>
      </c>
      <c r="Z30" s="28">
        <f t="shared" si="1"/>
        <v>176</v>
      </c>
      <c r="AA30" s="27">
        <v>26</v>
      </c>
      <c r="AB30" s="28">
        <f t="shared" si="6"/>
        <v>7</v>
      </c>
      <c r="AC30" s="29" t="str">
        <f t="shared" si="2"/>
        <v>المتوسط الأول</v>
      </c>
      <c r="AE30" s="51" t="str">
        <f>'2 ALIYAH C'!U30:U63</f>
        <v>-</v>
      </c>
      <c r="AF30" s="51" t="str">
        <f t="shared" si="12"/>
        <v>-</v>
      </c>
      <c r="AG30" s="52">
        <f t="shared" si="7"/>
        <v>0</v>
      </c>
      <c r="AH30" s="1"/>
      <c r="AI30" s="51" t="str">
        <f>'2 ALIYAH C'!V30:V64</f>
        <v>-</v>
      </c>
      <c r="AJ30" s="51" t="str">
        <f t="shared" si="13"/>
        <v>-</v>
      </c>
      <c r="AK30" s="52">
        <f t="shared" si="8"/>
        <v>0</v>
      </c>
    </row>
    <row r="31" spans="1:37" s="115" customFormat="1" ht="25.15" customHeight="1" thickBot="1" x14ac:dyDescent="0.3">
      <c r="A31" s="41" t="s">
        <v>43</v>
      </c>
      <c r="B31" s="124" t="s">
        <v>163</v>
      </c>
      <c r="C31" s="132">
        <v>2910</v>
      </c>
      <c r="D31" s="150" t="s">
        <v>43</v>
      </c>
      <c r="E31" s="3" t="str">
        <f t="shared" si="4"/>
        <v>٤</v>
      </c>
      <c r="F31" s="3">
        <v>4</v>
      </c>
      <c r="G31" s="3" t="s">
        <v>56</v>
      </c>
      <c r="H31" s="3">
        <v>7</v>
      </c>
      <c r="I31" s="3">
        <v>5</v>
      </c>
      <c r="J31" s="3">
        <v>5</v>
      </c>
      <c r="K31" s="3">
        <v>4</v>
      </c>
      <c r="L31" s="3">
        <v>6</v>
      </c>
      <c r="M31" s="3">
        <v>5</v>
      </c>
      <c r="N31" s="3">
        <v>4</v>
      </c>
      <c r="O31" s="3">
        <v>6</v>
      </c>
      <c r="P31" s="3">
        <v>8</v>
      </c>
      <c r="Q31" s="3">
        <v>7</v>
      </c>
      <c r="R31" s="3">
        <v>8</v>
      </c>
      <c r="S31" s="3">
        <v>8</v>
      </c>
      <c r="T31" s="4">
        <f t="shared" si="9"/>
        <v>77</v>
      </c>
      <c r="U31" s="44">
        <v>2</v>
      </c>
      <c r="V31" s="44" t="s">
        <v>56</v>
      </c>
      <c r="W31" s="62"/>
      <c r="X31" s="27">
        <f>'2 ALIYAH C'!T31:T64</f>
        <v>76</v>
      </c>
      <c r="Y31" s="116">
        <f t="shared" si="5"/>
        <v>77</v>
      </c>
      <c r="Z31" s="116">
        <f t="shared" si="1"/>
        <v>153</v>
      </c>
      <c r="AA31" s="116">
        <v>26</v>
      </c>
      <c r="AB31" s="116">
        <f t="shared" si="6"/>
        <v>6</v>
      </c>
      <c r="AC31" s="116" t="str">
        <f t="shared" si="2"/>
        <v>المتوسط الثاني</v>
      </c>
      <c r="AE31" s="51" t="str">
        <f>'2 ALIYAH C'!U31:U64</f>
        <v>-</v>
      </c>
      <c r="AF31" s="117">
        <f t="shared" si="12"/>
        <v>2</v>
      </c>
      <c r="AG31" s="117">
        <f t="shared" si="7"/>
        <v>2</v>
      </c>
      <c r="AH31" s="118"/>
      <c r="AI31" s="51" t="str">
        <f>'2 ALIYAH C'!V31:V65</f>
        <v>-</v>
      </c>
      <c r="AJ31" s="117" t="str">
        <f t="shared" si="13"/>
        <v>-</v>
      </c>
      <c r="AK31" s="117">
        <f t="shared" si="8"/>
        <v>0</v>
      </c>
    </row>
    <row r="32" spans="1:37" s="2" customFormat="1" ht="25.15" customHeight="1" thickBot="1" x14ac:dyDescent="0.3">
      <c r="A32" s="41" t="s">
        <v>44</v>
      </c>
      <c r="B32" s="124" t="s">
        <v>164</v>
      </c>
      <c r="C32" s="214">
        <v>4267</v>
      </c>
      <c r="D32" s="19" t="s">
        <v>44</v>
      </c>
      <c r="E32" s="3" t="str">
        <f t="shared" si="4"/>
        <v>٦</v>
      </c>
      <c r="F32" s="3">
        <v>6</v>
      </c>
      <c r="G32" s="3" t="s">
        <v>56</v>
      </c>
      <c r="H32" s="3">
        <v>4</v>
      </c>
      <c r="I32" s="3">
        <v>5</v>
      </c>
      <c r="J32" s="3">
        <v>4</v>
      </c>
      <c r="K32" s="3">
        <v>4</v>
      </c>
      <c r="L32" s="3">
        <v>6</v>
      </c>
      <c r="M32" s="3">
        <v>5</v>
      </c>
      <c r="N32" s="3">
        <v>4</v>
      </c>
      <c r="O32" s="3">
        <v>5</v>
      </c>
      <c r="P32" s="3">
        <v>7</v>
      </c>
      <c r="Q32" s="3">
        <v>7</v>
      </c>
      <c r="R32" s="3">
        <v>8</v>
      </c>
      <c r="S32" s="3">
        <v>7</v>
      </c>
      <c r="T32" s="4">
        <f t="shared" si="9"/>
        <v>72</v>
      </c>
      <c r="U32" s="44" t="s">
        <v>56</v>
      </c>
      <c r="V32" s="44" t="s">
        <v>56</v>
      </c>
      <c r="X32" s="27">
        <f>'2 ALIYAH C'!T32:T65</f>
        <v>70</v>
      </c>
      <c r="Y32" s="27">
        <f t="shared" si="5"/>
        <v>72</v>
      </c>
      <c r="Z32" s="28">
        <f t="shared" si="1"/>
        <v>142</v>
      </c>
      <c r="AA32" s="27">
        <v>26</v>
      </c>
      <c r="AB32" s="28">
        <f t="shared" si="6"/>
        <v>5</v>
      </c>
      <c r="AC32" s="29" t="str">
        <f t="shared" si="2"/>
        <v>الرديء</v>
      </c>
      <c r="AE32" s="51" t="str">
        <f>'2 ALIYAH C'!U32:U65</f>
        <v>-</v>
      </c>
      <c r="AF32" s="51" t="str">
        <f t="shared" si="12"/>
        <v>-</v>
      </c>
      <c r="AG32" s="52">
        <f t="shared" si="7"/>
        <v>0</v>
      </c>
      <c r="AH32" s="1"/>
      <c r="AI32" s="51" t="str">
        <f>'2 ALIYAH C'!V32:V66</f>
        <v>-</v>
      </c>
      <c r="AJ32" s="51" t="str">
        <f t="shared" si="13"/>
        <v>-</v>
      </c>
      <c r="AK32" s="52">
        <f t="shared" si="8"/>
        <v>0</v>
      </c>
    </row>
    <row r="33" spans="1:37" s="2" customFormat="1" ht="25.15" customHeight="1" thickBot="1" x14ac:dyDescent="0.3">
      <c r="A33" s="41" t="s">
        <v>45</v>
      </c>
      <c r="B33" s="124" t="s">
        <v>165</v>
      </c>
      <c r="C33" s="132">
        <v>2882</v>
      </c>
      <c r="D33" s="19" t="s">
        <v>45</v>
      </c>
      <c r="E33" s="3" t="str">
        <f t="shared" si="4"/>
        <v>٦</v>
      </c>
      <c r="F33" s="3">
        <v>6</v>
      </c>
      <c r="G33" s="3" t="s">
        <v>56</v>
      </c>
      <c r="H33" s="3">
        <v>8</v>
      </c>
      <c r="I33" s="3">
        <v>7</v>
      </c>
      <c r="J33" s="3">
        <v>8</v>
      </c>
      <c r="K33" s="3">
        <v>4</v>
      </c>
      <c r="L33" s="3">
        <v>6</v>
      </c>
      <c r="M33" s="3">
        <v>8</v>
      </c>
      <c r="N33" s="3">
        <v>5</v>
      </c>
      <c r="O33" s="3">
        <v>7</v>
      </c>
      <c r="P33" s="3">
        <v>8</v>
      </c>
      <c r="Q33" s="3">
        <v>7</v>
      </c>
      <c r="R33" s="3">
        <v>8</v>
      </c>
      <c r="S33" s="3">
        <v>7</v>
      </c>
      <c r="T33" s="4">
        <f t="shared" si="9"/>
        <v>89</v>
      </c>
      <c r="U33" s="44">
        <v>1</v>
      </c>
      <c r="V33" s="44" t="s">
        <v>56</v>
      </c>
      <c r="X33" s="27">
        <f>'2 ALIYAH C'!T33:T66</f>
        <v>88</v>
      </c>
      <c r="Y33" s="27">
        <f t="shared" si="5"/>
        <v>89</v>
      </c>
      <c r="Z33" s="28">
        <f t="shared" si="1"/>
        <v>177</v>
      </c>
      <c r="AA33" s="27">
        <v>26</v>
      </c>
      <c r="AB33" s="28">
        <f t="shared" si="6"/>
        <v>7</v>
      </c>
      <c r="AC33" s="29" t="str">
        <f t="shared" si="2"/>
        <v>المتوسط الأول</v>
      </c>
      <c r="AE33" s="51" t="str">
        <f>'2 ALIYAH C'!U33:U66</f>
        <v>-</v>
      </c>
      <c r="AF33" s="51">
        <f t="shared" si="12"/>
        <v>1</v>
      </c>
      <c r="AG33" s="52">
        <f t="shared" si="7"/>
        <v>1</v>
      </c>
      <c r="AH33" s="1"/>
      <c r="AI33" s="51" t="str">
        <f>'2 ALIYAH C'!V33:V67</f>
        <v>-</v>
      </c>
      <c r="AJ33" s="51" t="str">
        <f t="shared" si="13"/>
        <v>-</v>
      </c>
      <c r="AK33" s="52">
        <f t="shared" si="8"/>
        <v>0</v>
      </c>
    </row>
    <row r="34" spans="1:37" s="2" customFormat="1" ht="25.15" customHeight="1" thickBot="1" x14ac:dyDescent="0.3">
      <c r="A34" s="41" t="s">
        <v>46</v>
      </c>
      <c r="B34" s="124" t="s">
        <v>166</v>
      </c>
      <c r="C34" s="132">
        <v>2720</v>
      </c>
      <c r="D34" s="19" t="s">
        <v>46</v>
      </c>
      <c r="E34" s="3" t="str">
        <f t="shared" si="4"/>
        <v>٦</v>
      </c>
      <c r="F34" s="3">
        <v>6</v>
      </c>
      <c r="G34" s="3" t="s">
        <v>56</v>
      </c>
      <c r="H34" s="3">
        <v>9</v>
      </c>
      <c r="I34" s="3">
        <v>8</v>
      </c>
      <c r="J34" s="3">
        <v>5</v>
      </c>
      <c r="K34" s="3">
        <v>5</v>
      </c>
      <c r="L34" s="3">
        <v>6</v>
      </c>
      <c r="M34" s="3">
        <v>6</v>
      </c>
      <c r="N34" s="3">
        <v>4</v>
      </c>
      <c r="O34" s="3">
        <v>6</v>
      </c>
      <c r="P34" s="3">
        <v>8</v>
      </c>
      <c r="Q34" s="3">
        <v>8</v>
      </c>
      <c r="R34" s="3">
        <v>8</v>
      </c>
      <c r="S34" s="3">
        <v>8</v>
      </c>
      <c r="T34" s="4">
        <f t="shared" si="9"/>
        <v>87</v>
      </c>
      <c r="U34" s="44">
        <v>3</v>
      </c>
      <c r="V34" s="44" t="s">
        <v>56</v>
      </c>
      <c r="X34" s="27">
        <f>'2 ALIYAH C'!T34:T67</f>
        <v>88</v>
      </c>
      <c r="Y34" s="27">
        <f t="shared" si="5"/>
        <v>87</v>
      </c>
      <c r="Z34" s="28">
        <f t="shared" si="1"/>
        <v>175</v>
      </c>
      <c r="AA34" s="27">
        <v>26</v>
      </c>
      <c r="AB34" s="28">
        <f t="shared" si="6"/>
        <v>7</v>
      </c>
      <c r="AC34" s="29" t="str">
        <f t="shared" si="2"/>
        <v>المتوسط الأول</v>
      </c>
      <c r="AE34" s="51">
        <f>'2 ALIYAH C'!U34:U67</f>
        <v>2</v>
      </c>
      <c r="AF34" s="51">
        <f t="shared" si="12"/>
        <v>3</v>
      </c>
      <c r="AG34" s="52">
        <f t="shared" si="7"/>
        <v>5</v>
      </c>
      <c r="AH34" s="1"/>
      <c r="AI34" s="51">
        <f>'2 ALIYAH C'!V34:V68</f>
        <v>1</v>
      </c>
      <c r="AJ34" s="51" t="str">
        <f t="shared" si="13"/>
        <v>-</v>
      </c>
      <c r="AK34" s="52">
        <f t="shared" si="8"/>
        <v>1</v>
      </c>
    </row>
    <row r="35" spans="1:37" s="2" customFormat="1" ht="25.15" customHeight="1" thickBot="1" x14ac:dyDescent="0.3">
      <c r="A35" s="41" t="s">
        <v>47</v>
      </c>
      <c r="B35" s="124" t="s">
        <v>167</v>
      </c>
      <c r="C35" s="132">
        <v>2851</v>
      </c>
      <c r="D35" s="19" t="s">
        <v>47</v>
      </c>
      <c r="E35" s="3" t="str">
        <f t="shared" si="4"/>
        <v>٨</v>
      </c>
      <c r="F35" s="3">
        <v>8</v>
      </c>
      <c r="G35" s="3" t="s">
        <v>56</v>
      </c>
      <c r="H35" s="3">
        <v>9</v>
      </c>
      <c r="I35" s="3">
        <v>8</v>
      </c>
      <c r="J35" s="3">
        <v>6</v>
      </c>
      <c r="K35" s="3">
        <v>6</v>
      </c>
      <c r="L35" s="3">
        <v>8</v>
      </c>
      <c r="M35" s="3">
        <v>5</v>
      </c>
      <c r="N35" s="3">
        <v>7</v>
      </c>
      <c r="O35" s="3">
        <v>5</v>
      </c>
      <c r="P35" s="3">
        <v>8</v>
      </c>
      <c r="Q35" s="3">
        <v>7</v>
      </c>
      <c r="R35" s="3">
        <v>8</v>
      </c>
      <c r="S35" s="3">
        <v>8</v>
      </c>
      <c r="T35" s="4">
        <f t="shared" si="9"/>
        <v>93</v>
      </c>
      <c r="U35" s="44">
        <v>1</v>
      </c>
      <c r="V35" s="44" t="s">
        <v>56</v>
      </c>
      <c r="X35" s="27">
        <f>'2 ALIYAH C'!T35:T68</f>
        <v>98</v>
      </c>
      <c r="Y35" s="27">
        <f t="shared" si="5"/>
        <v>93</v>
      </c>
      <c r="Z35" s="28">
        <f t="shared" si="1"/>
        <v>191</v>
      </c>
      <c r="AA35" s="27">
        <v>26</v>
      </c>
      <c r="AB35" s="28">
        <f t="shared" si="6"/>
        <v>7</v>
      </c>
      <c r="AC35" s="29" t="str">
        <f t="shared" si="2"/>
        <v>المتوسط الأول</v>
      </c>
      <c r="AE35" s="51">
        <f>'2 ALIYAH C'!U35:U68</f>
        <v>6</v>
      </c>
      <c r="AF35" s="51">
        <f t="shared" si="12"/>
        <v>1</v>
      </c>
      <c r="AG35" s="52">
        <f t="shared" si="7"/>
        <v>7</v>
      </c>
      <c r="AH35" s="1"/>
      <c r="AI35" s="51" t="str">
        <f>'2 ALIYAH C'!V35:V69</f>
        <v>-</v>
      </c>
      <c r="AJ35" s="51" t="str">
        <f t="shared" si="13"/>
        <v>-</v>
      </c>
      <c r="AK35" s="52">
        <f t="shared" si="8"/>
        <v>0</v>
      </c>
    </row>
    <row r="36" spans="1:37" s="2" customFormat="1" ht="25.15" customHeight="1" x14ac:dyDescent="0.25">
      <c r="A36" s="35"/>
      <c r="B36" s="10" t="s">
        <v>50</v>
      </c>
      <c r="C36" s="7"/>
      <c r="D36" s="7"/>
      <c r="E36" s="3" t="str">
        <f t="shared" ref="E36" si="14">TEXT(F36,"[$-2000000]0")</f>
        <v>٢٣٣</v>
      </c>
      <c r="F36" s="38">
        <f t="shared" ref="F36:S36" si="15">SUM(F2:F35)</f>
        <v>233</v>
      </c>
      <c r="G36" s="8">
        <f t="shared" si="15"/>
        <v>0</v>
      </c>
      <c r="H36" s="8">
        <f t="shared" si="15"/>
        <v>267</v>
      </c>
      <c r="I36" s="24">
        <f t="shared" si="15"/>
        <v>260</v>
      </c>
      <c r="J36" s="8">
        <f t="shared" si="15"/>
        <v>229</v>
      </c>
      <c r="K36" s="8">
        <f t="shared" si="15"/>
        <v>219</v>
      </c>
      <c r="L36" s="8">
        <f t="shared" si="15"/>
        <v>261</v>
      </c>
      <c r="M36" s="8">
        <f t="shared" si="15"/>
        <v>197</v>
      </c>
      <c r="N36" s="8">
        <f t="shared" si="15"/>
        <v>215</v>
      </c>
      <c r="O36" s="24">
        <f t="shared" si="15"/>
        <v>232</v>
      </c>
      <c r="P36" s="8">
        <f t="shared" si="15"/>
        <v>271</v>
      </c>
      <c r="Q36" s="8">
        <f t="shared" si="15"/>
        <v>263</v>
      </c>
      <c r="R36" s="8">
        <f t="shared" si="15"/>
        <v>271</v>
      </c>
      <c r="S36" s="8">
        <f t="shared" si="15"/>
        <v>263</v>
      </c>
      <c r="T36" s="8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 s="51" t="str">
        <f>'2 ALIYAH C'!V36:V76</f>
        <v>-</v>
      </c>
      <c r="AJ36"/>
      <c r="AK36"/>
    </row>
    <row r="37" spans="1:37" s="2" customFormat="1" ht="25.15" customHeight="1" x14ac:dyDescent="0.25">
      <c r="A37" s="17"/>
      <c r="B37" s="7"/>
      <c r="C37" s="7"/>
      <c r="D37" s="7"/>
      <c r="E37" s="3"/>
      <c r="F37" s="5"/>
      <c r="G37" s="5"/>
      <c r="H37" s="5"/>
      <c r="I37" s="25"/>
      <c r="J37" s="5"/>
      <c r="K37" s="5"/>
      <c r="L37" s="5"/>
      <c r="M37" s="5"/>
      <c r="N37" s="5"/>
      <c r="O37" s="25"/>
      <c r="P37" s="5"/>
      <c r="Q37" s="5"/>
      <c r="R37" s="5"/>
      <c r="S37" s="5"/>
      <c r="T37" s="6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 spans="1:37" s="2" customFormat="1" ht="25.15" customHeight="1" x14ac:dyDescent="0.25">
      <c r="A38" s="17"/>
      <c r="B38" s="7"/>
      <c r="C38" s="7"/>
      <c r="D38" s="7"/>
      <c r="E38" s="3"/>
      <c r="F38" s="5"/>
      <c r="G38" s="5"/>
      <c r="H38" s="5"/>
      <c r="I38" s="25"/>
      <c r="J38" s="5"/>
      <c r="K38" s="5"/>
      <c r="L38" s="5"/>
      <c r="M38" s="5"/>
      <c r="N38" s="5"/>
      <c r="O38" s="25"/>
      <c r="P38" s="5"/>
      <c r="Q38" s="5"/>
      <c r="R38" s="5"/>
      <c r="S38" s="5"/>
      <c r="T38" s="5"/>
      <c r="U38"/>
      <c r="V38"/>
      <c r="X38" s="28"/>
      <c r="Y38" s="28"/>
      <c r="Z38" s="28"/>
      <c r="AA38" s="28"/>
      <c r="AB38" s="28"/>
      <c r="AC38" s="28"/>
      <c r="AE38" s="53"/>
      <c r="AF38" s="53"/>
      <c r="AG38" s="54"/>
      <c r="AH38"/>
      <c r="AI38" s="53"/>
      <c r="AJ38" s="53"/>
      <c r="AK38" s="55"/>
    </row>
    <row r="39" spans="1:37" s="9" customFormat="1" ht="25.15" customHeight="1" x14ac:dyDescent="0.25">
      <c r="A39" s="17"/>
      <c r="B39" s="7"/>
      <c r="C39" s="7"/>
      <c r="D39" s="7"/>
      <c r="E39" s="3"/>
      <c r="F39" s="5"/>
      <c r="G39" s="5"/>
      <c r="H39" s="5"/>
      <c r="I39" s="2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/>
      <c r="V39"/>
      <c r="W39" s="2"/>
      <c r="X39" s="32"/>
      <c r="Y39" s="32"/>
      <c r="Z39" s="32"/>
      <c r="AA39" s="32"/>
      <c r="AB39" s="32"/>
      <c r="AC39" s="32"/>
      <c r="AD39" s="2"/>
      <c r="AE39" s="53"/>
      <c r="AF39" s="53"/>
      <c r="AG39" s="54"/>
      <c r="AH39"/>
      <c r="AI39" s="53"/>
      <c r="AJ39" s="53"/>
      <c r="AK39" s="55"/>
    </row>
    <row r="40" spans="1:37" ht="25.15" customHeight="1" x14ac:dyDescent="0.25">
      <c r="A40" s="17"/>
      <c r="B40" s="221" t="s">
        <v>334</v>
      </c>
      <c r="G40" s="4"/>
      <c r="H40" s="14" t="s">
        <v>49</v>
      </c>
      <c r="I40" s="23"/>
      <c r="O40" s="5"/>
      <c r="T40" s="5"/>
      <c r="U40"/>
      <c r="V40"/>
      <c r="X40" s="32"/>
      <c r="Y40" s="32"/>
      <c r="AA40" s="32"/>
      <c r="AC40" s="32"/>
    </row>
    <row r="41" spans="1:37" ht="25.15" customHeight="1" x14ac:dyDescent="0.25">
      <c r="A41" s="17"/>
      <c r="H41" s="16">
        <f>E36/D35</f>
        <v>7</v>
      </c>
      <c r="T41" s="5"/>
      <c r="X41" s="32"/>
      <c r="Y41" s="32"/>
      <c r="AA41" s="32"/>
      <c r="AC41" s="32"/>
    </row>
    <row r="42" spans="1:37" s="18" customFormat="1" ht="25.15" customHeight="1" x14ac:dyDescent="0.25">
      <c r="A42" s="17"/>
      <c r="B42" s="7"/>
      <c r="C42" s="7"/>
      <c r="D42" s="7"/>
      <c r="E42" s="3"/>
      <c r="F42" s="5"/>
      <c r="G42" s="5"/>
      <c r="H42" s="33" t="s">
        <v>56</v>
      </c>
      <c r="I42" s="25"/>
      <c r="J42" s="5"/>
      <c r="K42" s="5"/>
      <c r="L42" s="5"/>
      <c r="M42" s="5"/>
      <c r="N42" s="5"/>
      <c r="O42" s="25"/>
      <c r="P42" s="5"/>
      <c r="Q42" s="5"/>
      <c r="R42" s="5"/>
      <c r="S42" s="5"/>
      <c r="T42" s="5"/>
      <c r="U42" s="45"/>
      <c r="V42" s="45"/>
      <c r="X42" s="32"/>
      <c r="Y42" s="32"/>
      <c r="Z42" s="32"/>
      <c r="AA42" s="32"/>
      <c r="AB42" s="32"/>
      <c r="AC42" s="32"/>
      <c r="AE42" s="53"/>
      <c r="AF42" s="53"/>
      <c r="AG42" s="54"/>
      <c r="AH42"/>
      <c r="AI42" s="53"/>
      <c r="AJ42" s="53"/>
      <c r="AK42" s="55"/>
    </row>
    <row r="43" spans="1:37" s="18" customFormat="1" ht="25.15" customHeight="1" x14ac:dyDescent="0.25">
      <c r="A43" s="17"/>
      <c r="B43" s="7"/>
      <c r="C43" s="7"/>
      <c r="D43" s="7"/>
      <c r="E43" s="3"/>
      <c r="F43" s="5"/>
      <c r="G43" s="5"/>
      <c r="H43" s="16">
        <f>H36/D35</f>
        <v>8</v>
      </c>
      <c r="I43" s="25"/>
      <c r="J43" s="5"/>
      <c r="K43" s="5"/>
      <c r="L43" s="5"/>
      <c r="M43" s="5"/>
      <c r="N43" s="5"/>
      <c r="O43" s="25"/>
      <c r="P43" s="5"/>
      <c r="Q43" s="5"/>
      <c r="R43" s="5"/>
      <c r="S43" s="5"/>
      <c r="T43" s="5"/>
      <c r="U43" s="45"/>
      <c r="V43" s="45"/>
      <c r="X43" s="32"/>
      <c r="Y43" s="32"/>
      <c r="Z43" s="32"/>
      <c r="AA43" s="32"/>
      <c r="AB43" s="32"/>
      <c r="AC43" s="32"/>
      <c r="AE43" s="53"/>
      <c r="AF43" s="53"/>
      <c r="AG43" s="54"/>
      <c r="AH43"/>
      <c r="AI43" s="53"/>
      <c r="AJ43" s="53"/>
      <c r="AK43" s="55"/>
    </row>
    <row r="44" spans="1:37" s="18" customFormat="1" ht="25.15" customHeight="1" x14ac:dyDescent="0.25">
      <c r="A44" s="17"/>
      <c r="B44" s="7"/>
      <c r="C44" s="7"/>
      <c r="D44" s="7"/>
      <c r="E44" s="3"/>
      <c r="F44" s="5"/>
      <c r="G44" s="5"/>
      <c r="H44" s="16">
        <f>I36/D35</f>
        <v>8</v>
      </c>
      <c r="J44" s="5"/>
      <c r="K44" s="5"/>
      <c r="L44" s="5"/>
      <c r="M44" s="5"/>
      <c r="N44" s="5"/>
      <c r="O44" s="25"/>
      <c r="P44" s="5"/>
      <c r="Q44" s="5"/>
      <c r="R44" s="5"/>
      <c r="S44" s="5"/>
      <c r="T44" s="5"/>
      <c r="U44" s="45"/>
      <c r="V44" s="45"/>
      <c r="X44" s="32"/>
      <c r="Y44" s="32"/>
      <c r="Z44" s="32"/>
      <c r="AA44" s="32"/>
      <c r="AB44" s="32"/>
      <c r="AC44" s="32"/>
      <c r="AE44" s="53"/>
      <c r="AF44" s="53"/>
      <c r="AG44" s="54"/>
      <c r="AH44"/>
      <c r="AI44" s="53"/>
      <c r="AJ44" s="53"/>
      <c r="AK44" s="55"/>
    </row>
    <row r="45" spans="1:37" s="18" customFormat="1" ht="25.15" customHeight="1" x14ac:dyDescent="0.25">
      <c r="A45" s="17"/>
      <c r="B45" s="7"/>
      <c r="C45" s="7"/>
      <c r="D45" s="7"/>
      <c r="E45" s="3"/>
      <c r="F45" s="5"/>
      <c r="G45" s="5"/>
      <c r="H45" s="16">
        <f>J36/D35</f>
        <v>7</v>
      </c>
      <c r="J45" s="5"/>
      <c r="K45" s="5"/>
      <c r="L45" s="5"/>
      <c r="M45" s="5"/>
      <c r="N45" s="5"/>
      <c r="O45" s="25"/>
      <c r="P45" s="5"/>
      <c r="Q45" s="5"/>
      <c r="R45" s="5"/>
      <c r="S45" s="5"/>
      <c r="T45" s="5"/>
      <c r="U45" s="45"/>
      <c r="V45" s="45"/>
      <c r="X45" s="32"/>
      <c r="Y45" s="32"/>
      <c r="Z45" s="32"/>
      <c r="AA45" s="32"/>
      <c r="AB45" s="32"/>
      <c r="AC45" s="32"/>
      <c r="AE45" s="53"/>
      <c r="AF45" s="53"/>
      <c r="AG45" s="54"/>
      <c r="AH45"/>
      <c r="AI45" s="53"/>
      <c r="AJ45" s="53"/>
      <c r="AK45" s="55"/>
    </row>
    <row r="46" spans="1:37" s="18" customFormat="1" ht="25.15" customHeight="1" x14ac:dyDescent="0.25">
      <c r="A46" s="17"/>
      <c r="B46" s="7"/>
      <c r="C46" s="7"/>
      <c r="D46" s="7"/>
      <c r="E46" s="3"/>
      <c r="F46" s="5"/>
      <c r="G46" s="5"/>
      <c r="H46" s="16">
        <f>K36/D35</f>
        <v>6</v>
      </c>
      <c r="I46" s="25"/>
      <c r="J46" s="5"/>
      <c r="K46" s="5"/>
      <c r="L46" s="5"/>
      <c r="M46" s="5"/>
      <c r="N46" s="5"/>
      <c r="O46" s="25"/>
      <c r="P46" s="5"/>
      <c r="Q46" s="5"/>
      <c r="R46" s="5"/>
      <c r="S46" s="5"/>
      <c r="T46" s="5"/>
      <c r="U46" s="45"/>
      <c r="V46" s="45"/>
      <c r="X46" s="32"/>
      <c r="Y46" s="32"/>
      <c r="Z46" s="32"/>
      <c r="AA46" s="32"/>
      <c r="AB46" s="32"/>
      <c r="AC46" s="32"/>
      <c r="AE46" s="53"/>
      <c r="AF46" s="53"/>
      <c r="AG46" s="54"/>
      <c r="AH46"/>
      <c r="AI46" s="53"/>
      <c r="AJ46" s="53"/>
      <c r="AK46" s="55"/>
    </row>
    <row r="47" spans="1:37" s="18" customFormat="1" ht="25.15" customHeight="1" x14ac:dyDescent="0.25">
      <c r="A47" s="17"/>
      <c r="B47" s="7"/>
      <c r="C47" s="7"/>
      <c r="D47" s="7"/>
      <c r="E47" s="3"/>
      <c r="F47" s="5"/>
      <c r="G47" s="5"/>
      <c r="H47" s="16">
        <f>L36/D35</f>
        <v>8</v>
      </c>
      <c r="I47" s="25"/>
      <c r="J47" s="5"/>
      <c r="K47" s="5"/>
      <c r="L47" s="5"/>
      <c r="M47" s="5"/>
      <c r="N47" s="5"/>
      <c r="O47" s="25"/>
      <c r="P47" s="5"/>
      <c r="Q47" s="5"/>
      <c r="R47" s="5"/>
      <c r="S47" s="5"/>
      <c r="T47" s="5"/>
      <c r="U47" s="45"/>
      <c r="V47" s="45"/>
      <c r="X47" s="32"/>
      <c r="Y47" s="32"/>
      <c r="Z47" s="32"/>
      <c r="AA47" s="32"/>
      <c r="AB47" s="32"/>
      <c r="AC47" s="32"/>
      <c r="AE47" s="53"/>
      <c r="AF47" s="53"/>
      <c r="AG47" s="54"/>
      <c r="AH47"/>
      <c r="AI47" s="53"/>
      <c r="AJ47" s="53"/>
      <c r="AK47" s="55"/>
    </row>
    <row r="48" spans="1:37" s="18" customFormat="1" ht="25.15" customHeight="1" x14ac:dyDescent="0.25">
      <c r="A48" s="17"/>
      <c r="B48" s="7"/>
      <c r="C48" s="7"/>
      <c r="D48" s="7"/>
      <c r="E48" s="3"/>
      <c r="F48" s="5"/>
      <c r="G48" s="5"/>
      <c r="H48" s="16">
        <f>M36/D35</f>
        <v>6</v>
      </c>
      <c r="I48" s="25"/>
      <c r="J48" s="5"/>
      <c r="K48" s="5"/>
      <c r="L48" s="5"/>
      <c r="M48" s="5"/>
      <c r="N48" s="5"/>
      <c r="O48" s="25"/>
      <c r="P48" s="5"/>
      <c r="Q48" s="5"/>
      <c r="R48" s="5"/>
      <c r="S48" s="5"/>
      <c r="T48" s="5"/>
      <c r="U48" s="45"/>
      <c r="V48" s="45"/>
      <c r="X48" s="32"/>
      <c r="Y48" s="32"/>
      <c r="Z48" s="32"/>
      <c r="AA48" s="32"/>
      <c r="AB48" s="32"/>
      <c r="AC48" s="32"/>
      <c r="AE48" s="53"/>
      <c r="AF48" s="53"/>
      <c r="AG48" s="54"/>
      <c r="AH48"/>
      <c r="AI48" s="53"/>
      <c r="AJ48" s="53"/>
      <c r="AK48" s="55"/>
    </row>
    <row r="49" spans="1:37" s="18" customFormat="1" ht="25.15" customHeight="1" x14ac:dyDescent="0.25">
      <c r="A49" s="17"/>
      <c r="B49" s="7"/>
      <c r="C49" s="7"/>
      <c r="D49" s="7"/>
      <c r="E49" s="3"/>
      <c r="F49" s="5"/>
      <c r="G49" s="5"/>
      <c r="H49" s="16">
        <f>N36/D35</f>
        <v>6</v>
      </c>
      <c r="I49" s="25"/>
      <c r="J49" s="5"/>
      <c r="K49" s="5"/>
      <c r="L49" s="5"/>
      <c r="M49" s="5"/>
      <c r="N49" s="5"/>
      <c r="O49" s="25"/>
      <c r="P49" s="5"/>
      <c r="Q49" s="5"/>
      <c r="R49" s="5"/>
      <c r="S49" s="5"/>
      <c r="T49" s="5"/>
      <c r="U49" s="45"/>
      <c r="V49" s="45"/>
      <c r="X49" s="32"/>
      <c r="Y49" s="32"/>
      <c r="Z49" s="32"/>
      <c r="AA49" s="32"/>
      <c r="AB49" s="32"/>
      <c r="AC49" s="32"/>
      <c r="AE49" s="53"/>
      <c r="AF49" s="53"/>
      <c r="AG49" s="54"/>
      <c r="AH49"/>
      <c r="AI49" s="53"/>
      <c r="AJ49" s="53"/>
      <c r="AK49" s="55"/>
    </row>
    <row r="50" spans="1:37" s="18" customFormat="1" ht="25.15" customHeight="1" x14ac:dyDescent="0.25">
      <c r="A50" s="17"/>
      <c r="B50" s="7"/>
      <c r="C50" s="7"/>
      <c r="D50" s="7"/>
      <c r="E50" s="3"/>
      <c r="F50" s="5"/>
      <c r="G50" s="5"/>
      <c r="H50" s="16">
        <f>O36/D35</f>
        <v>7</v>
      </c>
      <c r="I50" s="25"/>
      <c r="J50" s="5"/>
      <c r="K50" s="5"/>
      <c r="L50" s="5"/>
      <c r="M50" s="5"/>
      <c r="N50" s="5"/>
      <c r="O50" s="25"/>
      <c r="P50" s="5"/>
      <c r="Q50" s="5"/>
      <c r="R50" s="5"/>
      <c r="S50" s="5"/>
      <c r="T50" s="5"/>
      <c r="U50" s="45"/>
      <c r="V50" s="45"/>
      <c r="X50" s="32"/>
      <c r="Y50" s="32"/>
      <c r="Z50" s="32"/>
      <c r="AA50" s="32"/>
      <c r="AB50" s="32"/>
      <c r="AC50" s="32"/>
      <c r="AE50" s="53"/>
      <c r="AF50" s="53"/>
      <c r="AG50" s="54"/>
      <c r="AH50"/>
      <c r="AI50" s="53"/>
      <c r="AJ50" s="53"/>
      <c r="AK50" s="55"/>
    </row>
    <row r="51" spans="1:37" s="18" customFormat="1" ht="25.15" customHeight="1" x14ac:dyDescent="0.25">
      <c r="A51" s="17"/>
      <c r="B51" s="7"/>
      <c r="C51" s="7"/>
      <c r="D51" s="7"/>
      <c r="E51" s="3"/>
      <c r="F51" s="5"/>
      <c r="G51" s="5"/>
      <c r="H51" s="16">
        <f>P36/D35</f>
        <v>8</v>
      </c>
      <c r="I51" s="25"/>
      <c r="J51" s="5"/>
      <c r="K51" s="5"/>
      <c r="L51" s="5"/>
      <c r="M51" s="5"/>
      <c r="N51" s="5"/>
      <c r="O51" s="25"/>
      <c r="P51" s="5"/>
      <c r="Q51" s="5"/>
      <c r="R51" s="5"/>
      <c r="S51" s="5"/>
      <c r="T51" s="5"/>
      <c r="U51" s="45"/>
      <c r="V51" s="45"/>
      <c r="X51" s="32"/>
      <c r="Y51" s="32"/>
      <c r="Z51" s="32"/>
      <c r="AA51" s="32"/>
      <c r="AB51" s="32"/>
      <c r="AC51" s="32"/>
      <c r="AE51" s="53"/>
      <c r="AF51" s="53"/>
      <c r="AG51" s="54"/>
      <c r="AH51"/>
      <c r="AI51" s="53"/>
      <c r="AJ51" s="53"/>
      <c r="AK51" s="55"/>
    </row>
    <row r="52" spans="1:37" s="18" customFormat="1" ht="25.15" customHeight="1" x14ac:dyDescent="0.25">
      <c r="A52" s="17"/>
      <c r="B52" s="7"/>
      <c r="C52" s="7"/>
      <c r="D52" s="7"/>
      <c r="E52" s="3"/>
      <c r="F52" s="5"/>
      <c r="G52" s="5"/>
      <c r="H52" s="16">
        <f>Q36/D35</f>
        <v>8</v>
      </c>
      <c r="I52" s="25"/>
      <c r="J52" s="5"/>
      <c r="K52" s="5"/>
      <c r="L52" s="5"/>
      <c r="M52" s="5"/>
      <c r="N52" s="5"/>
      <c r="O52" s="25"/>
      <c r="P52" s="5"/>
      <c r="Q52" s="5"/>
      <c r="R52" s="5"/>
      <c r="S52" s="5"/>
      <c r="T52" s="5"/>
      <c r="U52" s="45"/>
      <c r="V52" s="45"/>
      <c r="X52" s="32"/>
      <c r="Y52" s="32"/>
      <c r="Z52" s="32"/>
      <c r="AA52" s="32"/>
      <c r="AB52" s="32"/>
      <c r="AC52" s="32"/>
      <c r="AE52" s="53"/>
      <c r="AF52" s="53"/>
      <c r="AG52" s="54"/>
      <c r="AH52"/>
      <c r="AI52" s="53"/>
      <c r="AJ52" s="53"/>
      <c r="AK52" s="55"/>
    </row>
    <row r="53" spans="1:37" s="18" customFormat="1" ht="25.15" customHeight="1" x14ac:dyDescent="0.25">
      <c r="A53" s="17"/>
      <c r="B53" s="7"/>
      <c r="C53" s="7"/>
      <c r="D53" s="7"/>
      <c r="E53" s="3"/>
      <c r="F53" s="5"/>
      <c r="G53" s="5"/>
      <c r="H53" s="16">
        <f>R36/D35</f>
        <v>8</v>
      </c>
      <c r="I53" s="25"/>
      <c r="J53" s="5"/>
      <c r="K53" s="5"/>
      <c r="L53" s="5"/>
      <c r="M53" s="5"/>
      <c r="N53" s="5"/>
      <c r="O53" s="25"/>
      <c r="P53" s="5"/>
      <c r="Q53" s="5"/>
      <c r="R53" s="5"/>
      <c r="S53" s="5"/>
      <c r="T53" s="5"/>
      <c r="U53" s="45"/>
      <c r="V53" s="45"/>
      <c r="X53" s="32"/>
      <c r="Y53" s="32"/>
      <c r="Z53" s="32"/>
      <c r="AA53" s="32"/>
      <c r="AB53" s="32"/>
      <c r="AC53" s="32"/>
      <c r="AE53" s="53"/>
      <c r="AF53" s="53"/>
      <c r="AG53" s="54"/>
      <c r="AH53"/>
      <c r="AI53" s="53"/>
      <c r="AJ53" s="53"/>
      <c r="AK53" s="55"/>
    </row>
    <row r="54" spans="1:37" s="18" customFormat="1" ht="25.15" customHeight="1" x14ac:dyDescent="0.25">
      <c r="A54" s="17"/>
      <c r="B54" s="7"/>
      <c r="C54" s="7"/>
      <c r="D54" s="7"/>
      <c r="E54" s="3"/>
      <c r="F54" s="5"/>
      <c r="G54" s="5"/>
      <c r="H54" s="16">
        <f>S36/D35</f>
        <v>8</v>
      </c>
      <c r="I54" s="25"/>
      <c r="J54" s="5"/>
      <c r="K54" s="5"/>
      <c r="L54" s="5"/>
      <c r="M54" s="5"/>
      <c r="N54" s="5"/>
      <c r="O54" s="25"/>
      <c r="P54" s="5"/>
      <c r="Q54" s="5"/>
      <c r="R54" s="5"/>
      <c r="S54" s="5"/>
      <c r="T54" s="5"/>
      <c r="U54" s="45"/>
      <c r="V54" s="45"/>
      <c r="X54" s="32"/>
      <c r="Y54" s="32"/>
      <c r="Z54" s="32"/>
      <c r="AA54" s="32"/>
      <c r="AB54" s="32"/>
      <c r="AC54" s="32"/>
      <c r="AE54" s="53"/>
      <c r="AF54" s="53"/>
      <c r="AG54" s="54"/>
      <c r="AH54"/>
      <c r="AI54" s="53"/>
      <c r="AJ54" s="53"/>
      <c r="AK54" s="55"/>
    </row>
    <row r="55" spans="1:37" s="18" customFormat="1" ht="25.15" customHeight="1" x14ac:dyDescent="0.25">
      <c r="A55" s="17"/>
      <c r="B55" s="7"/>
      <c r="C55" s="7"/>
      <c r="D55" s="7"/>
      <c r="E55" s="3"/>
      <c r="F55" s="5"/>
      <c r="G55" s="5"/>
      <c r="H55" s="15">
        <f>SUM(H41:H54)</f>
        <v>95</v>
      </c>
      <c r="I55" s="25"/>
      <c r="J55" s="5"/>
      <c r="K55" s="5"/>
      <c r="L55" s="5"/>
      <c r="M55" s="5"/>
      <c r="N55" s="5"/>
      <c r="O55" s="25"/>
      <c r="P55" s="5"/>
      <c r="Q55" s="5"/>
      <c r="R55" s="5"/>
      <c r="S55" s="5"/>
      <c r="T55" s="5"/>
      <c r="U55" s="45"/>
      <c r="V55" s="45"/>
      <c r="X55" s="32"/>
      <c r="Y55" s="32"/>
      <c r="Z55" s="32"/>
      <c r="AA55" s="32"/>
      <c r="AB55" s="32"/>
      <c r="AC55" s="32"/>
      <c r="AE55" s="53"/>
      <c r="AF55" s="53"/>
      <c r="AG55" s="54"/>
      <c r="AH55"/>
      <c r="AI55" s="53"/>
      <c r="AJ55" s="53"/>
      <c r="AK55" s="55"/>
    </row>
    <row r="56" spans="1:37" s="18" customFormat="1" ht="25.15" customHeight="1" x14ac:dyDescent="0.25">
      <c r="A56" s="17"/>
      <c r="B56" s="7"/>
      <c r="C56" s="7"/>
      <c r="D56" s="7"/>
      <c r="E56" s="3"/>
      <c r="F56" s="5"/>
      <c r="G56" s="5"/>
      <c r="H56" s="5"/>
      <c r="I56" s="25"/>
      <c r="J56" s="5"/>
      <c r="K56" s="5"/>
      <c r="L56" s="5"/>
      <c r="M56" s="5"/>
      <c r="N56" s="5"/>
      <c r="O56" s="25"/>
      <c r="P56" s="5"/>
      <c r="Q56" s="5"/>
      <c r="R56" s="5"/>
      <c r="S56" s="5"/>
      <c r="T56" s="5"/>
      <c r="U56" s="45"/>
      <c r="V56" s="45"/>
      <c r="X56" s="32"/>
      <c r="Y56" s="32"/>
      <c r="Z56" s="32"/>
      <c r="AA56" s="32"/>
      <c r="AB56" s="32"/>
      <c r="AC56" s="32"/>
      <c r="AE56" s="53"/>
      <c r="AF56" s="53"/>
      <c r="AG56" s="54"/>
      <c r="AH56"/>
      <c r="AI56" s="53"/>
      <c r="AJ56" s="53"/>
      <c r="AK56" s="55"/>
    </row>
    <row r="57" spans="1:37" s="18" customFormat="1" ht="25.15" customHeight="1" x14ac:dyDescent="0.25">
      <c r="A57" s="17"/>
      <c r="B57" s="7"/>
      <c r="C57" s="7"/>
      <c r="D57" s="7"/>
      <c r="E57" s="3"/>
      <c r="F57" s="5"/>
      <c r="G57" s="5"/>
      <c r="H57" s="5"/>
      <c r="I57" s="25"/>
      <c r="J57" s="5"/>
      <c r="K57" s="5"/>
      <c r="L57" s="5"/>
      <c r="M57" s="5"/>
      <c r="N57" s="5"/>
      <c r="O57" s="25"/>
      <c r="P57" s="5"/>
      <c r="Q57" s="5"/>
      <c r="R57" s="5"/>
      <c r="S57" s="5"/>
      <c r="T57" s="5"/>
      <c r="U57" s="45"/>
      <c r="V57" s="45"/>
      <c r="X57" s="32"/>
      <c r="Y57" s="32"/>
      <c r="Z57" s="32"/>
      <c r="AA57" s="32"/>
      <c r="AB57" s="32"/>
      <c r="AC57" s="32"/>
      <c r="AE57" s="53"/>
      <c r="AF57" s="53"/>
      <c r="AG57" s="54"/>
      <c r="AH57"/>
      <c r="AI57" s="53"/>
      <c r="AJ57" s="53"/>
      <c r="AK57" s="55"/>
    </row>
    <row r="58" spans="1:37" s="18" customFormat="1" ht="25.15" customHeight="1" x14ac:dyDescent="0.25">
      <c r="A58" s="17"/>
      <c r="B58" s="7"/>
      <c r="C58" s="7"/>
      <c r="D58" s="7"/>
      <c r="E58" s="3"/>
      <c r="F58" s="5"/>
      <c r="G58" s="5"/>
      <c r="H58" s="5"/>
      <c r="I58" s="25"/>
      <c r="J58" s="5"/>
      <c r="K58" s="5"/>
      <c r="L58" s="5"/>
      <c r="M58" s="5"/>
      <c r="N58" s="5"/>
      <c r="O58" s="25"/>
      <c r="P58" s="5"/>
      <c r="Q58" s="5"/>
      <c r="R58" s="5"/>
      <c r="S58" s="5"/>
      <c r="T58" s="5"/>
      <c r="U58" s="45"/>
      <c r="V58" s="45"/>
      <c r="X58" s="32"/>
      <c r="Y58" s="32"/>
      <c r="Z58" s="32"/>
      <c r="AA58" s="32"/>
      <c r="AB58" s="32"/>
      <c r="AC58" s="32"/>
      <c r="AE58" s="53"/>
      <c r="AF58" s="53"/>
      <c r="AG58" s="54"/>
      <c r="AH58"/>
      <c r="AI58" s="53"/>
      <c r="AJ58" s="53"/>
      <c r="AK58" s="55"/>
    </row>
    <row r="59" spans="1:37" s="18" customFormat="1" ht="25.15" customHeight="1" x14ac:dyDescent="0.25">
      <c r="A59" s="17"/>
      <c r="B59" s="7"/>
      <c r="C59" s="7"/>
      <c r="D59" s="7"/>
      <c r="E59" s="3"/>
      <c r="F59" s="5"/>
      <c r="G59" s="5"/>
      <c r="H59" s="5"/>
      <c r="I59" s="25"/>
      <c r="J59" s="5"/>
      <c r="K59" s="5"/>
      <c r="L59" s="5"/>
      <c r="M59" s="5"/>
      <c r="N59" s="5"/>
      <c r="O59" s="25"/>
      <c r="P59" s="5"/>
      <c r="Q59" s="5"/>
      <c r="R59" s="5"/>
      <c r="S59" s="5"/>
      <c r="T59" s="5"/>
      <c r="U59" s="45"/>
      <c r="V59" s="45"/>
      <c r="X59" s="32"/>
      <c r="Y59" s="32"/>
      <c r="Z59" s="32"/>
      <c r="AA59" s="32"/>
      <c r="AB59" s="32"/>
      <c r="AC59" s="32"/>
      <c r="AE59" s="53"/>
      <c r="AF59" s="53"/>
      <c r="AG59" s="54"/>
      <c r="AH59"/>
      <c r="AI59" s="53"/>
      <c r="AJ59" s="53"/>
      <c r="AK59" s="55"/>
    </row>
    <row r="60" spans="1:37" s="18" customFormat="1" ht="25.15" customHeight="1" x14ac:dyDescent="0.25">
      <c r="A60" s="17"/>
      <c r="B60" s="7"/>
      <c r="C60" s="7"/>
      <c r="D60" s="7"/>
      <c r="E60" s="3"/>
      <c r="F60" s="5"/>
      <c r="G60" s="5"/>
      <c r="H60" s="5"/>
      <c r="I60" s="25"/>
      <c r="J60" s="5"/>
      <c r="K60" s="5"/>
      <c r="L60" s="5"/>
      <c r="M60" s="5"/>
      <c r="N60" s="5"/>
      <c r="O60" s="25"/>
      <c r="P60" s="5"/>
      <c r="Q60" s="5"/>
      <c r="R60" s="5"/>
      <c r="S60" s="5"/>
      <c r="T60" s="5"/>
      <c r="U60" s="45"/>
      <c r="V60" s="45"/>
      <c r="X60" s="32"/>
      <c r="Y60" s="32"/>
      <c r="Z60" s="32"/>
      <c r="AA60" s="32"/>
      <c r="AB60" s="32"/>
      <c r="AC60" s="32"/>
      <c r="AE60" s="53"/>
      <c r="AF60" s="53"/>
      <c r="AG60" s="54"/>
      <c r="AH60"/>
      <c r="AI60" s="53"/>
      <c r="AJ60" s="53"/>
      <c r="AK60" s="55"/>
    </row>
    <row r="61" spans="1:37" s="18" customFormat="1" ht="25.15" customHeight="1" x14ac:dyDescent="0.25">
      <c r="A61" s="17"/>
      <c r="B61" s="7"/>
      <c r="C61" s="7"/>
      <c r="D61" s="7"/>
      <c r="E61" s="3"/>
      <c r="F61" s="5"/>
      <c r="G61" s="5"/>
      <c r="H61" s="5"/>
      <c r="I61" s="25"/>
      <c r="J61" s="5"/>
      <c r="K61" s="5"/>
      <c r="L61" s="5"/>
      <c r="M61" s="5"/>
      <c r="N61" s="5"/>
      <c r="O61" s="25"/>
      <c r="P61" s="5"/>
      <c r="Q61" s="5"/>
      <c r="R61" s="5"/>
      <c r="S61" s="5"/>
      <c r="T61" s="5"/>
      <c r="U61" s="45"/>
      <c r="V61" s="45"/>
      <c r="X61" s="32"/>
      <c r="Y61" s="32"/>
      <c r="Z61" s="32"/>
      <c r="AA61" s="32"/>
      <c r="AB61" s="32"/>
      <c r="AC61" s="32"/>
      <c r="AE61" s="53"/>
      <c r="AF61" s="53"/>
      <c r="AG61" s="54"/>
      <c r="AH61"/>
      <c r="AI61" s="53"/>
      <c r="AJ61" s="53"/>
      <c r="AK61" s="55"/>
    </row>
    <row r="62" spans="1:37" s="18" customFormat="1" ht="25.15" customHeight="1" x14ac:dyDescent="0.25">
      <c r="A62" s="17"/>
      <c r="B62" s="7"/>
      <c r="C62" s="7"/>
      <c r="D62" s="7"/>
      <c r="E62" s="3"/>
      <c r="F62" s="5"/>
      <c r="G62" s="5"/>
      <c r="H62" s="5"/>
      <c r="I62" s="25"/>
      <c r="J62" s="5"/>
      <c r="K62" s="5"/>
      <c r="L62" s="5"/>
      <c r="M62" s="5"/>
      <c r="N62" s="5"/>
      <c r="O62" s="25"/>
      <c r="P62" s="5"/>
      <c r="Q62" s="5"/>
      <c r="R62" s="5"/>
      <c r="S62" s="5"/>
      <c r="T62" s="5"/>
      <c r="U62" s="45"/>
      <c r="V62" s="45"/>
      <c r="X62" s="32"/>
      <c r="Y62" s="32"/>
      <c r="Z62" s="32"/>
      <c r="AA62" s="32"/>
      <c r="AB62" s="32"/>
      <c r="AC62" s="32"/>
      <c r="AE62" s="53"/>
      <c r="AF62" s="53"/>
      <c r="AG62" s="54"/>
      <c r="AH62"/>
      <c r="AI62" s="53"/>
      <c r="AJ62" s="53"/>
      <c r="AK62" s="55"/>
    </row>
    <row r="63" spans="1:37" s="18" customFormat="1" ht="25.15" customHeight="1" x14ac:dyDescent="0.25">
      <c r="A63" s="17"/>
      <c r="B63" s="7"/>
      <c r="C63" s="7"/>
      <c r="D63" s="7"/>
      <c r="E63" s="3"/>
      <c r="F63" s="5"/>
      <c r="G63" s="5"/>
      <c r="H63" s="5"/>
      <c r="I63" s="25"/>
      <c r="J63" s="5"/>
      <c r="K63" s="5"/>
      <c r="L63" s="5"/>
      <c r="M63" s="5"/>
      <c r="N63" s="5"/>
      <c r="O63" s="25"/>
      <c r="P63" s="5"/>
      <c r="Q63" s="5"/>
      <c r="R63" s="5"/>
      <c r="S63" s="5"/>
      <c r="T63" s="5"/>
      <c r="U63" s="45"/>
      <c r="V63" s="45"/>
      <c r="X63" s="32"/>
      <c r="Y63" s="32"/>
      <c r="Z63" s="32"/>
      <c r="AA63" s="32"/>
      <c r="AB63" s="32"/>
      <c r="AC63" s="32"/>
      <c r="AE63" s="53"/>
      <c r="AF63" s="53"/>
      <c r="AG63" s="54"/>
      <c r="AH63"/>
      <c r="AI63" s="53"/>
      <c r="AJ63" s="53"/>
      <c r="AK63" s="55"/>
    </row>
    <row r="64" spans="1:37" s="18" customFormat="1" ht="25.15" customHeight="1" x14ac:dyDescent="0.25">
      <c r="A64" s="17"/>
      <c r="B64" s="7"/>
      <c r="C64" s="7"/>
      <c r="D64" s="7"/>
      <c r="E64" s="3"/>
      <c r="F64" s="5"/>
      <c r="G64" s="5"/>
      <c r="H64" s="5"/>
      <c r="I64" s="25"/>
      <c r="J64" s="5"/>
      <c r="K64" s="5"/>
      <c r="L64" s="5"/>
      <c r="M64" s="5"/>
      <c r="N64" s="5"/>
      <c r="O64" s="25"/>
      <c r="P64" s="5"/>
      <c r="Q64" s="5"/>
      <c r="R64" s="5"/>
      <c r="S64" s="5"/>
      <c r="T64" s="5"/>
      <c r="U64" s="45"/>
      <c r="V64" s="45"/>
      <c r="X64" s="32"/>
      <c r="Y64" s="32"/>
      <c r="Z64" s="32"/>
      <c r="AA64" s="32"/>
      <c r="AB64" s="32"/>
      <c r="AC64" s="32"/>
      <c r="AE64" s="53"/>
      <c r="AF64" s="53"/>
      <c r="AG64" s="54"/>
      <c r="AH64"/>
      <c r="AI64" s="53"/>
      <c r="AJ64" s="53"/>
      <c r="AK64" s="55"/>
    </row>
    <row r="65" spans="1:37" s="18" customFormat="1" ht="25.15" customHeight="1" x14ac:dyDescent="0.25">
      <c r="A65" s="17"/>
      <c r="B65" s="7"/>
      <c r="C65" s="7"/>
      <c r="D65" s="7"/>
      <c r="E65" s="3"/>
      <c r="F65" s="5"/>
      <c r="G65" s="5"/>
      <c r="H65" s="5"/>
      <c r="I65" s="25"/>
      <c r="J65" s="5"/>
      <c r="K65" s="5"/>
      <c r="L65" s="5"/>
      <c r="M65" s="5"/>
      <c r="N65" s="5"/>
      <c r="O65" s="25"/>
      <c r="P65" s="5"/>
      <c r="Q65" s="5"/>
      <c r="R65" s="5"/>
      <c r="S65" s="5"/>
      <c r="T65" s="5"/>
      <c r="U65" s="45"/>
      <c r="V65" s="45"/>
      <c r="X65" s="32"/>
      <c r="Y65" s="32"/>
      <c r="Z65" s="32"/>
      <c r="AA65" s="32"/>
      <c r="AB65" s="32"/>
      <c r="AC65" s="32"/>
      <c r="AE65" s="53"/>
      <c r="AF65" s="53"/>
      <c r="AG65" s="54"/>
      <c r="AH65"/>
      <c r="AI65" s="53"/>
      <c r="AJ65" s="53"/>
      <c r="AK65" s="55"/>
    </row>
    <row r="66" spans="1:37" s="18" customFormat="1" ht="25.15" customHeight="1" x14ac:dyDescent="0.25">
      <c r="A66" s="17"/>
      <c r="B66" s="7"/>
      <c r="C66" s="7"/>
      <c r="D66" s="7"/>
      <c r="E66" s="3"/>
      <c r="F66" s="5"/>
      <c r="G66" s="5"/>
      <c r="H66" s="5"/>
      <c r="I66" s="25"/>
      <c r="J66" s="5"/>
      <c r="K66" s="5"/>
      <c r="L66" s="5"/>
      <c r="M66" s="5"/>
      <c r="N66" s="5"/>
      <c r="O66" s="25"/>
      <c r="P66" s="5"/>
      <c r="Q66" s="5"/>
      <c r="R66" s="5"/>
      <c r="S66" s="5"/>
      <c r="T66" s="5"/>
      <c r="U66" s="45"/>
      <c r="V66" s="45"/>
      <c r="X66" s="32"/>
      <c r="Y66" s="32"/>
      <c r="Z66" s="32"/>
      <c r="AA66" s="32"/>
      <c r="AB66" s="32"/>
      <c r="AC66" s="32"/>
      <c r="AE66" s="53"/>
      <c r="AF66" s="53"/>
      <c r="AG66" s="54"/>
      <c r="AH66"/>
      <c r="AI66" s="53"/>
      <c r="AJ66" s="53"/>
      <c r="AK66" s="55"/>
    </row>
    <row r="67" spans="1:37" s="18" customFormat="1" ht="25.15" customHeight="1" x14ac:dyDescent="0.25">
      <c r="A67" s="17"/>
      <c r="B67" s="7"/>
      <c r="C67" s="7"/>
      <c r="D67" s="7"/>
      <c r="E67" s="3"/>
      <c r="F67" s="5"/>
      <c r="G67" s="5"/>
      <c r="H67" s="5"/>
      <c r="I67" s="25"/>
      <c r="J67" s="5"/>
      <c r="K67" s="5"/>
      <c r="L67" s="5"/>
      <c r="M67" s="5"/>
      <c r="N67" s="5"/>
      <c r="O67" s="25"/>
      <c r="P67" s="5"/>
      <c r="Q67" s="5"/>
      <c r="R67" s="5"/>
      <c r="S67" s="5"/>
      <c r="T67" s="5"/>
      <c r="U67" s="45"/>
      <c r="V67" s="45"/>
      <c r="X67" s="32"/>
      <c r="Y67" s="32"/>
      <c r="Z67" s="32"/>
      <c r="AA67" s="32"/>
      <c r="AB67" s="32"/>
      <c r="AC67" s="32"/>
      <c r="AE67" s="53"/>
      <c r="AF67" s="53"/>
      <c r="AG67" s="54"/>
      <c r="AH67"/>
      <c r="AI67" s="53"/>
      <c r="AJ67" s="53"/>
      <c r="AK67" s="55"/>
    </row>
    <row r="68" spans="1:37" s="18" customFormat="1" ht="25.15" customHeight="1" x14ac:dyDescent="0.25">
      <c r="A68" s="17"/>
      <c r="B68" s="7"/>
      <c r="C68" s="7"/>
      <c r="D68" s="7"/>
      <c r="E68" s="3"/>
      <c r="F68" s="5"/>
      <c r="G68" s="5"/>
      <c r="H68" s="5"/>
      <c r="I68" s="25"/>
      <c r="J68" s="5"/>
      <c r="K68" s="5"/>
      <c r="L68" s="5"/>
      <c r="M68" s="5"/>
      <c r="N68" s="5"/>
      <c r="O68" s="25"/>
      <c r="P68" s="5"/>
      <c r="Q68" s="5"/>
      <c r="R68" s="5"/>
      <c r="S68" s="5"/>
      <c r="T68" s="5"/>
      <c r="U68" s="45"/>
      <c r="V68" s="45"/>
      <c r="X68" s="32"/>
      <c r="Y68" s="32"/>
      <c r="Z68" s="32"/>
      <c r="AA68" s="32"/>
      <c r="AB68" s="32"/>
      <c r="AC68" s="32"/>
      <c r="AE68" s="53"/>
      <c r="AF68" s="53"/>
      <c r="AG68" s="54"/>
      <c r="AH68"/>
      <c r="AI68" s="53"/>
      <c r="AJ68" s="53"/>
      <c r="AK68" s="55"/>
    </row>
    <row r="69" spans="1:37" s="18" customFormat="1" ht="25.15" customHeight="1" x14ac:dyDescent="0.25">
      <c r="A69" s="17"/>
      <c r="B69" s="7"/>
      <c r="C69" s="7"/>
      <c r="D69" s="7"/>
      <c r="E69" s="3"/>
      <c r="F69" s="5"/>
      <c r="G69" s="5"/>
      <c r="H69" s="5"/>
      <c r="I69" s="25"/>
      <c r="J69" s="5"/>
      <c r="K69" s="5"/>
      <c r="L69" s="5"/>
      <c r="M69" s="5"/>
      <c r="N69" s="5"/>
      <c r="O69" s="25"/>
      <c r="P69" s="5"/>
      <c r="Q69" s="5"/>
      <c r="R69" s="5"/>
      <c r="S69" s="5"/>
      <c r="T69" s="5"/>
      <c r="U69" s="45"/>
      <c r="V69" s="45"/>
      <c r="X69" s="32"/>
      <c r="Y69" s="32"/>
      <c r="Z69" s="32"/>
      <c r="AA69" s="32"/>
      <c r="AB69" s="32"/>
      <c r="AC69" s="32"/>
      <c r="AE69" s="53"/>
      <c r="AF69" s="53"/>
      <c r="AG69" s="54"/>
      <c r="AH69"/>
      <c r="AI69" s="53"/>
      <c r="AJ69" s="53"/>
      <c r="AK69" s="55"/>
    </row>
    <row r="70" spans="1:37" s="18" customFormat="1" ht="25.15" customHeight="1" x14ac:dyDescent="0.25">
      <c r="A70" s="17"/>
      <c r="B70" s="7"/>
      <c r="C70" s="7"/>
      <c r="D70" s="7"/>
      <c r="E70" s="3"/>
      <c r="F70" s="5"/>
      <c r="G70" s="5"/>
      <c r="H70" s="5"/>
      <c r="I70" s="25"/>
      <c r="J70" s="5"/>
      <c r="K70" s="5"/>
      <c r="L70" s="5"/>
      <c r="M70" s="5"/>
      <c r="N70" s="5"/>
      <c r="O70" s="25"/>
      <c r="P70" s="5"/>
      <c r="Q70" s="5"/>
      <c r="R70" s="5"/>
      <c r="S70" s="5"/>
      <c r="T70" s="5"/>
      <c r="U70" s="45"/>
      <c r="V70" s="45"/>
      <c r="X70" s="32"/>
      <c r="Y70" s="32"/>
      <c r="Z70" s="32"/>
      <c r="AA70" s="32"/>
      <c r="AB70" s="32"/>
      <c r="AC70" s="32"/>
      <c r="AE70" s="53"/>
      <c r="AF70" s="53"/>
      <c r="AG70" s="54"/>
      <c r="AH70"/>
      <c r="AI70" s="53"/>
      <c r="AJ70" s="53"/>
      <c r="AK70" s="55"/>
    </row>
    <row r="71" spans="1:37" s="18" customFormat="1" ht="25.15" customHeight="1" x14ac:dyDescent="0.25">
      <c r="A71" s="17"/>
      <c r="B71" s="7"/>
      <c r="C71" s="7"/>
      <c r="D71" s="7"/>
      <c r="E71" s="3"/>
      <c r="F71" s="5"/>
      <c r="G71" s="5"/>
      <c r="H71" s="5"/>
      <c r="I71" s="25"/>
      <c r="J71" s="5"/>
      <c r="K71" s="5"/>
      <c r="L71" s="5"/>
      <c r="M71" s="5"/>
      <c r="N71" s="5"/>
      <c r="O71" s="25"/>
      <c r="P71" s="5"/>
      <c r="Q71" s="5"/>
      <c r="R71" s="5"/>
      <c r="S71" s="5"/>
      <c r="T71" s="5"/>
      <c r="U71" s="45"/>
      <c r="V71" s="45"/>
      <c r="X71" s="32"/>
      <c r="Y71" s="32"/>
      <c r="Z71" s="32"/>
      <c r="AA71" s="32"/>
      <c r="AB71" s="32"/>
      <c r="AC71" s="32"/>
      <c r="AE71" s="53"/>
      <c r="AF71" s="53"/>
      <c r="AG71" s="54"/>
      <c r="AH71"/>
      <c r="AI71" s="53"/>
      <c r="AJ71" s="53"/>
      <c r="AK71" s="55"/>
    </row>
    <row r="72" spans="1:37" s="18" customFormat="1" ht="25.15" customHeight="1" x14ac:dyDescent="0.25">
      <c r="A72" s="17"/>
      <c r="B72" s="7"/>
      <c r="C72" s="7"/>
      <c r="D72" s="7"/>
      <c r="E72" s="3"/>
      <c r="F72" s="5"/>
      <c r="G72" s="5"/>
      <c r="H72" s="5"/>
      <c r="I72" s="25"/>
      <c r="J72" s="5"/>
      <c r="K72" s="5"/>
      <c r="L72" s="5"/>
      <c r="M72" s="5"/>
      <c r="N72" s="5"/>
      <c r="O72" s="25"/>
      <c r="P72" s="5"/>
      <c r="Q72" s="5"/>
      <c r="R72" s="5"/>
      <c r="S72" s="5"/>
      <c r="T72" s="5"/>
      <c r="U72" s="45"/>
      <c r="V72" s="45"/>
      <c r="X72" s="32"/>
      <c r="Y72" s="32"/>
      <c r="Z72" s="32"/>
      <c r="AA72" s="32"/>
      <c r="AB72" s="32"/>
      <c r="AC72" s="32"/>
      <c r="AE72" s="53"/>
      <c r="AF72" s="53"/>
      <c r="AG72" s="54"/>
      <c r="AH72"/>
      <c r="AI72" s="53"/>
      <c r="AJ72" s="53"/>
      <c r="AK72" s="55"/>
    </row>
    <row r="73" spans="1:37" s="18" customFormat="1" ht="25.15" customHeight="1" x14ac:dyDescent="0.25">
      <c r="A73" s="17"/>
      <c r="B73" s="7"/>
      <c r="C73" s="7"/>
      <c r="D73" s="7"/>
      <c r="E73" s="3"/>
      <c r="F73" s="5"/>
      <c r="G73" s="5"/>
      <c r="H73" s="5"/>
      <c r="I73" s="25"/>
      <c r="J73" s="5"/>
      <c r="K73" s="5"/>
      <c r="L73" s="5"/>
      <c r="M73" s="5"/>
      <c r="N73" s="5"/>
      <c r="O73" s="25"/>
      <c r="P73" s="5"/>
      <c r="Q73" s="5"/>
      <c r="R73" s="5"/>
      <c r="S73" s="5"/>
      <c r="T73" s="5"/>
      <c r="U73" s="45"/>
      <c r="V73" s="45"/>
      <c r="X73" s="32"/>
      <c r="Y73" s="32"/>
      <c r="Z73" s="32"/>
      <c r="AA73" s="32"/>
      <c r="AB73" s="32"/>
      <c r="AC73" s="32"/>
      <c r="AE73" s="53"/>
      <c r="AF73" s="53"/>
      <c r="AG73" s="54"/>
      <c r="AH73"/>
      <c r="AI73" s="53"/>
      <c r="AJ73" s="53"/>
      <c r="AK73" s="55"/>
    </row>
    <row r="74" spans="1:37" s="18" customFormat="1" ht="25.15" customHeight="1" x14ac:dyDescent="0.25">
      <c r="A74" s="17"/>
      <c r="B74" s="7"/>
      <c r="C74" s="7"/>
      <c r="D74" s="7"/>
      <c r="E74" s="3"/>
      <c r="F74" s="5"/>
      <c r="G74" s="5"/>
      <c r="H74" s="5"/>
      <c r="I74" s="25"/>
      <c r="J74" s="5"/>
      <c r="K74" s="5"/>
      <c r="L74" s="5"/>
      <c r="M74" s="5"/>
      <c r="N74" s="5"/>
      <c r="O74" s="25"/>
      <c r="P74" s="5"/>
      <c r="Q74" s="5"/>
      <c r="R74" s="5"/>
      <c r="S74" s="5"/>
      <c r="T74" s="5"/>
      <c r="U74" s="45"/>
      <c r="V74" s="45"/>
      <c r="X74" s="32"/>
      <c r="Y74" s="32"/>
      <c r="Z74" s="32"/>
      <c r="AA74" s="32"/>
      <c r="AB74" s="32"/>
      <c r="AC74" s="32"/>
      <c r="AE74" s="53"/>
      <c r="AF74" s="53"/>
      <c r="AG74" s="54"/>
      <c r="AH74"/>
      <c r="AI74" s="53"/>
      <c r="AJ74" s="53"/>
      <c r="AK74" s="55"/>
    </row>
    <row r="75" spans="1:37" s="18" customFormat="1" ht="25.15" customHeight="1" x14ac:dyDescent="0.25">
      <c r="A75" s="17"/>
      <c r="B75" s="7"/>
      <c r="C75" s="7"/>
      <c r="D75" s="7"/>
      <c r="E75" s="3"/>
      <c r="F75" s="5"/>
      <c r="G75" s="5"/>
      <c r="H75" s="5"/>
      <c r="I75" s="25"/>
      <c r="J75" s="5"/>
      <c r="K75" s="5"/>
      <c r="L75" s="5"/>
      <c r="M75" s="5"/>
      <c r="N75" s="5"/>
      <c r="O75" s="25"/>
      <c r="P75" s="5"/>
      <c r="Q75" s="5"/>
      <c r="R75" s="5"/>
      <c r="S75" s="5"/>
      <c r="T75" s="5"/>
      <c r="U75" s="45"/>
      <c r="V75" s="45"/>
      <c r="X75" s="32"/>
      <c r="Y75" s="32"/>
      <c r="Z75" s="32"/>
      <c r="AA75" s="32"/>
      <c r="AB75" s="32"/>
      <c r="AC75" s="32"/>
      <c r="AE75" s="53"/>
      <c r="AF75" s="53"/>
      <c r="AG75" s="54"/>
      <c r="AH75"/>
      <c r="AI75" s="53"/>
      <c r="AJ75" s="53"/>
      <c r="AK75" s="55"/>
    </row>
    <row r="76" spans="1:37" s="18" customFormat="1" ht="25.15" customHeight="1" x14ac:dyDescent="0.25">
      <c r="A76" s="17"/>
      <c r="B76" s="7"/>
      <c r="C76" s="7"/>
      <c r="D76" s="7"/>
      <c r="E76" s="3"/>
      <c r="F76" s="5"/>
      <c r="G76" s="5"/>
      <c r="H76" s="5"/>
      <c r="I76" s="25"/>
      <c r="J76" s="5"/>
      <c r="K76" s="5"/>
      <c r="L76" s="5"/>
      <c r="M76" s="5"/>
      <c r="N76" s="5"/>
      <c r="O76" s="25"/>
      <c r="P76" s="5"/>
      <c r="Q76" s="5"/>
      <c r="R76" s="5"/>
      <c r="S76" s="5"/>
      <c r="T76" s="5"/>
      <c r="U76" s="45"/>
      <c r="V76" s="45"/>
      <c r="X76" s="32"/>
      <c r="Y76" s="32"/>
      <c r="Z76" s="32"/>
      <c r="AA76" s="32"/>
      <c r="AB76" s="32"/>
      <c r="AC76" s="32"/>
      <c r="AE76" s="53"/>
      <c r="AF76" s="53"/>
      <c r="AG76" s="54"/>
      <c r="AH76"/>
      <c r="AI76" s="53"/>
      <c r="AJ76" s="53"/>
      <c r="AK76" s="55"/>
    </row>
    <row r="77" spans="1:37" s="18" customFormat="1" ht="25.15" customHeight="1" x14ac:dyDescent="0.25">
      <c r="A77" s="17"/>
      <c r="B77" s="7"/>
      <c r="C77" s="7"/>
      <c r="D77" s="7"/>
      <c r="E77" s="3"/>
      <c r="F77" s="5"/>
      <c r="G77" s="5"/>
      <c r="H77" s="5"/>
      <c r="I77" s="25"/>
      <c r="J77" s="5"/>
      <c r="K77" s="5"/>
      <c r="L77" s="5"/>
      <c r="M77" s="5"/>
      <c r="N77" s="5"/>
      <c r="O77" s="25"/>
      <c r="P77" s="5"/>
      <c r="Q77" s="5"/>
      <c r="R77" s="5"/>
      <c r="S77" s="5"/>
      <c r="T77" s="5"/>
      <c r="U77" s="45"/>
      <c r="V77" s="45"/>
      <c r="X77" s="32"/>
      <c r="Y77" s="32"/>
      <c r="Z77" s="32"/>
      <c r="AA77" s="32"/>
      <c r="AB77" s="32"/>
      <c r="AC77" s="32"/>
      <c r="AE77" s="53"/>
      <c r="AF77" s="53"/>
      <c r="AG77" s="54"/>
      <c r="AH77"/>
      <c r="AI77" s="53"/>
      <c r="AJ77" s="53"/>
      <c r="AK77" s="55"/>
    </row>
    <row r="78" spans="1:37" s="18" customFormat="1" ht="25.15" customHeight="1" x14ac:dyDescent="0.25">
      <c r="A78" s="17"/>
      <c r="B78" s="7"/>
      <c r="C78" s="7"/>
      <c r="D78" s="7"/>
      <c r="E78" s="3"/>
      <c r="F78" s="5"/>
      <c r="G78" s="5"/>
      <c r="H78" s="5"/>
      <c r="I78" s="25"/>
      <c r="J78" s="5"/>
      <c r="K78" s="5"/>
      <c r="L78" s="5"/>
      <c r="M78" s="5"/>
      <c r="N78" s="5"/>
      <c r="O78" s="25"/>
      <c r="P78" s="5"/>
      <c r="Q78" s="5"/>
      <c r="R78" s="5"/>
      <c r="S78" s="5"/>
      <c r="T78" s="5"/>
      <c r="U78" s="45"/>
      <c r="V78" s="45"/>
      <c r="X78" s="32"/>
      <c r="Y78" s="32"/>
      <c r="Z78" s="32"/>
      <c r="AA78" s="32"/>
      <c r="AB78" s="32"/>
      <c r="AC78" s="32"/>
      <c r="AE78" s="53"/>
      <c r="AF78" s="53"/>
      <c r="AG78" s="54"/>
      <c r="AH78"/>
      <c r="AI78" s="53"/>
      <c r="AJ78" s="53"/>
      <c r="AK78" s="55"/>
    </row>
    <row r="79" spans="1:37" s="18" customFormat="1" ht="25.15" customHeight="1" x14ac:dyDescent="0.25">
      <c r="A79" s="17"/>
      <c r="B79" s="7"/>
      <c r="C79" s="7"/>
      <c r="D79" s="7"/>
      <c r="E79" s="3"/>
      <c r="F79" s="5"/>
      <c r="G79" s="5"/>
      <c r="H79" s="5"/>
      <c r="I79" s="25"/>
      <c r="J79" s="5"/>
      <c r="K79" s="5"/>
      <c r="L79" s="5"/>
      <c r="M79" s="5"/>
      <c r="N79" s="5"/>
      <c r="O79" s="25"/>
      <c r="P79" s="5"/>
      <c r="Q79" s="5"/>
      <c r="R79" s="5"/>
      <c r="S79" s="5"/>
      <c r="T79" s="5"/>
      <c r="U79" s="45"/>
      <c r="V79" s="45"/>
      <c r="X79" s="32"/>
      <c r="Y79" s="32"/>
      <c r="Z79" s="32"/>
      <c r="AA79" s="32"/>
      <c r="AB79" s="32"/>
      <c r="AC79" s="32"/>
      <c r="AE79" s="53"/>
      <c r="AF79" s="53"/>
      <c r="AG79" s="54"/>
      <c r="AH79"/>
      <c r="AI79" s="53"/>
      <c r="AJ79" s="53"/>
      <c r="AK79" s="55"/>
    </row>
    <row r="80" spans="1:37" s="18" customFormat="1" ht="25.15" customHeight="1" x14ac:dyDescent="0.25">
      <c r="A80" s="17"/>
      <c r="B80" s="7"/>
      <c r="C80" s="7"/>
      <c r="D80" s="7"/>
      <c r="E80" s="3"/>
      <c r="F80" s="5"/>
      <c r="G80" s="5"/>
      <c r="H80" s="5"/>
      <c r="I80" s="25"/>
      <c r="J80" s="5"/>
      <c r="K80" s="5"/>
      <c r="L80" s="5"/>
      <c r="M80" s="5"/>
      <c r="N80" s="5"/>
      <c r="O80" s="25"/>
      <c r="P80" s="5"/>
      <c r="Q80" s="5"/>
      <c r="R80" s="5"/>
      <c r="S80" s="5"/>
      <c r="T80" s="5"/>
      <c r="U80" s="45"/>
      <c r="V80" s="45"/>
      <c r="X80" s="32"/>
      <c r="Y80" s="32"/>
      <c r="Z80" s="32"/>
      <c r="AA80" s="32"/>
      <c r="AB80" s="32"/>
      <c r="AC80" s="32"/>
      <c r="AE80" s="53"/>
      <c r="AF80" s="53"/>
      <c r="AG80" s="54"/>
      <c r="AH80"/>
      <c r="AI80" s="53"/>
      <c r="AJ80" s="53"/>
      <c r="AK80" s="55"/>
    </row>
    <row r="81" spans="1:37" s="18" customFormat="1" ht="25.15" customHeight="1" x14ac:dyDescent="0.25">
      <c r="A81" s="17"/>
      <c r="B81" s="7"/>
      <c r="C81" s="7"/>
      <c r="D81" s="7"/>
      <c r="E81" s="3"/>
      <c r="F81" s="5"/>
      <c r="G81" s="5"/>
      <c r="H81" s="5"/>
      <c r="I81" s="25"/>
      <c r="J81" s="5"/>
      <c r="K81" s="5"/>
      <c r="L81" s="5"/>
      <c r="M81" s="5"/>
      <c r="N81" s="5"/>
      <c r="O81" s="25"/>
      <c r="P81" s="5"/>
      <c r="Q81" s="5"/>
      <c r="R81" s="5"/>
      <c r="S81" s="5"/>
      <c r="T81" s="5"/>
      <c r="U81" s="45"/>
      <c r="V81" s="45"/>
      <c r="X81" s="32"/>
      <c r="Y81" s="32"/>
      <c r="Z81" s="32"/>
      <c r="AA81" s="32"/>
      <c r="AB81" s="32"/>
      <c r="AC81" s="32"/>
      <c r="AE81" s="53"/>
      <c r="AF81" s="53"/>
      <c r="AG81" s="54"/>
      <c r="AH81"/>
      <c r="AI81" s="53"/>
      <c r="AJ81" s="53"/>
      <c r="AK81" s="55"/>
    </row>
    <row r="82" spans="1:37" s="18" customFormat="1" ht="25.15" customHeight="1" x14ac:dyDescent="0.25">
      <c r="A82" s="17"/>
      <c r="B82" s="7"/>
      <c r="C82" s="7"/>
      <c r="D82" s="7"/>
      <c r="E82" s="3"/>
      <c r="F82" s="5"/>
      <c r="G82" s="5"/>
      <c r="H82" s="5"/>
      <c r="I82" s="25"/>
      <c r="J82" s="5"/>
      <c r="K82" s="5"/>
      <c r="L82" s="5"/>
      <c r="M82" s="5"/>
      <c r="N82" s="5"/>
      <c r="O82" s="25"/>
      <c r="P82" s="5"/>
      <c r="Q82" s="5"/>
      <c r="R82" s="5"/>
      <c r="S82" s="5"/>
      <c r="T82" s="5"/>
      <c r="U82" s="45"/>
      <c r="V82" s="45"/>
      <c r="X82" s="32"/>
      <c r="Y82" s="32"/>
      <c r="Z82" s="32"/>
      <c r="AA82" s="32"/>
      <c r="AB82" s="32"/>
      <c r="AC82" s="32"/>
      <c r="AE82" s="53"/>
      <c r="AF82" s="53"/>
      <c r="AG82" s="54"/>
      <c r="AH82"/>
      <c r="AI82" s="53"/>
      <c r="AJ82" s="53"/>
      <c r="AK82" s="55"/>
    </row>
    <row r="83" spans="1:37" s="18" customFormat="1" ht="25.15" customHeight="1" x14ac:dyDescent="0.25">
      <c r="A83" s="17"/>
      <c r="B83" s="7"/>
      <c r="C83" s="7"/>
      <c r="D83" s="7"/>
      <c r="E83" s="3"/>
      <c r="F83" s="5"/>
      <c r="G83" s="5"/>
      <c r="H83" s="5"/>
      <c r="I83" s="25"/>
      <c r="J83" s="5"/>
      <c r="K83" s="5"/>
      <c r="L83" s="5"/>
      <c r="M83" s="5"/>
      <c r="N83" s="5"/>
      <c r="O83" s="25"/>
      <c r="P83" s="5"/>
      <c r="Q83" s="5"/>
      <c r="R83" s="5"/>
      <c r="S83" s="5"/>
      <c r="T83" s="5"/>
      <c r="U83" s="45"/>
      <c r="V83" s="45"/>
      <c r="X83" s="32"/>
      <c r="Y83" s="32"/>
      <c r="Z83" s="32"/>
      <c r="AA83" s="32"/>
      <c r="AB83" s="32"/>
      <c r="AC83" s="32"/>
      <c r="AE83" s="53"/>
      <c r="AF83" s="53"/>
      <c r="AG83" s="54"/>
      <c r="AH83"/>
      <c r="AI83" s="53"/>
      <c r="AJ83" s="53"/>
      <c r="AK83" s="55"/>
    </row>
    <row r="84" spans="1:37" ht="25.15" customHeight="1" x14ac:dyDescent="0.25">
      <c r="A84" s="17"/>
      <c r="T84" s="5"/>
      <c r="X84" s="32"/>
      <c r="Y84" s="32"/>
      <c r="AA84" s="32"/>
      <c r="AC84" s="32"/>
    </row>
    <row r="85" spans="1:37" ht="25.15" customHeight="1" x14ac:dyDescent="0.25">
      <c r="A85" s="17"/>
      <c r="T85" s="5"/>
      <c r="X85" s="32"/>
      <c r="Y85" s="32"/>
      <c r="AA85" s="32"/>
      <c r="AC85" s="32"/>
    </row>
    <row r="86" spans="1:37" ht="25.15" customHeight="1" x14ac:dyDescent="0.25">
      <c r="A86" s="17"/>
      <c r="T86" s="5"/>
      <c r="X86" s="32"/>
      <c r="Y86" s="32"/>
      <c r="AA86" s="32"/>
      <c r="AC86" s="32"/>
    </row>
    <row r="87" spans="1:37" ht="25.15" customHeight="1" x14ac:dyDescent="0.25">
      <c r="A87" s="17"/>
      <c r="T87" s="5"/>
      <c r="X87" s="32"/>
      <c r="Y87" s="32"/>
      <c r="AA87" s="32"/>
      <c r="AC87" s="32"/>
    </row>
    <row r="88" spans="1:37" ht="25.15" customHeight="1" x14ac:dyDescent="0.25">
      <c r="A88" s="17"/>
      <c r="T88" s="5"/>
      <c r="X88" s="32"/>
      <c r="Y88" s="32"/>
      <c r="AA88" s="32"/>
      <c r="AC88" s="32"/>
    </row>
    <row r="89" spans="1:37" ht="25.15" customHeight="1" x14ac:dyDescent="0.25">
      <c r="A89" s="17"/>
      <c r="T89" s="5"/>
      <c r="X89" s="32"/>
      <c r="Y89" s="32"/>
      <c r="AA89" s="32"/>
      <c r="AC89" s="32"/>
    </row>
    <row r="90" spans="1:37" ht="25.15" customHeight="1" x14ac:dyDescent="0.25">
      <c r="A90" s="17"/>
      <c r="G90"/>
      <c r="J90"/>
      <c r="K90"/>
      <c r="L90"/>
      <c r="M90"/>
      <c r="N90"/>
      <c r="P90"/>
      <c r="Q90"/>
      <c r="R90"/>
      <c r="S90"/>
      <c r="T90"/>
      <c r="X90" s="32"/>
      <c r="Y90" s="32"/>
      <c r="AA90" s="32"/>
      <c r="AC90" s="32"/>
    </row>
    <row r="91" spans="1:37" ht="25.15" customHeight="1" x14ac:dyDescent="0.25">
      <c r="A91" s="17"/>
      <c r="G91"/>
      <c r="H91"/>
      <c r="J91"/>
      <c r="K91"/>
      <c r="L91"/>
      <c r="M91"/>
      <c r="N91"/>
      <c r="P91"/>
      <c r="Q91"/>
      <c r="R91"/>
      <c r="S91"/>
      <c r="T91"/>
      <c r="X91" s="32"/>
      <c r="Y91" s="32"/>
      <c r="AA91" s="32"/>
      <c r="AC91" s="32"/>
    </row>
    <row r="92" spans="1:37" ht="25.15" customHeight="1" x14ac:dyDescent="0.25">
      <c r="A92" s="17"/>
      <c r="G92"/>
      <c r="H92"/>
      <c r="J92"/>
      <c r="K92"/>
      <c r="L92"/>
      <c r="M92"/>
      <c r="N92"/>
      <c r="P92"/>
      <c r="Q92"/>
      <c r="R92"/>
      <c r="S92"/>
      <c r="T92"/>
      <c r="X92" s="32"/>
      <c r="Y92" s="32"/>
      <c r="AA92" s="32"/>
      <c r="AC92" s="32"/>
    </row>
    <row r="93" spans="1:37" ht="25.15" customHeight="1" x14ac:dyDescent="0.25">
      <c r="A93" s="17"/>
      <c r="G93"/>
      <c r="H93"/>
      <c r="J93"/>
      <c r="K93"/>
      <c r="L93"/>
      <c r="M93"/>
      <c r="N93"/>
      <c r="P93"/>
      <c r="Q93"/>
      <c r="R93"/>
      <c r="S93"/>
      <c r="T93"/>
      <c r="X93" s="32"/>
      <c r="Y93" s="32"/>
      <c r="AA93" s="32"/>
      <c r="AC93" s="32"/>
    </row>
    <row r="94" spans="1:37" ht="25.15" customHeight="1" x14ac:dyDescent="0.25">
      <c r="A94" s="17"/>
      <c r="G94"/>
      <c r="H94"/>
      <c r="J94"/>
      <c r="K94"/>
      <c r="L94"/>
      <c r="M94"/>
      <c r="N94"/>
      <c r="P94"/>
      <c r="Q94"/>
      <c r="R94"/>
      <c r="S94"/>
      <c r="T94"/>
      <c r="U94" s="46"/>
      <c r="V94" s="46"/>
      <c r="X94" s="32"/>
      <c r="Y94" s="32"/>
      <c r="AA94" s="32"/>
      <c r="AC94" s="32"/>
    </row>
    <row r="95" spans="1:37" ht="25.15" customHeight="1" x14ac:dyDescent="0.25">
      <c r="A95" s="17"/>
      <c r="G95"/>
      <c r="H95"/>
      <c r="J95"/>
      <c r="K95"/>
      <c r="L95"/>
      <c r="M95"/>
      <c r="N95"/>
      <c r="P95"/>
      <c r="Q95"/>
      <c r="R95"/>
      <c r="S95"/>
      <c r="T95"/>
      <c r="U95" s="46"/>
      <c r="V95" s="46"/>
      <c r="X95" s="32"/>
      <c r="Y95" s="32"/>
      <c r="AA95" s="32"/>
      <c r="AC95" s="32"/>
    </row>
    <row r="96" spans="1:37" ht="25.15" customHeight="1" x14ac:dyDescent="0.25">
      <c r="A96" s="17"/>
      <c r="G96"/>
      <c r="H96"/>
      <c r="J96"/>
      <c r="K96"/>
      <c r="L96"/>
      <c r="M96"/>
      <c r="N96"/>
      <c r="P96"/>
      <c r="Q96"/>
      <c r="R96"/>
      <c r="S96"/>
      <c r="T96"/>
      <c r="U96" s="46"/>
      <c r="V96" s="46"/>
      <c r="X96" s="32"/>
      <c r="Y96" s="32"/>
      <c r="AA96" s="32"/>
      <c r="AC96" s="32"/>
    </row>
    <row r="97" spans="1:29" ht="25.15" customHeight="1" x14ac:dyDescent="0.25">
      <c r="A97" s="17"/>
      <c r="G97"/>
      <c r="H97"/>
      <c r="J97"/>
      <c r="K97"/>
      <c r="L97"/>
      <c r="M97"/>
      <c r="N97"/>
      <c r="P97"/>
      <c r="Q97"/>
      <c r="R97"/>
      <c r="S97"/>
      <c r="T97"/>
      <c r="U97" s="46"/>
      <c r="V97" s="46"/>
      <c r="X97" s="32"/>
      <c r="Y97" s="32"/>
      <c r="AA97" s="32"/>
      <c r="AC97" s="32"/>
    </row>
    <row r="98" spans="1:29" ht="25.15" customHeight="1" x14ac:dyDescent="0.25">
      <c r="A98" s="17"/>
      <c r="G98"/>
      <c r="H98"/>
      <c r="J98"/>
      <c r="K98"/>
      <c r="L98"/>
      <c r="M98"/>
      <c r="N98"/>
      <c r="P98"/>
      <c r="Q98"/>
      <c r="R98"/>
      <c r="S98"/>
      <c r="T98"/>
      <c r="U98" s="46"/>
      <c r="V98" s="46"/>
      <c r="X98" s="32"/>
      <c r="Y98" s="32"/>
      <c r="AA98" s="32"/>
      <c r="AC98" s="32"/>
    </row>
    <row r="99" spans="1:29" ht="25.15" customHeight="1" x14ac:dyDescent="0.25">
      <c r="A99" s="17"/>
      <c r="G99"/>
      <c r="H99"/>
      <c r="J99"/>
      <c r="K99"/>
      <c r="L99"/>
      <c r="M99"/>
      <c r="N99"/>
      <c r="P99"/>
      <c r="Q99"/>
      <c r="R99"/>
      <c r="S99"/>
      <c r="T99"/>
      <c r="U99" s="46"/>
      <c r="V99" s="46"/>
      <c r="X99" s="32"/>
      <c r="Y99" s="32"/>
      <c r="AA99" s="32"/>
      <c r="AC99" s="32"/>
    </row>
    <row r="100" spans="1:29" ht="25.15" customHeight="1" x14ac:dyDescent="0.25">
      <c r="A100" s="17"/>
      <c r="G100"/>
      <c r="H100"/>
      <c r="J100"/>
      <c r="K100"/>
      <c r="L100"/>
      <c r="M100"/>
      <c r="N100"/>
      <c r="P100"/>
      <c r="Q100"/>
      <c r="R100"/>
      <c r="S100"/>
      <c r="T100"/>
      <c r="U100" s="46"/>
      <c r="V100" s="46"/>
      <c r="X100" s="32"/>
      <c r="Y100" s="32"/>
      <c r="AA100" s="32"/>
      <c r="AC100" s="32"/>
    </row>
    <row r="101" spans="1:29" ht="25.15" customHeight="1" x14ac:dyDescent="0.25">
      <c r="A101" s="17"/>
      <c r="G101"/>
      <c r="H101"/>
      <c r="J101"/>
      <c r="K101"/>
      <c r="L101"/>
      <c r="M101"/>
      <c r="N101"/>
      <c r="P101"/>
      <c r="Q101"/>
      <c r="R101"/>
      <c r="S101"/>
      <c r="T101"/>
      <c r="U101" s="46"/>
      <c r="V101" s="46"/>
      <c r="X101" s="32"/>
      <c r="Y101" s="32"/>
      <c r="AA101" s="32"/>
      <c r="AC101" s="32"/>
    </row>
    <row r="102" spans="1:29" ht="25.15" customHeight="1" x14ac:dyDescent="0.25">
      <c r="A102" s="17"/>
      <c r="G102"/>
      <c r="H102"/>
      <c r="J102"/>
      <c r="K102"/>
      <c r="L102"/>
      <c r="M102"/>
      <c r="N102"/>
      <c r="P102"/>
      <c r="Q102"/>
      <c r="R102"/>
      <c r="S102"/>
      <c r="T102"/>
      <c r="U102" s="46"/>
      <c r="V102" s="46"/>
      <c r="X102" s="32"/>
      <c r="Y102" s="32"/>
      <c r="AA102" s="32"/>
      <c r="AC102" s="32"/>
    </row>
    <row r="103" spans="1:29" ht="25.15" customHeight="1" x14ac:dyDescent="0.25">
      <c r="A103" s="17"/>
      <c r="G103"/>
      <c r="H103"/>
      <c r="J103"/>
      <c r="K103"/>
      <c r="L103"/>
      <c r="M103"/>
      <c r="N103"/>
      <c r="P103"/>
      <c r="Q103"/>
      <c r="R103"/>
      <c r="S103"/>
      <c r="T103"/>
      <c r="U103" s="46"/>
      <c r="V103" s="46"/>
      <c r="X103" s="32"/>
      <c r="Y103" s="32"/>
      <c r="AA103" s="32"/>
      <c r="AC103" s="32"/>
    </row>
    <row r="104" spans="1:29" ht="25.15" customHeight="1" x14ac:dyDescent="0.25">
      <c r="A104" s="17"/>
      <c r="G104"/>
      <c r="H104"/>
      <c r="J104"/>
      <c r="K104"/>
      <c r="L104"/>
      <c r="M104"/>
      <c r="N104"/>
      <c r="P104"/>
      <c r="Q104"/>
      <c r="R104"/>
      <c r="S104"/>
      <c r="T104"/>
      <c r="U104" s="46"/>
      <c r="V104" s="46"/>
      <c r="X104" s="32"/>
      <c r="Y104" s="32"/>
      <c r="AA104" s="32"/>
      <c r="AC104" s="32"/>
    </row>
    <row r="105" spans="1:29" ht="25.15" customHeight="1" x14ac:dyDescent="0.25">
      <c r="A105" s="17"/>
      <c r="G105"/>
      <c r="H105"/>
      <c r="J105"/>
      <c r="K105"/>
      <c r="L105"/>
      <c r="M105"/>
      <c r="N105"/>
      <c r="P105"/>
      <c r="Q105"/>
      <c r="R105"/>
      <c r="S105"/>
      <c r="T105"/>
      <c r="U105" s="46"/>
      <c r="V105" s="46"/>
      <c r="X105" s="32"/>
      <c r="Y105" s="32"/>
      <c r="AA105" s="32"/>
      <c r="AC105" s="32"/>
    </row>
    <row r="106" spans="1:29" ht="25.15" customHeight="1" x14ac:dyDescent="0.25">
      <c r="A106" s="17"/>
      <c r="G106"/>
      <c r="H106"/>
      <c r="J106"/>
      <c r="K106"/>
      <c r="L106"/>
      <c r="M106"/>
      <c r="N106"/>
      <c r="P106"/>
      <c r="Q106"/>
      <c r="R106"/>
      <c r="S106"/>
      <c r="T106"/>
      <c r="U106" s="46"/>
      <c r="V106" s="46"/>
      <c r="X106" s="32"/>
      <c r="Y106" s="32"/>
      <c r="AA106" s="32"/>
      <c r="AC106" s="32"/>
    </row>
    <row r="107" spans="1:29" ht="25.15" customHeight="1" x14ac:dyDescent="0.25">
      <c r="A107" s="17"/>
      <c r="G107"/>
      <c r="H107"/>
      <c r="J107"/>
      <c r="K107"/>
      <c r="L107"/>
      <c r="M107"/>
      <c r="N107"/>
      <c r="P107"/>
      <c r="Q107"/>
      <c r="R107"/>
      <c r="S107"/>
      <c r="T107"/>
      <c r="U107" s="46"/>
      <c r="V107" s="46"/>
      <c r="X107" s="32"/>
      <c r="Y107" s="32"/>
      <c r="AA107" s="32"/>
      <c r="AC107" s="32"/>
    </row>
    <row r="108" spans="1:29" ht="25.15" customHeight="1" x14ac:dyDescent="0.25">
      <c r="A108" s="17"/>
      <c r="G108"/>
      <c r="H108"/>
      <c r="J108"/>
      <c r="K108"/>
      <c r="L108"/>
      <c r="M108"/>
      <c r="N108"/>
      <c r="P108"/>
      <c r="Q108"/>
      <c r="R108"/>
      <c r="S108"/>
      <c r="T108"/>
      <c r="U108" s="46"/>
      <c r="V108" s="46"/>
      <c r="X108" s="32"/>
      <c r="Y108" s="32"/>
      <c r="AA108" s="32"/>
      <c r="AC108" s="32"/>
    </row>
    <row r="109" spans="1:29" ht="25.15" customHeight="1" x14ac:dyDescent="0.25">
      <c r="A109" s="17"/>
      <c r="G109"/>
      <c r="H109"/>
      <c r="J109"/>
      <c r="K109"/>
      <c r="L109"/>
      <c r="M109"/>
      <c r="N109"/>
      <c r="P109"/>
      <c r="Q109"/>
      <c r="R109"/>
      <c r="S109"/>
      <c r="T109"/>
      <c r="U109" s="46"/>
      <c r="V109" s="46"/>
      <c r="X109" s="32"/>
      <c r="Y109" s="32"/>
      <c r="AA109" s="32"/>
      <c r="AC109" s="32"/>
    </row>
    <row r="110" spans="1:29" ht="25.15" customHeight="1" x14ac:dyDescent="0.25">
      <c r="A110" s="17"/>
      <c r="G110"/>
      <c r="H110"/>
      <c r="J110"/>
      <c r="K110"/>
      <c r="L110"/>
      <c r="M110"/>
      <c r="N110"/>
      <c r="P110"/>
      <c r="Q110"/>
      <c r="R110"/>
      <c r="S110"/>
      <c r="T110"/>
      <c r="U110" s="46"/>
      <c r="V110" s="46"/>
      <c r="X110" s="32"/>
      <c r="Y110" s="32"/>
      <c r="AA110" s="32"/>
      <c r="AC110" s="32"/>
    </row>
    <row r="111" spans="1:29" ht="25.15" customHeight="1" x14ac:dyDescent="0.25">
      <c r="A111" s="17"/>
      <c r="G111"/>
      <c r="H111"/>
      <c r="J111"/>
      <c r="K111"/>
      <c r="L111"/>
      <c r="M111"/>
      <c r="N111"/>
      <c r="P111"/>
      <c r="Q111"/>
      <c r="R111"/>
      <c r="S111"/>
      <c r="T111"/>
      <c r="U111" s="46"/>
      <c r="V111" s="46"/>
      <c r="X111" s="32"/>
      <c r="Y111" s="32"/>
      <c r="AA111" s="32"/>
      <c r="AC111" s="32"/>
    </row>
    <row r="112" spans="1:29" ht="25.15" customHeight="1" x14ac:dyDescent="0.25">
      <c r="A112" s="17"/>
      <c r="G112"/>
      <c r="H112"/>
      <c r="J112"/>
      <c r="K112"/>
      <c r="L112"/>
      <c r="M112"/>
      <c r="N112"/>
      <c r="P112"/>
      <c r="Q112"/>
      <c r="R112"/>
      <c r="S112"/>
      <c r="T112"/>
      <c r="U112" s="46"/>
      <c r="V112" s="46"/>
      <c r="X112" s="32"/>
      <c r="Y112" s="32"/>
      <c r="AA112" s="32"/>
      <c r="AC112" s="32"/>
    </row>
    <row r="113" spans="1:29" ht="25.15" customHeight="1" x14ac:dyDescent="0.25">
      <c r="A113" s="17"/>
      <c r="G113"/>
      <c r="H113"/>
      <c r="J113"/>
      <c r="K113"/>
      <c r="L113"/>
      <c r="M113"/>
      <c r="N113"/>
      <c r="P113"/>
      <c r="Q113"/>
      <c r="R113"/>
      <c r="S113"/>
      <c r="T113"/>
      <c r="U113" s="46"/>
      <c r="V113" s="46"/>
      <c r="X113" s="32"/>
      <c r="Y113" s="32"/>
      <c r="AA113" s="32"/>
      <c r="AC113" s="32"/>
    </row>
    <row r="114" spans="1:29" ht="25.15" customHeight="1" x14ac:dyDescent="0.25">
      <c r="A114" s="17"/>
      <c r="G114"/>
      <c r="H114"/>
      <c r="J114"/>
      <c r="K114"/>
      <c r="L114"/>
      <c r="M114"/>
      <c r="N114"/>
      <c r="P114"/>
      <c r="Q114"/>
      <c r="R114"/>
      <c r="S114"/>
      <c r="T114"/>
      <c r="U114" s="46"/>
      <c r="V114" s="46"/>
      <c r="X114" s="32"/>
      <c r="Y114" s="32"/>
      <c r="AA114" s="32"/>
      <c r="AC114" s="32"/>
    </row>
    <row r="115" spans="1:29" ht="25.15" customHeight="1" x14ac:dyDescent="0.25">
      <c r="A115" s="17"/>
      <c r="G115"/>
      <c r="H115"/>
      <c r="J115"/>
      <c r="K115"/>
      <c r="L115"/>
      <c r="M115"/>
      <c r="N115"/>
      <c r="P115"/>
      <c r="Q115"/>
      <c r="R115"/>
      <c r="S115"/>
      <c r="T115"/>
      <c r="U115" s="46"/>
      <c r="V115" s="46"/>
      <c r="X115" s="32"/>
      <c r="Y115" s="32"/>
      <c r="AA115" s="32"/>
      <c r="AC115" s="32"/>
    </row>
    <row r="116" spans="1:29" ht="25.15" customHeight="1" x14ac:dyDescent="0.25">
      <c r="A116" s="17"/>
      <c r="G116"/>
      <c r="H116"/>
      <c r="J116"/>
      <c r="K116"/>
      <c r="L116"/>
      <c r="M116"/>
      <c r="N116"/>
      <c r="P116"/>
      <c r="Q116"/>
      <c r="R116"/>
      <c r="S116"/>
      <c r="T116"/>
      <c r="U116" s="46"/>
      <c r="V116" s="46"/>
      <c r="X116" s="32"/>
      <c r="Y116" s="32"/>
      <c r="AA116" s="32"/>
      <c r="AC116" s="32"/>
    </row>
    <row r="117" spans="1:29" ht="25.15" customHeight="1" x14ac:dyDescent="0.25">
      <c r="A117" s="17"/>
      <c r="G117"/>
      <c r="H117"/>
      <c r="J117"/>
      <c r="K117"/>
      <c r="L117"/>
      <c r="M117"/>
      <c r="N117"/>
      <c r="P117"/>
      <c r="Q117"/>
      <c r="R117"/>
      <c r="S117"/>
      <c r="T117"/>
      <c r="U117" s="46"/>
      <c r="V117" s="46"/>
      <c r="X117" s="32"/>
      <c r="Y117" s="32"/>
      <c r="AA117" s="32"/>
      <c r="AC117" s="32"/>
    </row>
    <row r="118" spans="1:29" ht="25.15" customHeight="1" x14ac:dyDescent="0.25">
      <c r="A118" s="17"/>
      <c r="G118"/>
      <c r="H118"/>
      <c r="J118"/>
      <c r="K118"/>
      <c r="L118"/>
      <c r="M118"/>
      <c r="N118"/>
      <c r="P118"/>
      <c r="Q118"/>
      <c r="R118"/>
      <c r="S118"/>
      <c r="T118"/>
      <c r="U118" s="46"/>
      <c r="V118" s="46"/>
      <c r="X118" s="32"/>
      <c r="Y118" s="32"/>
      <c r="AA118" s="32"/>
      <c r="AC118" s="32"/>
    </row>
    <row r="119" spans="1:29" ht="25.15" customHeight="1" x14ac:dyDescent="0.25">
      <c r="A119" s="17"/>
      <c r="G119"/>
      <c r="H119"/>
      <c r="J119"/>
      <c r="K119"/>
      <c r="L119"/>
      <c r="M119"/>
      <c r="N119"/>
      <c r="P119"/>
      <c r="Q119"/>
      <c r="R119"/>
      <c r="S119"/>
      <c r="T119"/>
      <c r="U119" s="46"/>
      <c r="V119" s="46"/>
      <c r="X119" s="32"/>
      <c r="Y119" s="32"/>
      <c r="AA119" s="32"/>
      <c r="AC119" s="32"/>
    </row>
    <row r="120" spans="1:29" ht="25.15" customHeight="1" x14ac:dyDescent="0.25">
      <c r="A120" s="17"/>
      <c r="G120"/>
      <c r="H120"/>
      <c r="J120"/>
      <c r="K120"/>
      <c r="L120"/>
      <c r="M120"/>
      <c r="N120"/>
      <c r="P120"/>
      <c r="Q120"/>
      <c r="R120"/>
      <c r="S120"/>
      <c r="T120"/>
      <c r="U120" s="46"/>
      <c r="V120" s="46"/>
      <c r="X120" s="32"/>
      <c r="Y120" s="32"/>
      <c r="AA120" s="32"/>
      <c r="AC120" s="32"/>
    </row>
    <row r="121" spans="1:29" ht="25.15" customHeight="1" x14ac:dyDescent="0.25">
      <c r="A121" s="17"/>
      <c r="G121"/>
      <c r="H121"/>
      <c r="J121"/>
      <c r="K121"/>
      <c r="L121"/>
      <c r="M121"/>
      <c r="N121"/>
      <c r="P121"/>
      <c r="Q121"/>
      <c r="R121"/>
      <c r="S121"/>
      <c r="T121"/>
      <c r="U121" s="46"/>
      <c r="V121" s="46"/>
      <c r="X121" s="32"/>
      <c r="Y121" s="32"/>
      <c r="AA121" s="32"/>
      <c r="AC121" s="32"/>
    </row>
    <row r="122" spans="1:29" ht="25.15" customHeight="1" x14ac:dyDescent="0.25">
      <c r="A122" s="17"/>
      <c r="G122"/>
      <c r="H122"/>
      <c r="J122"/>
      <c r="K122"/>
      <c r="L122"/>
      <c r="M122"/>
      <c r="N122"/>
      <c r="P122"/>
      <c r="Q122"/>
      <c r="R122"/>
      <c r="S122"/>
      <c r="T122"/>
      <c r="U122" s="46"/>
      <c r="V122" s="46"/>
      <c r="X122" s="32"/>
      <c r="Y122" s="32"/>
      <c r="AA122" s="32"/>
      <c r="AC122" s="32"/>
    </row>
    <row r="123" spans="1:29" ht="25.15" customHeight="1" x14ac:dyDescent="0.25">
      <c r="A123" s="17"/>
      <c r="G123"/>
      <c r="H123"/>
      <c r="J123"/>
      <c r="K123"/>
      <c r="L123"/>
      <c r="M123"/>
      <c r="N123"/>
      <c r="P123"/>
      <c r="Q123"/>
      <c r="R123"/>
      <c r="S123"/>
      <c r="T123"/>
      <c r="U123" s="46"/>
      <c r="V123" s="46"/>
      <c r="X123" s="32"/>
      <c r="Y123" s="32"/>
      <c r="AA123" s="32"/>
      <c r="AC123" s="32"/>
    </row>
    <row r="124" spans="1:29" ht="25.15" customHeight="1" x14ac:dyDescent="0.25">
      <c r="A124" s="17"/>
      <c r="G124"/>
      <c r="H124"/>
      <c r="J124"/>
      <c r="K124"/>
      <c r="L124"/>
      <c r="M124"/>
      <c r="N124"/>
      <c r="P124"/>
      <c r="Q124"/>
      <c r="R124"/>
      <c r="S124"/>
      <c r="T124"/>
      <c r="U124" s="46"/>
      <c r="V124" s="46"/>
      <c r="X124" s="32"/>
      <c r="Y124" s="32"/>
      <c r="AA124" s="32"/>
      <c r="AC124" s="32"/>
    </row>
    <row r="125" spans="1:29" ht="25.15" customHeight="1" x14ac:dyDescent="0.25">
      <c r="A125" s="17"/>
      <c r="G125"/>
      <c r="H125"/>
      <c r="J125"/>
      <c r="K125"/>
      <c r="L125"/>
      <c r="M125"/>
      <c r="N125"/>
      <c r="P125"/>
      <c r="Q125"/>
      <c r="R125"/>
      <c r="S125"/>
      <c r="T125"/>
      <c r="U125" s="46"/>
      <c r="V125" s="46"/>
      <c r="X125" s="32"/>
      <c r="Y125" s="32"/>
      <c r="AA125" s="32"/>
      <c r="AC125" s="32"/>
    </row>
    <row r="126" spans="1:29" ht="25.15" customHeight="1" x14ac:dyDescent="0.25">
      <c r="A126" s="17"/>
      <c r="G126"/>
      <c r="H126"/>
      <c r="J126"/>
      <c r="K126"/>
      <c r="L126"/>
      <c r="M126"/>
      <c r="N126"/>
      <c r="P126"/>
      <c r="Q126"/>
      <c r="R126"/>
      <c r="S126"/>
      <c r="T126"/>
      <c r="U126" s="46"/>
      <c r="V126" s="46"/>
      <c r="X126" s="32"/>
      <c r="Y126" s="32"/>
      <c r="AA126" s="32"/>
      <c r="AC126" s="32"/>
    </row>
    <row r="127" spans="1:29" ht="25.15" customHeight="1" x14ac:dyDescent="0.25">
      <c r="A127" s="17"/>
      <c r="G127"/>
      <c r="H127"/>
      <c r="J127"/>
      <c r="K127"/>
      <c r="L127"/>
      <c r="M127"/>
      <c r="N127"/>
      <c r="P127"/>
      <c r="Q127"/>
      <c r="R127"/>
      <c r="S127"/>
      <c r="T127"/>
      <c r="U127" s="46"/>
      <c r="V127" s="46"/>
      <c r="X127" s="32"/>
      <c r="Y127" s="32"/>
      <c r="AA127" s="32"/>
      <c r="AC127" s="32"/>
    </row>
    <row r="128" spans="1:29" ht="25.15" customHeight="1" x14ac:dyDescent="0.25">
      <c r="A128" s="17"/>
      <c r="G128"/>
      <c r="H128"/>
      <c r="J128"/>
      <c r="K128"/>
      <c r="L128"/>
      <c r="M128"/>
      <c r="N128"/>
      <c r="P128"/>
      <c r="Q128"/>
      <c r="R128"/>
      <c r="S128"/>
      <c r="T128"/>
      <c r="U128" s="46"/>
      <c r="V128" s="46"/>
      <c r="X128" s="32"/>
      <c r="Y128" s="32"/>
      <c r="AA128" s="32"/>
      <c r="AC128" s="32"/>
    </row>
    <row r="129" spans="1:29" ht="25.15" customHeight="1" x14ac:dyDescent="0.25">
      <c r="A129" s="17"/>
      <c r="G129"/>
      <c r="H129"/>
      <c r="J129"/>
      <c r="K129"/>
      <c r="L129"/>
      <c r="M129"/>
      <c r="N129"/>
      <c r="P129"/>
      <c r="Q129"/>
      <c r="R129"/>
      <c r="S129"/>
      <c r="T129"/>
      <c r="U129" s="46"/>
      <c r="V129" s="46"/>
      <c r="X129" s="32"/>
      <c r="Y129" s="32"/>
      <c r="AA129" s="32"/>
      <c r="AC129" s="32"/>
    </row>
    <row r="130" spans="1:29" ht="25.15" customHeight="1" x14ac:dyDescent="0.25">
      <c r="A130" s="17"/>
      <c r="G130"/>
      <c r="H130"/>
      <c r="J130"/>
      <c r="K130"/>
      <c r="L130"/>
      <c r="M130"/>
      <c r="N130"/>
      <c r="P130"/>
      <c r="Q130"/>
      <c r="R130"/>
      <c r="S130"/>
      <c r="T130"/>
      <c r="U130" s="46"/>
      <c r="V130" s="46"/>
      <c r="X130" s="32"/>
      <c r="Y130" s="32"/>
      <c r="AA130" s="32"/>
      <c r="AC130" s="32"/>
    </row>
    <row r="131" spans="1:29" ht="25.15" customHeight="1" x14ac:dyDescent="0.25">
      <c r="A131" s="17"/>
      <c r="G131"/>
      <c r="H131"/>
      <c r="J131"/>
      <c r="K131"/>
      <c r="L131"/>
      <c r="M131"/>
      <c r="N131"/>
      <c r="P131"/>
      <c r="Q131"/>
      <c r="R131"/>
      <c r="S131"/>
      <c r="T131"/>
      <c r="U131" s="46"/>
      <c r="V131" s="46"/>
      <c r="X131" s="32"/>
      <c r="Y131" s="32"/>
      <c r="AA131" s="32"/>
      <c r="AC131" s="32"/>
    </row>
    <row r="132" spans="1:29" ht="25.15" customHeight="1" x14ac:dyDescent="0.25">
      <c r="A132" s="17"/>
      <c r="G132"/>
      <c r="H132"/>
      <c r="J132"/>
      <c r="K132"/>
      <c r="L132"/>
      <c r="M132"/>
      <c r="N132"/>
      <c r="P132"/>
      <c r="Q132"/>
      <c r="R132"/>
      <c r="S132"/>
      <c r="T132"/>
      <c r="U132" s="46"/>
      <c r="V132" s="46"/>
      <c r="X132" s="32"/>
      <c r="Y132" s="32"/>
      <c r="AA132" s="32"/>
      <c r="AC132" s="32"/>
    </row>
    <row r="133" spans="1:29" ht="25.15" customHeight="1" x14ac:dyDescent="0.25">
      <c r="A133" s="17"/>
      <c r="G133"/>
      <c r="H133"/>
      <c r="J133"/>
      <c r="K133"/>
      <c r="L133"/>
      <c r="M133"/>
      <c r="N133"/>
      <c r="P133"/>
      <c r="Q133"/>
      <c r="R133"/>
      <c r="S133"/>
      <c r="T133"/>
      <c r="U133" s="46"/>
      <c r="V133" s="46"/>
      <c r="X133" s="32"/>
      <c r="Y133" s="32"/>
      <c r="AA133" s="32"/>
      <c r="AC133" s="32"/>
    </row>
    <row r="134" spans="1:29" ht="25.15" customHeight="1" x14ac:dyDescent="0.25">
      <c r="A134" s="17"/>
      <c r="G134"/>
      <c r="H134"/>
      <c r="J134"/>
      <c r="K134"/>
      <c r="L134"/>
      <c r="M134"/>
      <c r="N134"/>
      <c r="P134"/>
      <c r="Q134"/>
      <c r="R134"/>
      <c r="S134"/>
      <c r="T134"/>
      <c r="U134" s="46"/>
      <c r="V134" s="46"/>
      <c r="X134" s="32"/>
      <c r="Y134" s="32"/>
      <c r="AA134" s="32"/>
      <c r="AC134" s="32"/>
    </row>
    <row r="135" spans="1:29" ht="25.15" customHeight="1" x14ac:dyDescent="0.25">
      <c r="A135" s="17"/>
      <c r="G135"/>
      <c r="H135"/>
      <c r="J135"/>
      <c r="K135"/>
      <c r="L135"/>
      <c r="M135"/>
      <c r="N135"/>
      <c r="P135"/>
      <c r="Q135"/>
      <c r="R135"/>
      <c r="S135"/>
      <c r="T135"/>
      <c r="U135" s="46"/>
      <c r="V135" s="46"/>
      <c r="X135" s="32"/>
      <c r="Y135" s="32"/>
      <c r="AA135" s="32"/>
      <c r="AC135" s="32"/>
    </row>
    <row r="136" spans="1:29" ht="25.15" customHeight="1" x14ac:dyDescent="0.25">
      <c r="A136" s="17"/>
      <c r="G136"/>
      <c r="H136"/>
      <c r="J136"/>
      <c r="K136"/>
      <c r="L136"/>
      <c r="M136"/>
      <c r="N136"/>
      <c r="P136"/>
      <c r="Q136"/>
      <c r="R136"/>
      <c r="S136"/>
      <c r="T136"/>
      <c r="U136" s="46"/>
      <c r="V136" s="46"/>
      <c r="X136" s="32"/>
      <c r="Y136" s="32"/>
      <c r="AA136" s="32"/>
      <c r="AC136" s="32"/>
    </row>
    <row r="137" spans="1:29" ht="25.15" customHeight="1" x14ac:dyDescent="0.25">
      <c r="A137" s="17"/>
      <c r="G137"/>
      <c r="H137"/>
      <c r="J137"/>
      <c r="K137"/>
      <c r="L137"/>
      <c r="M137"/>
      <c r="N137"/>
      <c r="P137"/>
      <c r="Q137"/>
      <c r="R137"/>
      <c r="S137"/>
      <c r="T137"/>
      <c r="U137" s="46"/>
      <c r="V137" s="46"/>
      <c r="X137" s="32"/>
      <c r="Y137" s="32"/>
      <c r="AA137" s="32"/>
      <c r="AC137" s="32"/>
    </row>
    <row r="138" spans="1:29" ht="25.15" customHeight="1" x14ac:dyDescent="0.25">
      <c r="A138" s="17"/>
      <c r="G138"/>
      <c r="H138"/>
      <c r="J138"/>
      <c r="K138"/>
      <c r="L138"/>
      <c r="M138"/>
      <c r="N138"/>
      <c r="P138"/>
      <c r="Q138"/>
      <c r="R138"/>
      <c r="S138"/>
      <c r="T138"/>
      <c r="U138" s="46"/>
      <c r="V138" s="46"/>
      <c r="X138" s="32"/>
      <c r="Y138" s="32"/>
      <c r="AA138" s="32"/>
      <c r="AC138" s="32"/>
    </row>
    <row r="139" spans="1:29" ht="25.15" customHeight="1" x14ac:dyDescent="0.25">
      <c r="A139" s="17"/>
      <c r="G139"/>
      <c r="H139"/>
      <c r="J139"/>
      <c r="K139"/>
      <c r="L139"/>
      <c r="M139"/>
      <c r="N139"/>
      <c r="P139"/>
      <c r="Q139"/>
      <c r="R139"/>
      <c r="S139"/>
      <c r="T139"/>
      <c r="U139" s="46"/>
      <c r="V139" s="46"/>
      <c r="X139" s="32"/>
      <c r="Y139" s="32"/>
      <c r="AA139" s="32"/>
      <c r="AC139" s="32"/>
    </row>
    <row r="140" spans="1:29" ht="25.15" customHeight="1" x14ac:dyDescent="0.25">
      <c r="A140" s="17"/>
      <c r="G140"/>
      <c r="H140"/>
      <c r="J140"/>
      <c r="K140"/>
      <c r="L140"/>
      <c r="M140"/>
      <c r="N140"/>
      <c r="P140"/>
      <c r="Q140"/>
      <c r="R140"/>
      <c r="S140"/>
      <c r="T140"/>
      <c r="U140" s="46"/>
      <c r="V140" s="46"/>
      <c r="X140" s="32"/>
      <c r="Y140" s="32"/>
      <c r="AA140" s="32"/>
      <c r="AC140" s="32"/>
    </row>
    <row r="141" spans="1:29" ht="25.15" customHeight="1" x14ac:dyDescent="0.25">
      <c r="A141" s="17"/>
      <c r="G141"/>
      <c r="H141"/>
      <c r="J141"/>
      <c r="K141"/>
      <c r="L141"/>
      <c r="M141"/>
      <c r="N141"/>
      <c r="P141"/>
      <c r="Q141"/>
      <c r="R141"/>
      <c r="S141"/>
      <c r="T141"/>
      <c r="U141" s="46"/>
      <c r="V141" s="46"/>
      <c r="X141" s="32"/>
      <c r="Y141" s="32"/>
      <c r="AA141" s="32"/>
      <c r="AC141" s="32"/>
    </row>
    <row r="142" spans="1:29" ht="25.15" customHeight="1" x14ac:dyDescent="0.25">
      <c r="A142" s="17"/>
      <c r="G142"/>
      <c r="H142"/>
      <c r="J142"/>
      <c r="K142"/>
      <c r="L142"/>
      <c r="M142"/>
      <c r="N142"/>
      <c r="P142"/>
      <c r="Q142"/>
      <c r="R142"/>
      <c r="S142"/>
      <c r="T142"/>
      <c r="U142" s="46"/>
      <c r="V142" s="46"/>
    </row>
    <row r="143" spans="1:29" ht="25.15" customHeight="1" x14ac:dyDescent="0.25">
      <c r="A143" s="17"/>
      <c r="G143"/>
      <c r="H143"/>
      <c r="J143"/>
      <c r="K143"/>
      <c r="L143"/>
      <c r="M143"/>
      <c r="N143"/>
      <c r="P143"/>
      <c r="Q143"/>
      <c r="R143"/>
      <c r="S143"/>
      <c r="T143"/>
      <c r="U143" s="46"/>
      <c r="V143" s="46"/>
    </row>
    <row r="144" spans="1:29" ht="25.15" customHeight="1" x14ac:dyDescent="0.25">
      <c r="A144" s="17"/>
      <c r="G144"/>
      <c r="H144"/>
      <c r="J144"/>
      <c r="K144"/>
      <c r="L144"/>
      <c r="M144"/>
      <c r="N144"/>
      <c r="P144"/>
      <c r="Q144"/>
      <c r="R144"/>
      <c r="S144"/>
      <c r="T144"/>
      <c r="U144" s="46"/>
      <c r="V144" s="46"/>
    </row>
    <row r="145" spans="1:22" ht="25.15" customHeight="1" x14ac:dyDescent="0.25">
      <c r="A145" s="17"/>
      <c r="G145"/>
      <c r="H145"/>
      <c r="J145"/>
      <c r="K145"/>
      <c r="L145"/>
      <c r="M145"/>
      <c r="N145"/>
      <c r="P145"/>
      <c r="Q145"/>
      <c r="R145"/>
      <c r="S145"/>
      <c r="T145"/>
      <c r="U145" s="46"/>
      <c r="V145" s="46"/>
    </row>
    <row r="146" spans="1:22" ht="25.15" customHeight="1" x14ac:dyDescent="0.25">
      <c r="A146" s="17"/>
      <c r="G146"/>
      <c r="H146"/>
      <c r="J146"/>
      <c r="K146"/>
      <c r="L146"/>
      <c r="M146"/>
      <c r="N146"/>
      <c r="P146"/>
      <c r="Q146"/>
      <c r="R146"/>
      <c r="S146"/>
      <c r="T146"/>
      <c r="U146" s="46"/>
      <c r="V146" s="46"/>
    </row>
    <row r="147" spans="1:22" ht="25.15" customHeight="1" x14ac:dyDescent="0.25">
      <c r="A147" s="17"/>
      <c r="G147"/>
      <c r="H147"/>
      <c r="J147"/>
      <c r="K147"/>
      <c r="L147"/>
      <c r="M147"/>
      <c r="N147"/>
      <c r="P147"/>
      <c r="Q147"/>
      <c r="R147"/>
      <c r="S147"/>
      <c r="T147"/>
      <c r="U147" s="46"/>
      <c r="V147" s="46"/>
    </row>
    <row r="148" spans="1:22" ht="25.15" customHeight="1" x14ac:dyDescent="0.25">
      <c r="A148" s="17"/>
      <c r="G148"/>
      <c r="H148"/>
      <c r="J148"/>
      <c r="K148"/>
      <c r="L148"/>
      <c r="M148"/>
      <c r="N148"/>
      <c r="P148"/>
      <c r="Q148"/>
      <c r="R148"/>
      <c r="S148"/>
      <c r="T148"/>
      <c r="U148" s="46"/>
      <c r="V148" s="46"/>
    </row>
    <row r="149" spans="1:22" ht="25.15" customHeight="1" x14ac:dyDescent="0.25">
      <c r="A149" s="17"/>
      <c r="G149"/>
      <c r="H149"/>
      <c r="J149"/>
      <c r="K149"/>
      <c r="L149"/>
      <c r="M149"/>
      <c r="N149"/>
      <c r="P149"/>
      <c r="Q149"/>
      <c r="R149"/>
      <c r="S149"/>
      <c r="T149"/>
      <c r="U149" s="46"/>
      <c r="V149" s="46"/>
    </row>
    <row r="150" spans="1:22" ht="25.15" customHeight="1" x14ac:dyDescent="0.25">
      <c r="A150" s="17"/>
      <c r="G150"/>
      <c r="H150"/>
      <c r="J150"/>
      <c r="K150"/>
      <c r="L150"/>
      <c r="M150"/>
      <c r="N150"/>
      <c r="P150"/>
      <c r="Q150"/>
      <c r="R150"/>
      <c r="S150"/>
      <c r="T150"/>
      <c r="U150" s="46"/>
      <c r="V150" s="46"/>
    </row>
    <row r="151" spans="1:22" ht="25.15" customHeight="1" x14ac:dyDescent="0.25">
      <c r="A151" s="17"/>
      <c r="G151"/>
      <c r="H151"/>
      <c r="J151"/>
      <c r="K151"/>
      <c r="L151"/>
      <c r="M151"/>
      <c r="N151"/>
      <c r="P151"/>
      <c r="Q151"/>
      <c r="R151"/>
      <c r="S151"/>
      <c r="T151"/>
      <c r="U151" s="46"/>
      <c r="V151" s="46"/>
    </row>
    <row r="152" spans="1:22" ht="25.15" customHeight="1" x14ac:dyDescent="0.25">
      <c r="A152" s="17"/>
      <c r="G152"/>
      <c r="H152"/>
      <c r="J152"/>
      <c r="K152"/>
      <c r="L152"/>
      <c r="M152"/>
      <c r="N152"/>
      <c r="P152"/>
      <c r="Q152"/>
      <c r="R152"/>
      <c r="S152"/>
      <c r="T152"/>
      <c r="U152" s="46"/>
      <c r="V152" s="46"/>
    </row>
    <row r="153" spans="1:22" ht="25.15" customHeight="1" x14ac:dyDescent="0.25">
      <c r="A153" s="17"/>
      <c r="G153"/>
      <c r="H153"/>
      <c r="J153"/>
      <c r="K153"/>
      <c r="L153"/>
      <c r="M153"/>
      <c r="N153"/>
      <c r="P153"/>
      <c r="Q153"/>
      <c r="R153"/>
      <c r="S153"/>
      <c r="T153"/>
      <c r="U153" s="46"/>
      <c r="V153" s="46"/>
    </row>
    <row r="154" spans="1:22" ht="25.15" customHeight="1" x14ac:dyDescent="0.25">
      <c r="A154" s="17"/>
      <c r="G154"/>
      <c r="H154"/>
      <c r="J154"/>
      <c r="K154"/>
      <c r="L154"/>
      <c r="M154"/>
      <c r="N154"/>
      <c r="P154"/>
      <c r="Q154"/>
      <c r="R154"/>
      <c r="S154"/>
      <c r="T154"/>
      <c r="U154" s="46"/>
      <c r="V154" s="46"/>
    </row>
    <row r="155" spans="1:22" ht="25.15" customHeight="1" x14ac:dyDescent="0.25">
      <c r="A155" s="17"/>
      <c r="G155"/>
      <c r="H155"/>
      <c r="J155"/>
      <c r="K155"/>
      <c r="L155"/>
      <c r="M155"/>
      <c r="N155"/>
      <c r="P155"/>
      <c r="Q155"/>
      <c r="R155"/>
      <c r="S155"/>
      <c r="T155"/>
      <c r="U155" s="46"/>
      <c r="V155" s="46"/>
    </row>
    <row r="156" spans="1:22" ht="25.15" customHeight="1" x14ac:dyDescent="0.25">
      <c r="A156" s="17"/>
      <c r="G156"/>
      <c r="H156"/>
      <c r="J156"/>
      <c r="K156"/>
      <c r="L156"/>
      <c r="M156"/>
      <c r="N156"/>
      <c r="P156"/>
      <c r="Q156"/>
      <c r="R156"/>
      <c r="S156"/>
      <c r="T156"/>
      <c r="U156" s="46"/>
      <c r="V156" s="46"/>
    </row>
    <row r="157" spans="1:22" ht="25.15" customHeight="1" x14ac:dyDescent="0.25">
      <c r="A157" s="17"/>
      <c r="G157"/>
      <c r="H157"/>
      <c r="J157"/>
      <c r="K157"/>
      <c r="L157"/>
      <c r="M157"/>
      <c r="N157"/>
      <c r="P157"/>
      <c r="Q157"/>
      <c r="R157"/>
      <c r="S157"/>
      <c r="T157"/>
      <c r="U157" s="46"/>
      <c r="V157" s="46"/>
    </row>
    <row r="158" spans="1:22" ht="25.15" customHeight="1" x14ac:dyDescent="0.25">
      <c r="A158" s="17"/>
      <c r="G158"/>
      <c r="H158"/>
      <c r="J158"/>
      <c r="K158"/>
      <c r="L158"/>
      <c r="M158"/>
      <c r="N158"/>
      <c r="P158"/>
      <c r="Q158"/>
      <c r="R158"/>
      <c r="S158"/>
      <c r="T158"/>
      <c r="U158" s="46"/>
      <c r="V158" s="46"/>
    </row>
    <row r="159" spans="1:22" ht="25.15" customHeight="1" x14ac:dyDescent="0.25">
      <c r="A159" s="17"/>
      <c r="G159"/>
      <c r="H159"/>
      <c r="J159"/>
      <c r="K159"/>
      <c r="L159"/>
      <c r="M159"/>
      <c r="N159"/>
      <c r="P159"/>
      <c r="Q159"/>
      <c r="R159"/>
      <c r="S159"/>
      <c r="T159"/>
      <c r="U159" s="46"/>
      <c r="V159" s="46"/>
    </row>
    <row r="160" spans="1:22" ht="25.15" customHeight="1" x14ac:dyDescent="0.25">
      <c r="A160" s="17"/>
      <c r="G160"/>
      <c r="H160"/>
      <c r="J160"/>
      <c r="K160"/>
      <c r="L160"/>
      <c r="M160"/>
      <c r="N160"/>
      <c r="P160"/>
      <c r="Q160"/>
      <c r="R160"/>
      <c r="S160"/>
      <c r="T160"/>
      <c r="U160" s="46"/>
      <c r="V160" s="46"/>
    </row>
    <row r="161" spans="1:22" ht="25.15" customHeight="1" x14ac:dyDescent="0.25">
      <c r="A161" s="17"/>
      <c r="G161"/>
      <c r="H161"/>
      <c r="J161"/>
      <c r="K161"/>
      <c r="L161"/>
      <c r="M161"/>
      <c r="N161"/>
      <c r="P161"/>
      <c r="Q161"/>
      <c r="R161"/>
      <c r="S161"/>
      <c r="T161"/>
      <c r="U161" s="46"/>
      <c r="V161" s="46"/>
    </row>
    <row r="162" spans="1:22" ht="25.15" customHeight="1" x14ac:dyDescent="0.25">
      <c r="A162" s="17"/>
      <c r="G162"/>
      <c r="H162"/>
      <c r="J162"/>
      <c r="K162"/>
      <c r="L162"/>
      <c r="M162"/>
      <c r="N162"/>
      <c r="P162"/>
      <c r="Q162"/>
      <c r="R162"/>
      <c r="S162"/>
      <c r="T162"/>
      <c r="U162" s="46"/>
      <c r="V162" s="46"/>
    </row>
    <row r="163" spans="1:22" ht="25.15" customHeight="1" x14ac:dyDescent="0.25">
      <c r="A163" s="17"/>
      <c r="G163"/>
      <c r="H163"/>
      <c r="J163"/>
      <c r="K163"/>
      <c r="L163"/>
      <c r="M163"/>
      <c r="N163"/>
      <c r="P163"/>
      <c r="Q163"/>
      <c r="R163"/>
      <c r="S163"/>
      <c r="T163"/>
      <c r="U163" s="46"/>
      <c r="V163" s="46"/>
    </row>
    <row r="164" spans="1:22" ht="25.15" customHeight="1" x14ac:dyDescent="0.25">
      <c r="A164" s="17"/>
      <c r="G164"/>
      <c r="H164"/>
      <c r="J164"/>
      <c r="K164"/>
      <c r="L164"/>
      <c r="M164"/>
      <c r="N164"/>
      <c r="P164"/>
      <c r="Q164"/>
      <c r="R164"/>
      <c r="S164"/>
      <c r="T164"/>
      <c r="U164" s="46"/>
      <c r="V164" s="46"/>
    </row>
    <row r="165" spans="1:22" ht="25.15" customHeight="1" x14ac:dyDescent="0.25">
      <c r="A165" s="17"/>
      <c r="G165"/>
      <c r="H165"/>
      <c r="J165"/>
      <c r="K165"/>
      <c r="L165"/>
      <c r="M165"/>
      <c r="N165"/>
      <c r="P165"/>
      <c r="Q165"/>
      <c r="R165"/>
      <c r="S165"/>
      <c r="T165"/>
      <c r="U165" s="46"/>
      <c r="V165" s="46"/>
    </row>
    <row r="166" spans="1:22" ht="25.15" customHeight="1" x14ac:dyDescent="0.25">
      <c r="A166" s="17"/>
      <c r="G166"/>
      <c r="H166"/>
      <c r="J166"/>
      <c r="K166"/>
      <c r="L166"/>
      <c r="M166"/>
      <c r="N166"/>
      <c r="P166"/>
      <c r="Q166"/>
      <c r="R166"/>
      <c r="S166"/>
      <c r="T166"/>
      <c r="U166" s="46"/>
      <c r="V166" s="46"/>
    </row>
    <row r="167" spans="1:22" ht="25.15" customHeight="1" x14ac:dyDescent="0.25">
      <c r="A167" s="17"/>
      <c r="G167"/>
      <c r="H167"/>
      <c r="J167"/>
      <c r="K167"/>
      <c r="L167"/>
      <c r="M167"/>
      <c r="N167"/>
      <c r="P167"/>
      <c r="Q167"/>
      <c r="R167"/>
      <c r="S167"/>
      <c r="T167"/>
      <c r="U167" s="46"/>
      <c r="V167" s="46"/>
    </row>
    <row r="168" spans="1:22" ht="25.15" customHeight="1" x14ac:dyDescent="0.25">
      <c r="A168" s="17"/>
      <c r="G168"/>
      <c r="H168"/>
      <c r="J168"/>
      <c r="K168"/>
      <c r="L168"/>
      <c r="M168"/>
      <c r="N168"/>
      <c r="P168"/>
      <c r="Q168"/>
      <c r="R168"/>
      <c r="S168"/>
      <c r="T168"/>
      <c r="U168" s="46"/>
      <c r="V168" s="46"/>
    </row>
    <row r="169" spans="1:22" ht="25.15" customHeight="1" x14ac:dyDescent="0.25">
      <c r="A169" s="17"/>
      <c r="G169"/>
      <c r="H169"/>
      <c r="J169"/>
      <c r="K169"/>
      <c r="L169"/>
      <c r="M169"/>
      <c r="N169"/>
      <c r="P169"/>
      <c r="Q169"/>
      <c r="R169"/>
      <c r="S169"/>
      <c r="T169"/>
      <c r="U169" s="46"/>
      <c r="V169" s="46"/>
    </row>
    <row r="170" spans="1:22" ht="25.15" customHeight="1" x14ac:dyDescent="0.25">
      <c r="A170" s="17"/>
      <c r="G170"/>
      <c r="H170"/>
      <c r="J170"/>
      <c r="K170"/>
      <c r="L170"/>
      <c r="M170"/>
      <c r="N170"/>
      <c r="P170"/>
      <c r="Q170"/>
      <c r="R170"/>
      <c r="S170"/>
      <c r="T170"/>
      <c r="U170" s="46"/>
      <c r="V170" s="46"/>
    </row>
    <row r="171" spans="1:22" ht="25.15" customHeight="1" x14ac:dyDescent="0.25">
      <c r="A171" s="17"/>
      <c r="G171"/>
      <c r="H171"/>
      <c r="J171"/>
      <c r="K171"/>
      <c r="L171"/>
      <c r="M171"/>
      <c r="N171"/>
      <c r="P171"/>
      <c r="Q171"/>
      <c r="R171"/>
      <c r="S171"/>
      <c r="T171"/>
      <c r="U171" s="46"/>
      <c r="V171" s="46"/>
    </row>
    <row r="172" spans="1:22" ht="25.15" customHeight="1" x14ac:dyDescent="0.25">
      <c r="A172" s="17"/>
      <c r="G172"/>
      <c r="H172"/>
      <c r="J172"/>
      <c r="K172"/>
      <c r="L172"/>
      <c r="M172"/>
      <c r="N172"/>
      <c r="P172"/>
      <c r="Q172"/>
      <c r="R172"/>
      <c r="S172"/>
      <c r="T172"/>
      <c r="U172" s="46"/>
      <c r="V172" s="46"/>
    </row>
    <row r="173" spans="1:22" ht="25.15" customHeight="1" x14ac:dyDescent="0.25">
      <c r="A173" s="17"/>
      <c r="G173"/>
      <c r="H173"/>
      <c r="J173"/>
      <c r="K173"/>
      <c r="L173"/>
      <c r="M173"/>
      <c r="N173"/>
      <c r="P173"/>
      <c r="Q173"/>
      <c r="R173"/>
      <c r="S173"/>
      <c r="T173"/>
      <c r="U173" s="46"/>
      <c r="V173" s="46"/>
    </row>
    <row r="174" spans="1:22" ht="25.15" customHeight="1" x14ac:dyDescent="0.25">
      <c r="A174" s="17"/>
      <c r="G174"/>
      <c r="H174"/>
      <c r="J174"/>
      <c r="K174"/>
      <c r="L174"/>
      <c r="M174"/>
      <c r="N174"/>
      <c r="P174"/>
      <c r="Q174"/>
      <c r="R174"/>
      <c r="S174"/>
      <c r="T174"/>
      <c r="U174" s="46"/>
      <c r="V174" s="46"/>
    </row>
    <row r="175" spans="1:22" ht="25.15" customHeight="1" x14ac:dyDescent="0.25">
      <c r="A175" s="17"/>
      <c r="G175"/>
      <c r="H175"/>
      <c r="J175"/>
      <c r="K175"/>
      <c r="L175"/>
      <c r="M175"/>
      <c r="N175"/>
      <c r="P175"/>
      <c r="Q175"/>
      <c r="R175"/>
      <c r="S175"/>
      <c r="T175"/>
      <c r="U175" s="46"/>
      <c r="V175" s="46"/>
    </row>
    <row r="176" spans="1:22" ht="25.15" customHeight="1" x14ac:dyDescent="0.25">
      <c r="A176" s="17"/>
      <c r="G176"/>
      <c r="H176"/>
      <c r="J176"/>
      <c r="K176"/>
      <c r="L176"/>
      <c r="M176"/>
      <c r="N176"/>
      <c r="P176"/>
      <c r="Q176"/>
      <c r="R176"/>
      <c r="S176"/>
      <c r="T176"/>
      <c r="U176" s="46"/>
      <c r="V176" s="46"/>
    </row>
    <row r="177" spans="1:22" ht="25.15" customHeight="1" x14ac:dyDescent="0.25">
      <c r="A177" s="17"/>
      <c r="G177"/>
      <c r="H177"/>
      <c r="J177"/>
      <c r="K177"/>
      <c r="L177"/>
      <c r="M177"/>
      <c r="N177"/>
      <c r="P177"/>
      <c r="Q177"/>
      <c r="R177"/>
      <c r="S177"/>
      <c r="T177"/>
      <c r="U177" s="46"/>
      <c r="V177" s="46"/>
    </row>
    <row r="178" spans="1:22" ht="25.15" customHeight="1" x14ac:dyDescent="0.25">
      <c r="A178" s="17"/>
      <c r="G178"/>
      <c r="H178"/>
      <c r="J178"/>
      <c r="K178"/>
      <c r="L178"/>
      <c r="M178"/>
      <c r="N178"/>
      <c r="P178"/>
      <c r="Q178"/>
      <c r="R178"/>
      <c r="S178"/>
      <c r="T178"/>
      <c r="U178" s="46"/>
      <c r="V178" s="46"/>
    </row>
    <row r="179" spans="1:22" ht="25.15" customHeight="1" x14ac:dyDescent="0.25">
      <c r="A179" s="17"/>
      <c r="G179"/>
      <c r="H179"/>
      <c r="J179"/>
      <c r="K179"/>
      <c r="L179"/>
      <c r="M179"/>
      <c r="N179"/>
      <c r="P179"/>
      <c r="Q179"/>
      <c r="R179"/>
      <c r="S179"/>
      <c r="T179"/>
      <c r="U179" s="46"/>
      <c r="V179" s="46"/>
    </row>
    <row r="180" spans="1:22" ht="25.15" customHeight="1" x14ac:dyDescent="0.25">
      <c r="A180" s="17"/>
      <c r="G180"/>
      <c r="H180"/>
      <c r="J180"/>
      <c r="K180"/>
      <c r="L180"/>
      <c r="M180"/>
      <c r="N180"/>
      <c r="P180"/>
      <c r="Q180"/>
      <c r="R180"/>
      <c r="S180"/>
      <c r="T180"/>
      <c r="U180" s="46"/>
      <c r="V180" s="46"/>
    </row>
    <row r="181" spans="1:22" ht="25.15" customHeight="1" x14ac:dyDescent="0.25">
      <c r="A181" s="17"/>
      <c r="G181"/>
      <c r="H181"/>
      <c r="J181"/>
      <c r="K181"/>
      <c r="L181"/>
      <c r="M181"/>
      <c r="N181"/>
      <c r="P181"/>
      <c r="Q181"/>
      <c r="R181"/>
      <c r="S181"/>
      <c r="T181"/>
      <c r="U181" s="46"/>
      <c r="V181" s="46"/>
    </row>
    <row r="182" spans="1:22" ht="25.15" customHeight="1" x14ac:dyDescent="0.25">
      <c r="A182" s="17"/>
      <c r="G182"/>
      <c r="H182"/>
      <c r="J182"/>
      <c r="K182"/>
      <c r="L182"/>
      <c r="M182"/>
      <c r="N182"/>
      <c r="P182"/>
      <c r="Q182"/>
      <c r="R182"/>
      <c r="S182"/>
      <c r="T182"/>
      <c r="U182" s="46"/>
      <c r="V182" s="46"/>
    </row>
    <row r="183" spans="1:22" ht="25.15" customHeight="1" x14ac:dyDescent="0.25">
      <c r="A183" s="17"/>
      <c r="G183"/>
      <c r="H183"/>
      <c r="J183"/>
      <c r="K183"/>
      <c r="L183"/>
      <c r="M183"/>
      <c r="N183"/>
      <c r="P183"/>
      <c r="Q183"/>
      <c r="R183"/>
      <c r="S183"/>
      <c r="T183"/>
      <c r="U183" s="46"/>
      <c r="V183" s="46"/>
    </row>
    <row r="184" spans="1:22" ht="25.15" customHeight="1" x14ac:dyDescent="0.25">
      <c r="A184" s="17"/>
      <c r="G184"/>
      <c r="H184"/>
      <c r="J184"/>
      <c r="K184"/>
      <c r="L184"/>
      <c r="M184"/>
      <c r="N184"/>
      <c r="P184"/>
      <c r="Q184"/>
      <c r="R184"/>
      <c r="S184"/>
      <c r="T184"/>
      <c r="U184" s="46"/>
      <c r="V184" s="46"/>
    </row>
    <row r="185" spans="1:22" ht="25.15" customHeight="1" x14ac:dyDescent="0.25">
      <c r="A185" s="17"/>
      <c r="G185"/>
      <c r="H185"/>
      <c r="J185"/>
      <c r="K185"/>
      <c r="L185"/>
      <c r="M185"/>
      <c r="N185"/>
      <c r="P185"/>
      <c r="Q185"/>
      <c r="R185"/>
      <c r="S185"/>
      <c r="T185"/>
      <c r="U185" s="46"/>
      <c r="V185" s="46"/>
    </row>
    <row r="186" spans="1:22" ht="25.15" customHeight="1" x14ac:dyDescent="0.25">
      <c r="A186" s="17"/>
      <c r="G186"/>
      <c r="H186"/>
      <c r="J186"/>
      <c r="K186"/>
      <c r="L186"/>
      <c r="M186"/>
      <c r="N186"/>
      <c r="P186"/>
      <c r="Q186"/>
      <c r="R186"/>
      <c r="S186"/>
      <c r="T186"/>
      <c r="U186" s="46"/>
      <c r="V186" s="46"/>
    </row>
    <row r="187" spans="1:22" ht="25.15" customHeight="1" x14ac:dyDescent="0.25">
      <c r="A187" s="17"/>
      <c r="G187"/>
      <c r="H187"/>
      <c r="J187"/>
      <c r="K187"/>
      <c r="L187"/>
      <c r="M187"/>
      <c r="N187"/>
      <c r="P187"/>
      <c r="Q187"/>
      <c r="R187"/>
      <c r="S187"/>
      <c r="T187"/>
      <c r="U187" s="46"/>
      <c r="V187" s="46"/>
    </row>
    <row r="188" spans="1:22" ht="25.15" customHeight="1" x14ac:dyDescent="0.25">
      <c r="A188" s="17"/>
      <c r="G188"/>
      <c r="H188"/>
      <c r="J188"/>
      <c r="K188"/>
      <c r="L188"/>
      <c r="M188"/>
      <c r="N188"/>
      <c r="P188"/>
      <c r="Q188"/>
      <c r="R188"/>
      <c r="S188"/>
      <c r="T188"/>
      <c r="U188" s="46"/>
      <c r="V188" s="46"/>
    </row>
    <row r="189" spans="1:22" ht="25.15" customHeight="1" x14ac:dyDescent="0.25">
      <c r="A189" s="17"/>
      <c r="G189"/>
      <c r="H189"/>
      <c r="J189"/>
      <c r="K189"/>
      <c r="L189"/>
      <c r="M189"/>
      <c r="N189"/>
      <c r="P189"/>
      <c r="Q189"/>
      <c r="R189"/>
      <c r="S189"/>
      <c r="T189"/>
      <c r="U189" s="46"/>
      <c r="V189" s="46"/>
    </row>
    <row r="190" spans="1:22" ht="25.15" customHeight="1" x14ac:dyDescent="0.25">
      <c r="A190" s="17"/>
      <c r="G190"/>
      <c r="H190"/>
      <c r="J190"/>
      <c r="K190"/>
      <c r="L190"/>
      <c r="M190"/>
      <c r="N190"/>
      <c r="P190"/>
      <c r="Q190"/>
      <c r="R190"/>
      <c r="S190"/>
      <c r="T190"/>
      <c r="U190" s="46"/>
      <c r="V190" s="46"/>
    </row>
    <row r="191" spans="1:22" ht="25.15" customHeight="1" x14ac:dyDescent="0.25">
      <c r="A191" s="17"/>
      <c r="G191"/>
      <c r="H191"/>
      <c r="J191"/>
      <c r="K191"/>
      <c r="L191"/>
      <c r="M191"/>
      <c r="N191"/>
      <c r="P191"/>
      <c r="Q191"/>
      <c r="R191"/>
      <c r="S191"/>
      <c r="T191"/>
      <c r="U191" s="46"/>
      <c r="V191" s="46"/>
    </row>
    <row r="192" spans="1:22" ht="25.15" customHeight="1" x14ac:dyDescent="0.25">
      <c r="A192" s="17"/>
      <c r="G192"/>
      <c r="H192"/>
      <c r="J192"/>
      <c r="K192"/>
      <c r="L192"/>
      <c r="M192"/>
      <c r="N192"/>
      <c r="P192"/>
      <c r="Q192"/>
      <c r="R192"/>
      <c r="S192"/>
      <c r="T192"/>
      <c r="U192" s="46"/>
      <c r="V192" s="46"/>
    </row>
    <row r="193" spans="1:22" ht="25.15" customHeight="1" x14ac:dyDescent="0.25">
      <c r="A193" s="17"/>
      <c r="G193"/>
      <c r="H193"/>
      <c r="J193"/>
      <c r="K193"/>
      <c r="L193"/>
      <c r="M193"/>
      <c r="N193"/>
      <c r="P193"/>
      <c r="Q193"/>
      <c r="R193"/>
      <c r="S193"/>
      <c r="T193"/>
      <c r="U193" s="46"/>
      <c r="V193" s="46"/>
    </row>
    <row r="194" spans="1:22" ht="25.15" customHeight="1" x14ac:dyDescent="0.25">
      <c r="A194" s="17"/>
      <c r="G194"/>
      <c r="H194"/>
      <c r="J194"/>
      <c r="K194"/>
      <c r="L194"/>
      <c r="M194"/>
      <c r="N194"/>
      <c r="P194"/>
      <c r="Q194"/>
      <c r="R194"/>
      <c r="S194"/>
      <c r="T194"/>
      <c r="U194" s="46"/>
      <c r="V194" s="46"/>
    </row>
    <row r="195" spans="1:22" ht="25.15" customHeight="1" x14ac:dyDescent="0.25">
      <c r="A195" s="17"/>
      <c r="G195"/>
      <c r="H195"/>
      <c r="J195"/>
      <c r="K195"/>
      <c r="L195"/>
      <c r="M195"/>
      <c r="N195"/>
      <c r="P195"/>
      <c r="Q195"/>
      <c r="R195"/>
      <c r="S195"/>
      <c r="T195"/>
      <c r="U195" s="46"/>
      <c r="V195" s="46"/>
    </row>
    <row r="196" spans="1:22" ht="25.15" customHeight="1" x14ac:dyDescent="0.25">
      <c r="A196" s="17"/>
      <c r="G196"/>
      <c r="H196"/>
      <c r="J196"/>
      <c r="K196"/>
      <c r="L196"/>
      <c r="M196"/>
      <c r="N196"/>
      <c r="P196"/>
      <c r="Q196"/>
      <c r="R196"/>
      <c r="S196"/>
      <c r="T196"/>
      <c r="U196" s="46"/>
      <c r="V196" s="46"/>
    </row>
    <row r="197" spans="1:22" ht="25.15" customHeight="1" x14ac:dyDescent="0.25">
      <c r="A197" s="17"/>
      <c r="G197"/>
      <c r="H197"/>
      <c r="J197"/>
      <c r="K197"/>
      <c r="L197"/>
      <c r="M197"/>
      <c r="N197"/>
      <c r="P197"/>
      <c r="Q197"/>
      <c r="R197"/>
      <c r="S197"/>
      <c r="T197"/>
      <c r="U197" s="46"/>
      <c r="V197" s="46"/>
    </row>
    <row r="198" spans="1:22" ht="25.15" customHeight="1" x14ac:dyDescent="0.25">
      <c r="A198" s="17"/>
      <c r="G198"/>
      <c r="H198"/>
      <c r="J198"/>
      <c r="K198"/>
      <c r="L198"/>
      <c r="M198"/>
      <c r="N198"/>
      <c r="P198"/>
      <c r="Q198"/>
      <c r="R198"/>
      <c r="S198"/>
      <c r="T198"/>
      <c r="U198" s="46"/>
      <c r="V198" s="46"/>
    </row>
    <row r="199" spans="1:22" ht="25.15" customHeight="1" x14ac:dyDescent="0.25">
      <c r="A199" s="17"/>
      <c r="G199"/>
      <c r="H199"/>
      <c r="J199"/>
      <c r="K199"/>
      <c r="L199"/>
      <c r="M199"/>
      <c r="N199"/>
      <c r="P199"/>
      <c r="Q199"/>
      <c r="R199"/>
      <c r="S199"/>
      <c r="T199"/>
      <c r="U199" s="46"/>
      <c r="V199" s="46"/>
    </row>
    <row r="200" spans="1:22" ht="25.15" customHeight="1" x14ac:dyDescent="0.25">
      <c r="A200" s="17"/>
      <c r="G200"/>
      <c r="H200"/>
      <c r="J200"/>
      <c r="K200"/>
      <c r="L200"/>
      <c r="M200"/>
      <c r="N200"/>
      <c r="P200"/>
      <c r="Q200"/>
      <c r="R200"/>
      <c r="S200"/>
      <c r="T200"/>
      <c r="U200" s="46"/>
      <c r="V200" s="46"/>
    </row>
    <row r="201" spans="1:22" ht="25.15" customHeight="1" x14ac:dyDescent="0.25">
      <c r="A201" s="17"/>
      <c r="G201"/>
      <c r="H201"/>
      <c r="J201"/>
      <c r="K201"/>
      <c r="L201"/>
      <c r="M201"/>
      <c r="N201"/>
      <c r="P201"/>
      <c r="Q201"/>
      <c r="R201"/>
      <c r="S201"/>
      <c r="T201"/>
      <c r="U201" s="46"/>
      <c r="V201" s="46"/>
    </row>
    <row r="202" spans="1:22" ht="25.15" customHeight="1" x14ac:dyDescent="0.25">
      <c r="A202" s="17"/>
      <c r="G202"/>
      <c r="H202"/>
      <c r="J202"/>
      <c r="K202"/>
      <c r="L202"/>
      <c r="M202"/>
      <c r="N202"/>
      <c r="P202"/>
      <c r="Q202"/>
      <c r="R202"/>
      <c r="S202"/>
      <c r="T202"/>
      <c r="U202" s="46"/>
      <c r="V202" s="46"/>
    </row>
    <row r="203" spans="1:22" ht="25.15" customHeight="1" x14ac:dyDescent="0.25">
      <c r="A203" s="17"/>
      <c r="G203"/>
      <c r="H203"/>
      <c r="J203"/>
      <c r="K203"/>
      <c r="L203"/>
      <c r="M203"/>
      <c r="N203"/>
      <c r="P203"/>
      <c r="Q203"/>
      <c r="R203"/>
      <c r="S203"/>
      <c r="T203"/>
      <c r="U203" s="46"/>
      <c r="V203" s="46"/>
    </row>
    <row r="204" spans="1:22" ht="25.15" customHeight="1" x14ac:dyDescent="0.25">
      <c r="A204" s="17"/>
      <c r="G204"/>
      <c r="H204"/>
      <c r="J204"/>
      <c r="K204"/>
      <c r="L204"/>
      <c r="M204"/>
      <c r="N204"/>
      <c r="P204"/>
      <c r="Q204"/>
      <c r="R204"/>
      <c r="S204"/>
      <c r="T204"/>
      <c r="U204" s="46"/>
      <c r="V204" s="46"/>
    </row>
    <row r="205" spans="1:22" ht="25.15" customHeight="1" x14ac:dyDescent="0.25">
      <c r="A205" s="17"/>
      <c r="G205"/>
      <c r="H205"/>
      <c r="J205"/>
      <c r="K205"/>
      <c r="L205"/>
      <c r="M205"/>
      <c r="N205"/>
      <c r="P205"/>
      <c r="Q205"/>
      <c r="R205"/>
      <c r="S205"/>
      <c r="T205"/>
      <c r="U205" s="46"/>
      <c r="V205" s="46"/>
    </row>
    <row r="206" spans="1:22" ht="25.15" customHeight="1" x14ac:dyDescent="0.25">
      <c r="A206" s="17"/>
      <c r="G206"/>
      <c r="H206"/>
      <c r="J206"/>
      <c r="K206"/>
      <c r="L206"/>
      <c r="M206"/>
      <c r="N206"/>
      <c r="P206"/>
      <c r="Q206"/>
      <c r="R206"/>
      <c r="S206"/>
      <c r="T206"/>
      <c r="U206" s="46"/>
      <c r="V206" s="46"/>
    </row>
    <row r="207" spans="1:22" ht="25.15" customHeight="1" x14ac:dyDescent="0.25">
      <c r="A207" s="17"/>
      <c r="G207"/>
      <c r="H207"/>
      <c r="J207"/>
      <c r="K207"/>
      <c r="L207"/>
      <c r="M207"/>
      <c r="N207"/>
      <c r="P207"/>
      <c r="Q207"/>
      <c r="R207"/>
      <c r="S207"/>
      <c r="T207"/>
      <c r="U207" s="46"/>
      <c r="V207" s="46"/>
    </row>
    <row r="208" spans="1:22" ht="25.15" customHeight="1" x14ac:dyDescent="0.25">
      <c r="A208" s="17"/>
      <c r="G208"/>
      <c r="H208"/>
      <c r="J208"/>
      <c r="K208"/>
      <c r="L208"/>
      <c r="M208"/>
      <c r="N208"/>
      <c r="P208"/>
      <c r="Q208"/>
      <c r="R208"/>
      <c r="S208"/>
      <c r="T208"/>
      <c r="U208" s="46"/>
      <c r="V208" s="46"/>
    </row>
    <row r="209" spans="1:22" ht="25.15" customHeight="1" x14ac:dyDescent="0.25">
      <c r="A209" s="17"/>
      <c r="G209"/>
      <c r="H209"/>
      <c r="J209"/>
      <c r="K209"/>
      <c r="L209"/>
      <c r="M209"/>
      <c r="N209"/>
      <c r="P209"/>
      <c r="Q209"/>
      <c r="R209"/>
      <c r="S209"/>
      <c r="T209"/>
      <c r="U209" s="46"/>
      <c r="V209" s="46"/>
    </row>
    <row r="210" spans="1:22" ht="25.15" customHeight="1" x14ac:dyDescent="0.25">
      <c r="A210" s="17"/>
      <c r="G210"/>
      <c r="H210"/>
      <c r="J210"/>
      <c r="K210"/>
      <c r="L210"/>
      <c r="M210"/>
      <c r="N210"/>
      <c r="P210"/>
      <c r="Q210"/>
      <c r="R210"/>
      <c r="S210"/>
      <c r="T210"/>
      <c r="U210" s="46"/>
      <c r="V210" s="46"/>
    </row>
    <row r="211" spans="1:22" ht="25.15" customHeight="1" x14ac:dyDescent="0.25">
      <c r="A211" s="17"/>
      <c r="G211"/>
      <c r="H211"/>
      <c r="J211"/>
      <c r="K211"/>
      <c r="L211"/>
      <c r="M211"/>
      <c r="N211"/>
      <c r="P211"/>
      <c r="Q211"/>
      <c r="R211"/>
      <c r="S211"/>
      <c r="T211"/>
      <c r="U211" s="46"/>
      <c r="V211" s="46"/>
    </row>
    <row r="212" spans="1:22" ht="25.15" customHeight="1" x14ac:dyDescent="0.25">
      <c r="A212" s="17"/>
      <c r="G212"/>
      <c r="H212"/>
      <c r="J212"/>
      <c r="K212"/>
      <c r="L212"/>
      <c r="M212"/>
      <c r="N212"/>
      <c r="P212"/>
      <c r="Q212"/>
      <c r="R212"/>
      <c r="S212"/>
      <c r="T212"/>
      <c r="U212" s="46"/>
      <c r="V212" s="46"/>
    </row>
    <row r="213" spans="1:22" ht="25.15" customHeight="1" x14ac:dyDescent="0.25">
      <c r="A213" s="17"/>
      <c r="G213"/>
      <c r="H213"/>
      <c r="J213"/>
      <c r="K213"/>
      <c r="L213"/>
      <c r="M213"/>
      <c r="N213"/>
      <c r="P213"/>
      <c r="Q213"/>
      <c r="R213"/>
      <c r="S213"/>
      <c r="T213"/>
      <c r="U213" s="46"/>
      <c r="V213" s="46"/>
    </row>
    <row r="214" spans="1:22" ht="25.15" customHeight="1" x14ac:dyDescent="0.25">
      <c r="A214" s="17"/>
      <c r="G214"/>
      <c r="H214"/>
      <c r="J214"/>
      <c r="K214"/>
      <c r="L214"/>
      <c r="M214"/>
      <c r="N214"/>
      <c r="P214"/>
      <c r="Q214"/>
      <c r="R214"/>
      <c r="S214"/>
      <c r="T214"/>
      <c r="U214" s="46"/>
      <c r="V214" s="46"/>
    </row>
    <row r="215" spans="1:22" ht="25.15" customHeight="1" x14ac:dyDescent="0.25">
      <c r="A215" s="17"/>
      <c r="G215"/>
      <c r="H215"/>
      <c r="J215"/>
      <c r="K215"/>
      <c r="L215"/>
      <c r="M215"/>
      <c r="N215"/>
      <c r="P215"/>
      <c r="Q215"/>
      <c r="R215"/>
      <c r="S215"/>
      <c r="T215"/>
      <c r="U215" s="46"/>
      <c r="V215" s="46"/>
    </row>
    <row r="216" spans="1:22" ht="25.15" customHeight="1" x14ac:dyDescent="0.25">
      <c r="A216" s="17"/>
      <c r="G216"/>
      <c r="H216"/>
      <c r="J216"/>
      <c r="K216"/>
      <c r="L216"/>
      <c r="M216"/>
      <c r="N216"/>
      <c r="P216"/>
      <c r="Q216"/>
      <c r="R216"/>
      <c r="S216"/>
      <c r="T216"/>
      <c r="U216" s="46"/>
      <c r="V216" s="46"/>
    </row>
    <row r="217" spans="1:22" ht="25.15" customHeight="1" x14ac:dyDescent="0.25">
      <c r="A217" s="17"/>
      <c r="G217"/>
      <c r="H217"/>
      <c r="J217"/>
      <c r="K217"/>
      <c r="L217"/>
      <c r="M217"/>
      <c r="N217"/>
      <c r="P217"/>
      <c r="Q217"/>
      <c r="R217"/>
      <c r="S217"/>
      <c r="T217"/>
      <c r="U217" s="46"/>
      <c r="V217" s="46"/>
    </row>
    <row r="218" spans="1:22" ht="25.15" customHeight="1" x14ac:dyDescent="0.25">
      <c r="A218" s="17"/>
      <c r="G218"/>
      <c r="H218"/>
      <c r="J218"/>
      <c r="K218"/>
      <c r="L218"/>
      <c r="M218"/>
      <c r="N218"/>
      <c r="P218"/>
      <c r="Q218"/>
      <c r="R218"/>
      <c r="S218"/>
      <c r="T218"/>
      <c r="U218" s="46"/>
      <c r="V218" s="46"/>
    </row>
    <row r="219" spans="1:22" ht="25.15" customHeight="1" x14ac:dyDescent="0.25">
      <c r="A219" s="17"/>
      <c r="G219"/>
      <c r="H219"/>
      <c r="J219"/>
      <c r="K219"/>
      <c r="L219"/>
      <c r="M219"/>
      <c r="N219"/>
      <c r="P219"/>
      <c r="Q219"/>
      <c r="R219"/>
      <c r="S219"/>
      <c r="T219"/>
      <c r="U219" s="46"/>
      <c r="V219" s="46"/>
    </row>
    <row r="220" spans="1:22" ht="25.15" customHeight="1" x14ac:dyDescent="0.25">
      <c r="A220" s="17"/>
      <c r="G220"/>
      <c r="H220"/>
      <c r="J220"/>
      <c r="K220"/>
      <c r="L220"/>
      <c r="M220"/>
      <c r="N220"/>
      <c r="P220"/>
      <c r="Q220"/>
      <c r="R220"/>
      <c r="S220"/>
      <c r="T220"/>
      <c r="U220" s="46"/>
      <c r="V220" s="46"/>
    </row>
    <row r="221" spans="1:22" ht="25.15" customHeight="1" x14ac:dyDescent="0.25">
      <c r="A221" s="17"/>
      <c r="G221"/>
      <c r="H221"/>
      <c r="J221"/>
      <c r="K221"/>
      <c r="L221"/>
      <c r="M221"/>
      <c r="N221"/>
      <c r="P221"/>
      <c r="Q221"/>
      <c r="R221"/>
      <c r="S221"/>
      <c r="T221"/>
      <c r="U221" s="46"/>
      <c r="V221" s="46"/>
    </row>
    <row r="222" spans="1:22" ht="25.15" customHeight="1" x14ac:dyDescent="0.25">
      <c r="A222" s="17"/>
      <c r="G222"/>
      <c r="H222"/>
      <c r="J222"/>
      <c r="K222"/>
      <c r="L222"/>
      <c r="M222"/>
      <c r="N222"/>
      <c r="P222"/>
      <c r="Q222"/>
      <c r="R222"/>
      <c r="S222"/>
      <c r="T222"/>
      <c r="U222" s="46"/>
      <c r="V222" s="46"/>
    </row>
    <row r="223" spans="1:22" ht="25.15" customHeight="1" x14ac:dyDescent="0.25">
      <c r="A223" s="17"/>
      <c r="G223"/>
      <c r="H223"/>
      <c r="J223"/>
      <c r="K223"/>
      <c r="L223"/>
      <c r="M223"/>
      <c r="N223"/>
      <c r="P223"/>
      <c r="Q223"/>
      <c r="R223"/>
      <c r="S223"/>
      <c r="T223"/>
      <c r="U223" s="46"/>
      <c r="V223" s="46"/>
    </row>
    <row r="224" spans="1:22" ht="25.15" customHeight="1" x14ac:dyDescent="0.25">
      <c r="A224" s="17"/>
      <c r="G224"/>
      <c r="H224"/>
      <c r="J224"/>
      <c r="K224"/>
      <c r="L224"/>
      <c r="M224"/>
      <c r="N224"/>
      <c r="P224"/>
      <c r="Q224"/>
      <c r="R224"/>
      <c r="S224"/>
      <c r="T224"/>
      <c r="U224" s="46"/>
      <c r="V224" s="46"/>
    </row>
    <row r="225" spans="1:22" ht="25.15" customHeight="1" x14ac:dyDescent="0.25">
      <c r="A225" s="17"/>
      <c r="G225"/>
      <c r="H225"/>
      <c r="J225"/>
      <c r="K225"/>
      <c r="L225"/>
      <c r="M225"/>
      <c r="N225"/>
      <c r="P225"/>
      <c r="Q225"/>
      <c r="R225"/>
      <c r="S225"/>
      <c r="T225"/>
      <c r="U225" s="46"/>
      <c r="V225" s="46"/>
    </row>
    <row r="226" spans="1:22" ht="25.15" customHeight="1" x14ac:dyDescent="0.25">
      <c r="A226" s="17"/>
      <c r="G226"/>
      <c r="H226"/>
      <c r="J226"/>
      <c r="K226"/>
      <c r="L226"/>
      <c r="M226"/>
      <c r="N226"/>
      <c r="P226"/>
      <c r="Q226"/>
      <c r="R226"/>
      <c r="S226"/>
      <c r="T226"/>
      <c r="U226" s="46"/>
      <c r="V226" s="46"/>
    </row>
    <row r="227" spans="1:22" ht="25.15" customHeight="1" x14ac:dyDescent="0.25">
      <c r="A227" s="17"/>
      <c r="G227"/>
      <c r="H227"/>
      <c r="J227"/>
      <c r="K227"/>
      <c r="L227"/>
      <c r="M227"/>
      <c r="N227"/>
      <c r="P227"/>
      <c r="Q227"/>
      <c r="R227"/>
      <c r="S227"/>
      <c r="T227"/>
      <c r="U227" s="46"/>
      <c r="V227" s="46"/>
    </row>
    <row r="228" spans="1:22" ht="25.15" customHeight="1" x14ac:dyDescent="0.25">
      <c r="A228" s="17"/>
      <c r="G228"/>
      <c r="H228"/>
      <c r="J228"/>
      <c r="K228"/>
      <c r="L228"/>
      <c r="M228"/>
      <c r="N228"/>
      <c r="P228"/>
      <c r="Q228"/>
      <c r="R228"/>
      <c r="S228"/>
      <c r="T228"/>
      <c r="U228" s="46"/>
      <c r="V228" s="46"/>
    </row>
    <row r="229" spans="1:22" ht="25.15" customHeight="1" x14ac:dyDescent="0.25">
      <c r="A229" s="17"/>
      <c r="G229"/>
      <c r="H229"/>
      <c r="J229"/>
      <c r="K229"/>
      <c r="L229"/>
      <c r="M229"/>
      <c r="N229"/>
      <c r="P229"/>
      <c r="Q229"/>
      <c r="R229"/>
      <c r="S229"/>
      <c r="T229"/>
      <c r="U229" s="46"/>
      <c r="V229" s="46"/>
    </row>
    <row r="230" spans="1:22" ht="25.15" customHeight="1" x14ac:dyDescent="0.25">
      <c r="A230" s="17"/>
      <c r="G230"/>
      <c r="H230"/>
      <c r="J230"/>
      <c r="K230"/>
      <c r="L230"/>
      <c r="M230"/>
      <c r="N230"/>
      <c r="P230"/>
      <c r="Q230"/>
      <c r="R230"/>
      <c r="S230"/>
      <c r="T230"/>
      <c r="U230" s="46"/>
      <c r="V230" s="46"/>
    </row>
    <row r="231" spans="1:22" ht="25.15" customHeight="1" x14ac:dyDescent="0.25">
      <c r="A231" s="17"/>
      <c r="G231"/>
      <c r="H231"/>
      <c r="J231"/>
      <c r="K231"/>
      <c r="L231"/>
      <c r="M231"/>
      <c r="N231"/>
      <c r="P231"/>
      <c r="Q231"/>
      <c r="R231"/>
      <c r="S231"/>
      <c r="T231"/>
      <c r="U231" s="46"/>
      <c r="V231" s="46"/>
    </row>
    <row r="232" spans="1:22" ht="25.15" customHeight="1" x14ac:dyDescent="0.25">
      <c r="A232" s="17"/>
      <c r="G232"/>
      <c r="H232"/>
      <c r="J232"/>
      <c r="K232"/>
      <c r="L232"/>
      <c r="M232"/>
      <c r="N232"/>
      <c r="P232"/>
      <c r="Q232"/>
      <c r="R232"/>
      <c r="S232"/>
      <c r="T232"/>
      <c r="U232" s="46"/>
      <c r="V232" s="46"/>
    </row>
    <row r="233" spans="1:22" ht="25.15" customHeight="1" x14ac:dyDescent="0.25">
      <c r="A233" s="17"/>
      <c r="G233"/>
      <c r="H233"/>
      <c r="J233"/>
      <c r="K233"/>
      <c r="L233"/>
      <c r="M233"/>
      <c r="N233"/>
      <c r="P233"/>
      <c r="Q233"/>
      <c r="R233"/>
      <c r="S233"/>
      <c r="T233"/>
      <c r="U233" s="46"/>
      <c r="V233" s="46"/>
    </row>
    <row r="234" spans="1:22" ht="25.15" customHeight="1" x14ac:dyDescent="0.25">
      <c r="A234" s="17"/>
      <c r="G234"/>
      <c r="H234"/>
      <c r="J234"/>
      <c r="K234"/>
      <c r="L234"/>
      <c r="M234"/>
      <c r="N234"/>
      <c r="P234"/>
      <c r="Q234"/>
      <c r="R234"/>
      <c r="S234"/>
      <c r="T234"/>
      <c r="U234" s="46"/>
      <c r="V234" s="46"/>
    </row>
    <row r="235" spans="1:22" ht="25.15" customHeight="1" x14ac:dyDescent="0.25">
      <c r="A235" s="17"/>
      <c r="G235"/>
      <c r="H235"/>
      <c r="J235"/>
      <c r="K235"/>
      <c r="L235"/>
      <c r="M235"/>
      <c r="N235"/>
      <c r="P235"/>
      <c r="Q235"/>
      <c r="R235"/>
      <c r="S235"/>
      <c r="T235"/>
      <c r="U235" s="46"/>
      <c r="V235" s="46"/>
    </row>
    <row r="236" spans="1:22" ht="25.15" customHeight="1" x14ac:dyDescent="0.25">
      <c r="A236" s="17"/>
      <c r="G236"/>
      <c r="H236"/>
      <c r="J236"/>
      <c r="K236"/>
      <c r="L236"/>
      <c r="M236"/>
      <c r="N236"/>
      <c r="P236"/>
      <c r="Q236"/>
      <c r="R236"/>
      <c r="S236"/>
      <c r="T236"/>
      <c r="U236" s="46"/>
      <c r="V236" s="46"/>
    </row>
    <row r="237" spans="1:22" ht="25.15" customHeight="1" x14ac:dyDescent="0.25">
      <c r="A237" s="17"/>
      <c r="G237"/>
      <c r="H237"/>
      <c r="J237"/>
      <c r="K237"/>
      <c r="L237"/>
      <c r="M237"/>
      <c r="N237"/>
      <c r="P237"/>
      <c r="Q237"/>
      <c r="R237"/>
      <c r="S237"/>
      <c r="T237"/>
      <c r="U237" s="46"/>
      <c r="V237" s="46"/>
    </row>
    <row r="238" spans="1:22" ht="25.15" customHeight="1" x14ac:dyDescent="0.25">
      <c r="A238" s="17"/>
      <c r="G238"/>
      <c r="H238"/>
      <c r="J238"/>
      <c r="K238"/>
      <c r="L238"/>
      <c r="M238"/>
      <c r="N238"/>
      <c r="P238"/>
      <c r="Q238"/>
      <c r="R238"/>
      <c r="S238"/>
      <c r="T238"/>
      <c r="U238" s="46"/>
      <c r="V238" s="46"/>
    </row>
    <row r="239" spans="1:22" ht="25.15" customHeight="1" x14ac:dyDescent="0.25">
      <c r="A239" s="17"/>
      <c r="G239"/>
      <c r="H239"/>
      <c r="J239"/>
      <c r="K239"/>
      <c r="L239"/>
      <c r="M239"/>
      <c r="N239"/>
      <c r="P239"/>
      <c r="Q239"/>
      <c r="R239"/>
      <c r="S239"/>
      <c r="T239"/>
      <c r="U239" s="46"/>
      <c r="V239" s="46"/>
    </row>
    <row r="240" spans="1:22" ht="25.15" customHeight="1" x14ac:dyDescent="0.25">
      <c r="A240" s="17"/>
      <c r="G240"/>
      <c r="H240"/>
      <c r="J240"/>
      <c r="K240"/>
      <c r="L240"/>
      <c r="M240"/>
      <c r="N240"/>
      <c r="P240"/>
      <c r="Q240"/>
      <c r="R240"/>
      <c r="S240"/>
      <c r="T240"/>
      <c r="U240" s="46"/>
      <c r="V240" s="46"/>
    </row>
    <row r="241" spans="1:22" ht="25.15" customHeight="1" x14ac:dyDescent="0.25">
      <c r="A241" s="17"/>
      <c r="G241"/>
      <c r="H241"/>
      <c r="J241"/>
      <c r="K241"/>
      <c r="L241"/>
      <c r="M241"/>
      <c r="N241"/>
      <c r="P241"/>
      <c r="Q241"/>
      <c r="R241"/>
      <c r="S241"/>
      <c r="T241"/>
      <c r="U241" s="46"/>
      <c r="V241" s="46"/>
    </row>
    <row r="242" spans="1:22" ht="25.15" customHeight="1" x14ac:dyDescent="0.25">
      <c r="A242" s="17"/>
      <c r="G242"/>
      <c r="H242"/>
      <c r="J242"/>
      <c r="K242"/>
      <c r="L242"/>
      <c r="M242"/>
      <c r="N242"/>
      <c r="P242"/>
      <c r="Q242"/>
      <c r="R242"/>
      <c r="S242"/>
      <c r="T242"/>
      <c r="U242" s="46"/>
      <c r="V242" s="46"/>
    </row>
    <row r="243" spans="1:22" ht="25.15" customHeight="1" x14ac:dyDescent="0.25">
      <c r="A243" s="17"/>
      <c r="G243"/>
      <c r="H243"/>
      <c r="J243"/>
      <c r="K243"/>
      <c r="L243"/>
      <c r="M243"/>
      <c r="N243"/>
      <c r="P243"/>
      <c r="Q243"/>
      <c r="R243"/>
      <c r="S243"/>
      <c r="T243"/>
      <c r="U243" s="46"/>
      <c r="V243" s="46"/>
    </row>
    <row r="244" spans="1:22" ht="25.15" customHeight="1" x14ac:dyDescent="0.25">
      <c r="A244" s="17"/>
      <c r="G244"/>
      <c r="H244"/>
      <c r="J244"/>
      <c r="K244"/>
      <c r="L244"/>
      <c r="M244"/>
      <c r="N244"/>
      <c r="P244"/>
      <c r="Q244"/>
      <c r="R244"/>
      <c r="S244"/>
      <c r="T244"/>
      <c r="U244" s="46"/>
      <c r="V244" s="46"/>
    </row>
    <row r="245" spans="1:22" ht="25.15" customHeight="1" x14ac:dyDescent="0.25">
      <c r="A245" s="17"/>
      <c r="G245"/>
      <c r="H245"/>
      <c r="J245"/>
      <c r="K245"/>
      <c r="L245"/>
      <c r="M245"/>
      <c r="N245"/>
      <c r="P245"/>
      <c r="Q245"/>
      <c r="R245"/>
      <c r="S245"/>
      <c r="T245"/>
      <c r="U245" s="46"/>
      <c r="V245" s="46"/>
    </row>
    <row r="246" spans="1:22" ht="25.15" customHeight="1" x14ac:dyDescent="0.25">
      <c r="A246" s="17"/>
      <c r="G246"/>
      <c r="H246"/>
      <c r="J246"/>
      <c r="K246"/>
      <c r="L246"/>
      <c r="M246"/>
      <c r="N246"/>
      <c r="P246"/>
      <c r="Q246"/>
      <c r="R246"/>
      <c r="S246"/>
      <c r="T246"/>
      <c r="U246" s="46"/>
      <c r="V246" s="46"/>
    </row>
    <row r="247" spans="1:22" ht="25.15" customHeight="1" x14ac:dyDescent="0.25">
      <c r="A247" s="17"/>
      <c r="G247"/>
      <c r="H247"/>
      <c r="J247"/>
      <c r="K247"/>
      <c r="L247"/>
      <c r="M247"/>
      <c r="N247"/>
      <c r="P247"/>
      <c r="Q247"/>
      <c r="R247"/>
      <c r="S247"/>
      <c r="T247"/>
      <c r="U247" s="46"/>
      <c r="V247" s="46"/>
    </row>
    <row r="248" spans="1:22" ht="25.15" customHeight="1" x14ac:dyDescent="0.25">
      <c r="A248" s="17"/>
      <c r="G248"/>
      <c r="H248"/>
      <c r="J248"/>
      <c r="K248"/>
      <c r="L248"/>
      <c r="M248"/>
      <c r="N248"/>
      <c r="P248"/>
      <c r="Q248"/>
      <c r="R248"/>
      <c r="S248"/>
      <c r="T248"/>
      <c r="U248" s="46"/>
      <c r="V248" s="46"/>
    </row>
    <row r="249" spans="1:22" ht="25.15" customHeight="1" x14ac:dyDescent="0.25">
      <c r="A249" s="17"/>
      <c r="G249"/>
      <c r="H249"/>
      <c r="J249"/>
      <c r="K249"/>
      <c r="L249"/>
      <c r="M249"/>
      <c r="N249"/>
      <c r="P249"/>
      <c r="Q249"/>
      <c r="R249"/>
      <c r="S249"/>
      <c r="T249"/>
      <c r="U249" s="46"/>
      <c r="V249" s="46"/>
    </row>
    <row r="250" spans="1:22" ht="25.15" customHeight="1" x14ac:dyDescent="0.25">
      <c r="A250" s="17"/>
      <c r="G250"/>
      <c r="H250"/>
      <c r="J250"/>
      <c r="K250"/>
      <c r="L250"/>
      <c r="M250"/>
      <c r="N250"/>
      <c r="P250"/>
      <c r="Q250"/>
      <c r="R250"/>
      <c r="S250"/>
      <c r="T250"/>
      <c r="U250" s="46"/>
      <c r="V250" s="46"/>
    </row>
    <row r="251" spans="1:22" ht="25.15" customHeight="1" x14ac:dyDescent="0.25">
      <c r="A251" s="17"/>
      <c r="G251"/>
      <c r="H251"/>
      <c r="J251"/>
      <c r="K251"/>
      <c r="L251"/>
      <c r="M251"/>
      <c r="N251"/>
      <c r="P251"/>
      <c r="Q251"/>
      <c r="R251"/>
      <c r="S251"/>
      <c r="T251"/>
      <c r="U251" s="46"/>
      <c r="V251" s="46"/>
    </row>
    <row r="252" spans="1:22" ht="25.15" customHeight="1" x14ac:dyDescent="0.25">
      <c r="A252" s="17"/>
      <c r="G252"/>
      <c r="H252"/>
      <c r="J252"/>
      <c r="K252"/>
      <c r="L252"/>
      <c r="M252"/>
      <c r="N252"/>
      <c r="P252"/>
      <c r="Q252"/>
      <c r="R252"/>
      <c r="S252"/>
      <c r="T252"/>
      <c r="U252" s="46"/>
      <c r="V252" s="46"/>
    </row>
    <row r="253" spans="1:22" ht="25.15" customHeight="1" x14ac:dyDescent="0.25">
      <c r="A253" s="17"/>
      <c r="G253"/>
      <c r="H253"/>
      <c r="J253"/>
      <c r="K253"/>
      <c r="L253"/>
      <c r="M253"/>
      <c r="N253"/>
      <c r="P253"/>
      <c r="Q253"/>
      <c r="R253"/>
      <c r="S253"/>
      <c r="T253"/>
      <c r="U253" s="46"/>
      <c r="V253" s="46"/>
    </row>
    <row r="254" spans="1:22" ht="25.15" customHeight="1" x14ac:dyDescent="0.25">
      <c r="A254" s="17"/>
      <c r="G254"/>
      <c r="H254"/>
      <c r="J254"/>
      <c r="K254"/>
      <c r="L254"/>
      <c r="M254"/>
      <c r="N254"/>
      <c r="P254"/>
      <c r="Q254"/>
      <c r="R254"/>
      <c r="S254"/>
      <c r="T254"/>
      <c r="U254" s="46"/>
      <c r="V254" s="46"/>
    </row>
    <row r="255" spans="1:22" ht="25.15" customHeight="1" x14ac:dyDescent="0.25">
      <c r="A255" s="17"/>
      <c r="G255"/>
      <c r="H255"/>
      <c r="J255"/>
      <c r="K255"/>
      <c r="L255"/>
      <c r="M255"/>
      <c r="N255"/>
      <c r="P255"/>
      <c r="Q255"/>
      <c r="R255"/>
      <c r="S255"/>
      <c r="T255"/>
      <c r="U255" s="46"/>
      <c r="V255" s="46"/>
    </row>
    <row r="256" spans="1:22" ht="25.15" customHeight="1" x14ac:dyDescent="0.25">
      <c r="A256" s="17"/>
      <c r="G256"/>
      <c r="H256"/>
      <c r="J256"/>
      <c r="K256"/>
      <c r="L256"/>
      <c r="M256"/>
      <c r="N256"/>
      <c r="P256"/>
      <c r="Q256"/>
      <c r="R256"/>
      <c r="S256"/>
      <c r="T256"/>
      <c r="U256" s="46"/>
      <c r="V256" s="46"/>
    </row>
    <row r="257" spans="1:22" ht="25.15" customHeight="1" x14ac:dyDescent="0.25">
      <c r="A257" s="17"/>
      <c r="G257"/>
      <c r="H257"/>
      <c r="J257"/>
      <c r="K257"/>
      <c r="L257"/>
      <c r="M257"/>
      <c r="N257"/>
      <c r="P257"/>
      <c r="Q257"/>
      <c r="R257"/>
      <c r="S257"/>
      <c r="T257"/>
      <c r="U257" s="46"/>
      <c r="V257" s="46"/>
    </row>
    <row r="258" spans="1:22" ht="25.15" customHeight="1" x14ac:dyDescent="0.25">
      <c r="A258" s="17"/>
      <c r="G258"/>
      <c r="H258"/>
      <c r="J258"/>
      <c r="K258"/>
      <c r="L258"/>
      <c r="M258"/>
      <c r="N258"/>
      <c r="P258"/>
      <c r="Q258"/>
      <c r="R258"/>
      <c r="S258"/>
      <c r="T258"/>
      <c r="U258" s="46"/>
      <c r="V258" s="46"/>
    </row>
    <row r="259" spans="1:22" ht="25.15" customHeight="1" x14ac:dyDescent="0.25">
      <c r="A259" s="17"/>
      <c r="G259"/>
      <c r="H259"/>
      <c r="J259"/>
      <c r="K259"/>
      <c r="L259"/>
      <c r="M259"/>
      <c r="N259"/>
      <c r="P259"/>
      <c r="Q259"/>
      <c r="R259"/>
      <c r="S259"/>
      <c r="T259"/>
      <c r="U259" s="46"/>
      <c r="V259" s="46"/>
    </row>
    <row r="260" spans="1:22" ht="25.15" customHeight="1" x14ac:dyDescent="0.25">
      <c r="A260" s="17"/>
      <c r="G260"/>
      <c r="H260"/>
      <c r="J260"/>
      <c r="K260"/>
      <c r="L260"/>
      <c r="M260"/>
      <c r="N260"/>
      <c r="P260"/>
      <c r="Q260"/>
      <c r="R260"/>
      <c r="S260"/>
      <c r="T260"/>
      <c r="U260" s="46"/>
      <c r="V260" s="46"/>
    </row>
    <row r="261" spans="1:22" ht="25.15" customHeight="1" x14ac:dyDescent="0.25">
      <c r="A261" s="17"/>
      <c r="G261"/>
      <c r="H261"/>
      <c r="J261"/>
      <c r="K261"/>
      <c r="L261"/>
      <c r="M261"/>
      <c r="N261"/>
      <c r="P261"/>
      <c r="Q261"/>
      <c r="R261"/>
      <c r="S261"/>
      <c r="T261"/>
      <c r="U261" s="46"/>
      <c r="V261" s="46"/>
    </row>
    <row r="262" spans="1:22" ht="25.15" customHeight="1" x14ac:dyDescent="0.25">
      <c r="A262" s="17"/>
      <c r="G262"/>
      <c r="H262"/>
      <c r="J262"/>
      <c r="K262"/>
      <c r="L262"/>
      <c r="M262"/>
      <c r="N262"/>
      <c r="P262"/>
      <c r="Q262"/>
      <c r="R262"/>
      <c r="S262"/>
      <c r="T262"/>
      <c r="U262" s="46"/>
      <c r="V262" s="46"/>
    </row>
    <row r="263" spans="1:22" ht="25.15" customHeight="1" x14ac:dyDescent="0.25">
      <c r="A263" s="17"/>
      <c r="G263"/>
      <c r="H263"/>
      <c r="J263"/>
      <c r="K263"/>
      <c r="L263"/>
      <c r="M263"/>
      <c r="N263"/>
      <c r="P263"/>
      <c r="Q263"/>
      <c r="R263"/>
      <c r="S263"/>
      <c r="T263"/>
      <c r="U263" s="46"/>
      <c r="V263" s="46"/>
    </row>
    <row r="264" spans="1:22" ht="25.15" customHeight="1" x14ac:dyDescent="0.25">
      <c r="A264" s="17"/>
      <c r="G264"/>
      <c r="H264"/>
      <c r="J264"/>
      <c r="K264"/>
      <c r="L264"/>
      <c r="M264"/>
      <c r="N264"/>
      <c r="P264"/>
      <c r="Q264"/>
      <c r="R264"/>
      <c r="S264"/>
      <c r="T264"/>
      <c r="U264" s="46"/>
      <c r="V264" s="46"/>
    </row>
    <row r="265" spans="1:22" ht="25.15" customHeight="1" x14ac:dyDescent="0.25">
      <c r="A265" s="17"/>
      <c r="G265"/>
      <c r="H265"/>
      <c r="J265"/>
      <c r="K265"/>
      <c r="L265"/>
      <c r="M265"/>
      <c r="N265"/>
      <c r="P265"/>
      <c r="Q265"/>
      <c r="R265"/>
      <c r="S265"/>
      <c r="T265"/>
      <c r="U265" s="46"/>
      <c r="V265" s="46"/>
    </row>
    <row r="266" spans="1:22" ht="25.15" customHeight="1" x14ac:dyDescent="0.25">
      <c r="A266" s="17"/>
      <c r="G266"/>
      <c r="H266"/>
      <c r="J266"/>
      <c r="K266"/>
      <c r="L266"/>
      <c r="M266"/>
      <c r="N266"/>
      <c r="P266"/>
      <c r="Q266"/>
      <c r="R266"/>
      <c r="S266"/>
      <c r="T266"/>
      <c r="U266" s="46"/>
      <c r="V266" s="46"/>
    </row>
    <row r="267" spans="1:22" ht="25.15" customHeight="1" x14ac:dyDescent="0.25">
      <c r="A267" s="17"/>
      <c r="G267"/>
      <c r="H267"/>
      <c r="J267"/>
      <c r="K267"/>
      <c r="L267"/>
      <c r="M267"/>
      <c r="N267"/>
      <c r="P267"/>
      <c r="Q267"/>
      <c r="R267"/>
      <c r="S267"/>
      <c r="T267"/>
      <c r="U267" s="46"/>
      <c r="V267" s="46"/>
    </row>
    <row r="268" spans="1:22" ht="25.15" customHeight="1" x14ac:dyDescent="0.25">
      <c r="A268" s="17"/>
      <c r="G268"/>
      <c r="H268"/>
      <c r="J268"/>
      <c r="K268"/>
      <c r="L268"/>
      <c r="M268"/>
      <c r="N268"/>
      <c r="P268"/>
      <c r="Q268"/>
      <c r="R268"/>
      <c r="S268"/>
      <c r="T268"/>
      <c r="U268" s="46"/>
      <c r="V268" s="46"/>
    </row>
    <row r="269" spans="1:22" ht="25.15" customHeight="1" x14ac:dyDescent="0.25">
      <c r="A269" s="17"/>
      <c r="G269"/>
      <c r="H269"/>
      <c r="J269"/>
      <c r="K269"/>
      <c r="L269"/>
      <c r="M269"/>
      <c r="N269"/>
      <c r="P269"/>
      <c r="Q269"/>
      <c r="R269"/>
      <c r="S269"/>
      <c r="T269"/>
      <c r="U269" s="46"/>
      <c r="V269" s="46"/>
    </row>
    <row r="270" spans="1:22" ht="25.15" customHeight="1" x14ac:dyDescent="0.25">
      <c r="A270" s="17"/>
      <c r="G270"/>
      <c r="H270"/>
      <c r="J270"/>
      <c r="K270"/>
      <c r="L270"/>
      <c r="M270"/>
      <c r="N270"/>
      <c r="P270"/>
      <c r="Q270"/>
      <c r="R270"/>
      <c r="S270"/>
      <c r="T270"/>
      <c r="U270" s="46"/>
      <c r="V270" s="46"/>
    </row>
    <row r="271" spans="1:22" ht="25.15" customHeight="1" x14ac:dyDescent="0.25">
      <c r="A271" s="17"/>
      <c r="G271"/>
      <c r="H271"/>
      <c r="J271"/>
      <c r="K271"/>
      <c r="L271"/>
      <c r="M271"/>
      <c r="N271"/>
      <c r="P271"/>
      <c r="Q271"/>
      <c r="R271"/>
      <c r="S271"/>
      <c r="T271"/>
      <c r="U271" s="46"/>
      <c r="V271" s="46"/>
    </row>
    <row r="272" spans="1:22" ht="25.15" customHeight="1" x14ac:dyDescent="0.25">
      <c r="A272" s="17"/>
      <c r="G272"/>
      <c r="H272"/>
      <c r="J272"/>
      <c r="K272"/>
      <c r="L272"/>
      <c r="M272"/>
      <c r="N272"/>
      <c r="P272"/>
      <c r="Q272"/>
      <c r="R272"/>
      <c r="S272"/>
      <c r="T272"/>
      <c r="U272" s="46"/>
      <c r="V272" s="46"/>
    </row>
    <row r="273" spans="1:22" ht="25.15" customHeight="1" x14ac:dyDescent="0.25">
      <c r="A273" s="17"/>
      <c r="G273"/>
      <c r="H273"/>
      <c r="J273"/>
      <c r="K273"/>
      <c r="L273"/>
      <c r="M273"/>
      <c r="N273"/>
      <c r="P273"/>
      <c r="Q273"/>
      <c r="R273"/>
      <c r="S273"/>
      <c r="T273"/>
      <c r="U273" s="46"/>
      <c r="V273" s="46"/>
    </row>
    <row r="274" spans="1:22" ht="25.15" customHeight="1" x14ac:dyDescent="0.25">
      <c r="A274" s="17"/>
      <c r="G274"/>
      <c r="H274"/>
      <c r="J274"/>
      <c r="K274"/>
      <c r="L274"/>
      <c r="M274"/>
      <c r="N274"/>
      <c r="P274"/>
      <c r="Q274"/>
      <c r="R274"/>
      <c r="S274"/>
      <c r="T274"/>
      <c r="U274" s="46"/>
      <c r="V274" s="46"/>
    </row>
    <row r="275" spans="1:22" ht="25.15" customHeight="1" x14ac:dyDescent="0.25">
      <c r="A275" s="17"/>
      <c r="G275"/>
      <c r="H275"/>
      <c r="J275"/>
      <c r="K275"/>
      <c r="L275"/>
      <c r="M275"/>
      <c r="N275"/>
      <c r="P275"/>
      <c r="Q275"/>
      <c r="R275"/>
      <c r="S275"/>
      <c r="T275"/>
      <c r="U275" s="46"/>
      <c r="V275" s="46"/>
    </row>
    <row r="276" spans="1:22" ht="25.15" customHeight="1" x14ac:dyDescent="0.25">
      <c r="A276" s="17"/>
      <c r="G276"/>
      <c r="H276"/>
      <c r="J276"/>
      <c r="K276"/>
      <c r="L276"/>
      <c r="M276"/>
      <c r="N276"/>
      <c r="P276"/>
      <c r="Q276"/>
      <c r="R276"/>
      <c r="S276"/>
      <c r="T276"/>
      <c r="U276" s="46"/>
      <c r="V276" s="46"/>
    </row>
    <row r="277" spans="1:22" ht="25.15" customHeight="1" x14ac:dyDescent="0.25">
      <c r="A277" s="17"/>
      <c r="G277"/>
      <c r="H277"/>
      <c r="J277"/>
      <c r="K277"/>
      <c r="L277"/>
      <c r="M277"/>
      <c r="N277"/>
      <c r="P277"/>
      <c r="Q277"/>
      <c r="R277"/>
      <c r="S277"/>
      <c r="T277"/>
      <c r="U277" s="46"/>
      <c r="V277" s="46"/>
    </row>
    <row r="278" spans="1:22" ht="25.15" customHeight="1" x14ac:dyDescent="0.25">
      <c r="A278" s="17"/>
      <c r="G278"/>
      <c r="H278"/>
      <c r="J278"/>
      <c r="K278"/>
      <c r="L278"/>
      <c r="M278"/>
      <c r="N278"/>
      <c r="P278"/>
      <c r="Q278"/>
      <c r="R278"/>
      <c r="S278"/>
      <c r="T278"/>
      <c r="U278" s="46"/>
      <c r="V278" s="46"/>
    </row>
    <row r="279" spans="1:22" ht="25.15" customHeight="1" x14ac:dyDescent="0.25">
      <c r="A279" s="17"/>
      <c r="G279"/>
      <c r="H279"/>
      <c r="J279"/>
      <c r="K279"/>
      <c r="L279"/>
      <c r="M279"/>
      <c r="N279"/>
      <c r="P279"/>
      <c r="Q279"/>
      <c r="R279"/>
      <c r="S279"/>
      <c r="T279"/>
      <c r="U279" s="46"/>
      <c r="V279" s="46"/>
    </row>
    <row r="280" spans="1:22" ht="25.15" customHeight="1" x14ac:dyDescent="0.25">
      <c r="A280" s="17"/>
      <c r="G280"/>
      <c r="H280"/>
      <c r="J280"/>
      <c r="K280"/>
      <c r="L280"/>
      <c r="M280"/>
      <c r="N280"/>
      <c r="P280"/>
      <c r="Q280"/>
      <c r="R280"/>
      <c r="S280"/>
      <c r="T280"/>
      <c r="U280" s="46"/>
      <c r="V280" s="46"/>
    </row>
    <row r="281" spans="1:22" ht="25.15" customHeight="1" x14ac:dyDescent="0.25">
      <c r="A281" s="17"/>
      <c r="G281"/>
      <c r="H281"/>
      <c r="J281"/>
      <c r="K281"/>
      <c r="L281"/>
      <c r="M281"/>
      <c r="N281"/>
      <c r="P281"/>
      <c r="Q281"/>
      <c r="R281"/>
      <c r="S281"/>
      <c r="T281"/>
      <c r="U281" s="46"/>
      <c r="V281" s="46"/>
    </row>
    <row r="282" spans="1:22" ht="25.15" customHeight="1" x14ac:dyDescent="0.25">
      <c r="A282" s="17"/>
      <c r="G282"/>
      <c r="H282"/>
      <c r="J282"/>
      <c r="K282"/>
      <c r="L282"/>
      <c r="M282"/>
      <c r="N282"/>
      <c r="P282"/>
      <c r="Q282"/>
      <c r="R282"/>
      <c r="S282"/>
      <c r="T282"/>
      <c r="U282" s="46"/>
      <c r="V282" s="46"/>
    </row>
    <row r="283" spans="1:22" ht="25.15" customHeight="1" x14ac:dyDescent="0.25">
      <c r="A283" s="17"/>
      <c r="G283"/>
      <c r="H283"/>
      <c r="J283"/>
      <c r="K283"/>
      <c r="L283"/>
      <c r="M283"/>
      <c r="N283"/>
      <c r="P283"/>
      <c r="Q283"/>
      <c r="R283"/>
      <c r="S283"/>
      <c r="T283"/>
      <c r="U283" s="46"/>
      <c r="V283" s="46"/>
    </row>
    <row r="284" spans="1:22" ht="25.15" customHeight="1" x14ac:dyDescent="0.25">
      <c r="A284" s="17"/>
      <c r="G284"/>
      <c r="H284"/>
      <c r="J284"/>
      <c r="K284"/>
      <c r="L284"/>
      <c r="M284"/>
      <c r="N284"/>
      <c r="P284"/>
      <c r="Q284"/>
      <c r="R284"/>
      <c r="S284"/>
      <c r="T284"/>
      <c r="U284" s="46"/>
      <c r="V284" s="46"/>
    </row>
    <row r="285" spans="1:22" ht="25.15" customHeight="1" x14ac:dyDescent="0.25">
      <c r="A285" s="17"/>
      <c r="G285"/>
      <c r="H285"/>
      <c r="J285"/>
      <c r="K285"/>
      <c r="L285"/>
      <c r="M285"/>
      <c r="N285"/>
      <c r="P285"/>
      <c r="Q285"/>
      <c r="R285"/>
      <c r="S285"/>
      <c r="T285"/>
      <c r="U285" s="46"/>
      <c r="V285" s="46"/>
    </row>
    <row r="286" spans="1:22" ht="25.15" customHeight="1" x14ac:dyDescent="0.25">
      <c r="A286" s="17"/>
      <c r="G286"/>
      <c r="H286"/>
      <c r="J286"/>
      <c r="K286"/>
      <c r="L286"/>
      <c r="M286"/>
      <c r="N286"/>
      <c r="P286"/>
      <c r="Q286"/>
      <c r="R286"/>
      <c r="S286"/>
      <c r="T286"/>
      <c r="U286" s="46"/>
      <c r="V286" s="46"/>
    </row>
    <row r="287" spans="1:22" ht="25.15" customHeight="1" x14ac:dyDescent="0.25">
      <c r="A287" s="17"/>
      <c r="G287"/>
      <c r="H287"/>
      <c r="J287"/>
      <c r="K287"/>
      <c r="L287"/>
      <c r="M287"/>
      <c r="N287"/>
      <c r="P287"/>
      <c r="Q287"/>
      <c r="R287"/>
      <c r="S287"/>
      <c r="T287"/>
      <c r="U287" s="46"/>
      <c r="V287" s="46"/>
    </row>
    <row r="288" spans="1:22" ht="25.15" customHeight="1" x14ac:dyDescent="0.25">
      <c r="A288" s="17"/>
      <c r="G288"/>
      <c r="H288"/>
      <c r="J288"/>
      <c r="K288"/>
      <c r="L288"/>
      <c r="M288"/>
      <c r="N288"/>
      <c r="P288"/>
      <c r="Q288"/>
      <c r="R288"/>
      <c r="S288"/>
      <c r="T288"/>
      <c r="U288" s="46"/>
      <c r="V288" s="46"/>
    </row>
    <row r="289" spans="1:22" ht="25.15" customHeight="1" x14ac:dyDescent="0.25">
      <c r="A289" s="17"/>
      <c r="G289"/>
      <c r="H289"/>
      <c r="J289"/>
      <c r="K289"/>
      <c r="L289"/>
      <c r="M289"/>
      <c r="N289"/>
      <c r="P289"/>
      <c r="Q289"/>
      <c r="R289"/>
      <c r="S289"/>
      <c r="T289"/>
      <c r="U289" s="46"/>
      <c r="V289" s="46"/>
    </row>
    <row r="290" spans="1:22" ht="25.15" customHeight="1" x14ac:dyDescent="0.25">
      <c r="A290" s="17"/>
      <c r="G290"/>
      <c r="H290"/>
      <c r="J290"/>
      <c r="K290"/>
      <c r="L290"/>
      <c r="M290"/>
      <c r="N290"/>
      <c r="P290"/>
      <c r="Q290"/>
      <c r="R290"/>
      <c r="S290"/>
      <c r="T290"/>
      <c r="U290" s="46"/>
      <c r="V290" s="46"/>
    </row>
    <row r="291" spans="1:22" ht="25.15" customHeight="1" x14ac:dyDescent="0.25">
      <c r="A291" s="17"/>
      <c r="G291"/>
      <c r="H291"/>
      <c r="J291"/>
      <c r="K291"/>
      <c r="L291"/>
      <c r="M291"/>
      <c r="N291"/>
      <c r="P291"/>
      <c r="Q291"/>
      <c r="R291"/>
      <c r="S291"/>
      <c r="T291"/>
      <c r="U291" s="46"/>
      <c r="V291" s="46"/>
    </row>
    <row r="292" spans="1:22" ht="25.15" customHeight="1" x14ac:dyDescent="0.25">
      <c r="A292" s="17"/>
      <c r="G292"/>
      <c r="H292"/>
      <c r="J292"/>
      <c r="K292"/>
      <c r="L292"/>
      <c r="M292"/>
      <c r="N292"/>
      <c r="P292"/>
      <c r="Q292"/>
      <c r="R292"/>
      <c r="S292"/>
      <c r="T292"/>
      <c r="U292" s="46"/>
      <c r="V292" s="46"/>
    </row>
    <row r="293" spans="1:22" ht="25.15" customHeight="1" x14ac:dyDescent="0.25">
      <c r="A293" s="17"/>
      <c r="G293"/>
      <c r="H293"/>
      <c r="J293"/>
      <c r="K293"/>
      <c r="L293"/>
      <c r="M293"/>
      <c r="N293"/>
      <c r="P293"/>
      <c r="Q293"/>
      <c r="R293"/>
      <c r="S293"/>
      <c r="T293"/>
      <c r="U293" s="46"/>
      <c r="V293" s="46"/>
    </row>
    <row r="294" spans="1:22" ht="25.15" customHeight="1" x14ac:dyDescent="0.25">
      <c r="A294" s="17"/>
      <c r="G294"/>
      <c r="H294"/>
      <c r="J294"/>
      <c r="K294"/>
      <c r="L294"/>
      <c r="M294"/>
      <c r="N294"/>
      <c r="P294"/>
      <c r="Q294"/>
      <c r="R294"/>
      <c r="S294"/>
      <c r="T294"/>
      <c r="U294" s="46"/>
      <c r="V294" s="46"/>
    </row>
    <row r="295" spans="1:22" ht="25.15" customHeight="1" x14ac:dyDescent="0.25">
      <c r="A295" s="17"/>
      <c r="G295"/>
      <c r="H295"/>
      <c r="J295"/>
      <c r="K295"/>
      <c r="L295"/>
      <c r="M295"/>
      <c r="N295"/>
      <c r="P295"/>
      <c r="Q295"/>
      <c r="R295"/>
      <c r="S295"/>
      <c r="T295"/>
      <c r="U295" s="46"/>
      <c r="V295" s="46"/>
    </row>
    <row r="296" spans="1:22" ht="25.15" customHeight="1" x14ac:dyDescent="0.25">
      <c r="A296" s="17"/>
      <c r="G296"/>
      <c r="H296"/>
      <c r="J296"/>
      <c r="K296"/>
      <c r="L296"/>
      <c r="M296"/>
      <c r="N296"/>
      <c r="P296"/>
      <c r="Q296"/>
      <c r="R296"/>
      <c r="S296"/>
      <c r="T296"/>
      <c r="U296" s="46"/>
      <c r="V296" s="46"/>
    </row>
    <row r="297" spans="1:22" ht="25.15" customHeight="1" x14ac:dyDescent="0.25">
      <c r="A297" s="17"/>
      <c r="G297"/>
      <c r="H297"/>
      <c r="J297"/>
      <c r="K297"/>
      <c r="L297"/>
      <c r="M297"/>
      <c r="N297"/>
      <c r="P297"/>
      <c r="Q297"/>
      <c r="R297"/>
      <c r="S297"/>
      <c r="T297"/>
      <c r="U297" s="46"/>
      <c r="V297" s="46"/>
    </row>
    <row r="298" spans="1:22" ht="25.15" customHeight="1" x14ac:dyDescent="0.25">
      <c r="A298" s="17"/>
      <c r="G298"/>
      <c r="H298"/>
      <c r="J298"/>
      <c r="K298"/>
      <c r="L298"/>
      <c r="M298"/>
      <c r="N298"/>
      <c r="P298"/>
      <c r="Q298"/>
      <c r="R298"/>
      <c r="S298"/>
      <c r="T298"/>
      <c r="U298" s="46"/>
      <c r="V298" s="46"/>
    </row>
    <row r="299" spans="1:22" ht="25.15" customHeight="1" x14ac:dyDescent="0.25">
      <c r="A299" s="17"/>
      <c r="G299"/>
      <c r="H299"/>
      <c r="J299"/>
      <c r="K299"/>
      <c r="L299"/>
      <c r="M299"/>
      <c r="N299"/>
      <c r="P299"/>
      <c r="Q299"/>
      <c r="R299"/>
      <c r="S299"/>
      <c r="T299"/>
      <c r="U299" s="46"/>
      <c r="V299" s="46"/>
    </row>
    <row r="300" spans="1:22" ht="25.15" customHeight="1" x14ac:dyDescent="0.25">
      <c r="A300" s="17"/>
      <c r="G300"/>
      <c r="H300"/>
      <c r="J300"/>
      <c r="K300"/>
      <c r="L300"/>
      <c r="M300"/>
      <c r="N300"/>
      <c r="P300"/>
      <c r="Q300"/>
      <c r="R300"/>
      <c r="S300"/>
      <c r="T300"/>
      <c r="U300" s="46"/>
      <c r="V300" s="46"/>
    </row>
    <row r="301" spans="1:22" ht="25.15" customHeight="1" x14ac:dyDescent="0.25">
      <c r="A301" s="17"/>
      <c r="G301"/>
      <c r="H301"/>
      <c r="J301"/>
      <c r="K301"/>
      <c r="L301"/>
      <c r="M301"/>
      <c r="N301"/>
      <c r="P301"/>
      <c r="Q301"/>
      <c r="R301"/>
      <c r="S301"/>
      <c r="T301"/>
      <c r="U301" s="46"/>
      <c r="V301" s="46"/>
    </row>
    <row r="302" spans="1:22" ht="25.15" customHeight="1" x14ac:dyDescent="0.25">
      <c r="A302" s="17"/>
      <c r="G302"/>
      <c r="H302"/>
      <c r="J302"/>
      <c r="K302"/>
      <c r="L302"/>
      <c r="M302"/>
      <c r="N302"/>
      <c r="P302"/>
      <c r="Q302"/>
      <c r="R302"/>
      <c r="S302"/>
      <c r="T302"/>
      <c r="U302" s="46"/>
      <c r="V302" s="46"/>
    </row>
    <row r="303" spans="1:22" ht="25.15" customHeight="1" x14ac:dyDescent="0.25">
      <c r="A303" s="17"/>
      <c r="G303"/>
      <c r="H303"/>
      <c r="J303"/>
      <c r="K303"/>
      <c r="L303"/>
      <c r="M303"/>
      <c r="N303"/>
      <c r="P303"/>
      <c r="Q303"/>
      <c r="R303"/>
      <c r="S303"/>
      <c r="T303"/>
      <c r="U303" s="46"/>
      <c r="V303" s="46"/>
    </row>
    <row r="304" spans="1:22" ht="25.15" customHeight="1" x14ac:dyDescent="0.25">
      <c r="A304" s="17"/>
      <c r="G304"/>
      <c r="H304"/>
      <c r="J304"/>
      <c r="K304"/>
      <c r="L304"/>
      <c r="M304"/>
      <c r="N304"/>
      <c r="P304"/>
      <c r="Q304"/>
      <c r="R304"/>
      <c r="S304"/>
      <c r="T304"/>
      <c r="U304" s="46"/>
      <c r="V304" s="46"/>
    </row>
    <row r="305" spans="1:22" ht="25.15" customHeight="1" x14ac:dyDescent="0.25">
      <c r="A305" s="17"/>
      <c r="G305"/>
      <c r="H305"/>
      <c r="J305"/>
      <c r="K305"/>
      <c r="L305"/>
      <c r="M305"/>
      <c r="N305"/>
      <c r="P305"/>
      <c r="Q305"/>
      <c r="R305"/>
      <c r="S305"/>
      <c r="T305"/>
      <c r="U305" s="46"/>
      <c r="V305" s="46"/>
    </row>
    <row r="306" spans="1:22" ht="25.15" customHeight="1" x14ac:dyDescent="0.25">
      <c r="A306" s="17"/>
      <c r="G306"/>
      <c r="H306"/>
      <c r="J306"/>
      <c r="K306"/>
      <c r="L306"/>
      <c r="M306"/>
      <c r="N306"/>
      <c r="P306"/>
      <c r="Q306"/>
      <c r="R306"/>
      <c r="S306"/>
      <c r="T306"/>
      <c r="U306" s="46"/>
      <c r="V306" s="46"/>
    </row>
    <row r="307" spans="1:22" ht="25.15" customHeight="1" x14ac:dyDescent="0.25">
      <c r="A307" s="17"/>
      <c r="G307"/>
      <c r="H307"/>
      <c r="J307"/>
      <c r="K307"/>
      <c r="L307"/>
      <c r="M307"/>
      <c r="N307"/>
      <c r="P307"/>
      <c r="Q307"/>
      <c r="R307"/>
      <c r="S307"/>
      <c r="T307"/>
      <c r="U307" s="46"/>
      <c r="V307" s="46"/>
    </row>
    <row r="308" spans="1:22" ht="25.15" customHeight="1" x14ac:dyDescent="0.25">
      <c r="A308" s="17"/>
      <c r="G308"/>
      <c r="H308"/>
      <c r="J308"/>
      <c r="K308"/>
      <c r="L308"/>
      <c r="M308"/>
      <c r="N308"/>
      <c r="P308"/>
      <c r="Q308"/>
      <c r="R308"/>
      <c r="S308"/>
      <c r="T308"/>
      <c r="U308" s="46"/>
      <c r="V308" s="46"/>
    </row>
    <row r="309" spans="1:22" ht="25.15" customHeight="1" x14ac:dyDescent="0.25">
      <c r="A309" s="17"/>
      <c r="G309"/>
      <c r="H309"/>
      <c r="J309"/>
      <c r="K309"/>
      <c r="L309"/>
      <c r="M309"/>
      <c r="N309"/>
      <c r="P309"/>
      <c r="Q309"/>
      <c r="R309"/>
      <c r="S309"/>
      <c r="T309"/>
      <c r="U309" s="46"/>
      <c r="V309" s="46"/>
    </row>
    <row r="310" spans="1:22" ht="25.15" customHeight="1" x14ac:dyDescent="0.25">
      <c r="A310" s="17"/>
      <c r="G310"/>
      <c r="H310"/>
      <c r="J310"/>
      <c r="K310"/>
      <c r="L310"/>
      <c r="M310"/>
      <c r="N310"/>
      <c r="P310"/>
      <c r="Q310"/>
      <c r="R310"/>
      <c r="S310"/>
      <c r="T310"/>
      <c r="U310" s="46"/>
      <c r="V310" s="46"/>
    </row>
    <row r="311" spans="1:22" ht="25.15" customHeight="1" x14ac:dyDescent="0.25">
      <c r="A311" s="17"/>
      <c r="G311"/>
      <c r="H311"/>
      <c r="J311"/>
      <c r="K311"/>
      <c r="L311"/>
      <c r="M311"/>
      <c r="N311"/>
      <c r="P311"/>
      <c r="Q311"/>
      <c r="R311"/>
      <c r="S311"/>
      <c r="T311"/>
      <c r="U311" s="46"/>
      <c r="V311" s="46"/>
    </row>
    <row r="312" spans="1:22" ht="25.15" customHeight="1" x14ac:dyDescent="0.25">
      <c r="A312" s="17"/>
      <c r="G312"/>
      <c r="H312"/>
      <c r="J312"/>
      <c r="K312"/>
      <c r="L312"/>
      <c r="M312"/>
      <c r="N312"/>
      <c r="P312"/>
      <c r="Q312"/>
      <c r="R312"/>
      <c r="S312"/>
      <c r="T312"/>
      <c r="U312" s="46"/>
      <c r="V312" s="46"/>
    </row>
    <row r="313" spans="1:22" ht="25.15" customHeight="1" x14ac:dyDescent="0.25">
      <c r="A313" s="17"/>
      <c r="G313"/>
      <c r="H313"/>
      <c r="J313"/>
      <c r="K313"/>
      <c r="L313"/>
      <c r="M313"/>
      <c r="N313"/>
      <c r="P313"/>
      <c r="Q313"/>
      <c r="R313"/>
      <c r="S313"/>
      <c r="T313"/>
      <c r="U313" s="46"/>
      <c r="V313" s="46"/>
    </row>
    <row r="314" spans="1:22" ht="25.15" customHeight="1" x14ac:dyDescent="0.25">
      <c r="A314" s="17"/>
      <c r="G314"/>
      <c r="H314"/>
      <c r="J314"/>
      <c r="K314"/>
      <c r="L314"/>
      <c r="M314"/>
      <c r="N314"/>
      <c r="P314"/>
      <c r="Q314"/>
      <c r="R314"/>
      <c r="S314"/>
      <c r="T314"/>
      <c r="U314" s="46"/>
      <c r="V314" s="46"/>
    </row>
    <row r="315" spans="1:22" ht="25.15" customHeight="1" x14ac:dyDescent="0.25">
      <c r="A315" s="17"/>
      <c r="G315"/>
      <c r="H315"/>
      <c r="J315"/>
      <c r="K315"/>
      <c r="L315"/>
      <c r="M315"/>
      <c r="N315"/>
      <c r="P315"/>
      <c r="Q315"/>
      <c r="R315"/>
      <c r="S315"/>
      <c r="T315"/>
      <c r="U315" s="46"/>
      <c r="V315" s="46"/>
    </row>
    <row r="316" spans="1:22" ht="25.15" customHeight="1" x14ac:dyDescent="0.25">
      <c r="A316" s="17"/>
      <c r="G316"/>
      <c r="H316"/>
      <c r="J316"/>
      <c r="K316"/>
      <c r="L316"/>
      <c r="M316"/>
      <c r="N316"/>
      <c r="P316"/>
      <c r="Q316"/>
      <c r="R316"/>
      <c r="S316"/>
      <c r="T316"/>
      <c r="U316" s="46"/>
      <c r="V316" s="46"/>
    </row>
    <row r="317" spans="1:22" ht="25.15" customHeight="1" x14ac:dyDescent="0.25">
      <c r="A317" s="17"/>
      <c r="G317"/>
      <c r="H317"/>
      <c r="J317"/>
      <c r="K317"/>
      <c r="L317"/>
      <c r="M317"/>
      <c r="N317"/>
      <c r="P317"/>
      <c r="Q317"/>
      <c r="R317"/>
      <c r="S317"/>
      <c r="T317"/>
      <c r="U317" s="46"/>
      <c r="V317" s="46"/>
    </row>
    <row r="318" spans="1:22" ht="25.15" customHeight="1" x14ac:dyDescent="0.25">
      <c r="A318" s="17"/>
      <c r="G318"/>
      <c r="H318"/>
      <c r="J318"/>
      <c r="K318"/>
      <c r="L318"/>
      <c r="M318"/>
      <c r="N318"/>
      <c r="P318"/>
      <c r="Q318"/>
      <c r="R318"/>
      <c r="S318"/>
      <c r="T318"/>
      <c r="U318" s="46"/>
      <c r="V318" s="46"/>
    </row>
    <row r="319" spans="1:22" ht="25.15" customHeight="1" x14ac:dyDescent="0.25">
      <c r="A319" s="17"/>
      <c r="G319"/>
      <c r="H319"/>
      <c r="J319"/>
      <c r="K319"/>
      <c r="L319"/>
      <c r="M319"/>
      <c r="N319"/>
      <c r="P319"/>
      <c r="Q319"/>
      <c r="R319"/>
      <c r="S319"/>
      <c r="T319"/>
      <c r="U319" s="46"/>
      <c r="V319" s="46"/>
    </row>
    <row r="320" spans="1:22" ht="25.15" customHeight="1" x14ac:dyDescent="0.25">
      <c r="A320" s="17"/>
      <c r="G320"/>
      <c r="H320"/>
      <c r="J320"/>
      <c r="K320"/>
      <c r="L320"/>
      <c r="M320"/>
      <c r="N320"/>
      <c r="P320"/>
      <c r="Q320"/>
      <c r="R320"/>
      <c r="S320"/>
      <c r="T320"/>
      <c r="U320" s="46"/>
      <c r="V320" s="46"/>
    </row>
    <row r="321" spans="1:22" ht="25.15" customHeight="1" x14ac:dyDescent="0.25">
      <c r="A321" s="17"/>
      <c r="G321"/>
      <c r="H321"/>
      <c r="J321"/>
      <c r="K321"/>
      <c r="L321"/>
      <c r="M321"/>
      <c r="N321"/>
      <c r="P321"/>
      <c r="Q321"/>
      <c r="R321"/>
      <c r="S321"/>
      <c r="T321"/>
      <c r="U321" s="46"/>
      <c r="V321" s="46"/>
    </row>
    <row r="322" spans="1:22" ht="25.15" customHeight="1" x14ac:dyDescent="0.25">
      <c r="A322" s="17"/>
      <c r="G322"/>
      <c r="H322"/>
      <c r="J322"/>
      <c r="K322"/>
      <c r="L322"/>
      <c r="M322"/>
      <c r="N322"/>
      <c r="P322"/>
      <c r="Q322"/>
      <c r="R322"/>
      <c r="S322"/>
      <c r="T322"/>
      <c r="U322" s="46"/>
      <c r="V322" s="46"/>
    </row>
    <row r="323" spans="1:22" ht="25.15" customHeight="1" x14ac:dyDescent="0.25">
      <c r="A323" s="17"/>
      <c r="G323"/>
      <c r="H323"/>
      <c r="J323"/>
      <c r="K323"/>
      <c r="L323"/>
      <c r="M323"/>
      <c r="N323"/>
      <c r="P323"/>
      <c r="Q323"/>
      <c r="R323"/>
      <c r="S323"/>
      <c r="T323"/>
      <c r="U323" s="46"/>
      <c r="V323" s="46"/>
    </row>
    <row r="324" spans="1:22" ht="25.15" customHeight="1" x14ac:dyDescent="0.25">
      <c r="A324" s="17"/>
      <c r="G324"/>
      <c r="H324"/>
      <c r="J324"/>
      <c r="K324"/>
      <c r="L324"/>
      <c r="M324"/>
      <c r="N324"/>
      <c r="P324"/>
      <c r="Q324"/>
      <c r="R324"/>
      <c r="S324"/>
      <c r="T324"/>
      <c r="U324" s="46"/>
      <c r="V324" s="46"/>
    </row>
    <row r="325" spans="1:22" ht="25.15" customHeight="1" x14ac:dyDescent="0.25">
      <c r="A325" s="17"/>
      <c r="G325"/>
      <c r="H325"/>
      <c r="J325"/>
      <c r="K325"/>
      <c r="L325"/>
      <c r="M325"/>
      <c r="N325"/>
      <c r="P325"/>
      <c r="Q325"/>
      <c r="R325"/>
      <c r="S325"/>
      <c r="T325"/>
      <c r="U325" s="46"/>
      <c r="V325" s="46"/>
    </row>
    <row r="326" spans="1:22" ht="25.15" customHeight="1" x14ac:dyDescent="0.25">
      <c r="A326" s="17"/>
      <c r="G326"/>
      <c r="H326"/>
      <c r="J326"/>
      <c r="K326"/>
      <c r="L326"/>
      <c r="M326"/>
      <c r="N326"/>
      <c r="P326"/>
      <c r="Q326"/>
      <c r="R326"/>
      <c r="S326"/>
      <c r="T326"/>
      <c r="U326" s="46"/>
      <c r="V326" s="46"/>
    </row>
    <row r="327" spans="1:22" ht="25.15" customHeight="1" x14ac:dyDescent="0.25">
      <c r="A327" s="17"/>
      <c r="G327"/>
      <c r="H327"/>
      <c r="J327"/>
      <c r="K327"/>
      <c r="L327"/>
      <c r="M327"/>
      <c r="N327"/>
      <c r="P327"/>
      <c r="Q327"/>
      <c r="R327"/>
      <c r="S327"/>
      <c r="T327"/>
      <c r="U327" s="46"/>
      <c r="V327" s="46"/>
    </row>
    <row r="328" spans="1:22" ht="25.15" customHeight="1" x14ac:dyDescent="0.25">
      <c r="A328" s="17"/>
      <c r="G328"/>
      <c r="H328"/>
      <c r="J328"/>
      <c r="K328"/>
      <c r="L328"/>
      <c r="M328"/>
      <c r="N328"/>
      <c r="P328"/>
      <c r="Q328"/>
      <c r="R328"/>
      <c r="S328"/>
      <c r="T328"/>
      <c r="U328" s="46"/>
      <c r="V328" s="46"/>
    </row>
    <row r="329" spans="1:22" ht="25.15" customHeight="1" x14ac:dyDescent="0.25">
      <c r="A329" s="17"/>
      <c r="G329"/>
      <c r="H329"/>
      <c r="J329"/>
      <c r="K329"/>
      <c r="L329"/>
      <c r="M329"/>
      <c r="N329"/>
      <c r="P329"/>
      <c r="Q329"/>
      <c r="R329"/>
      <c r="S329"/>
      <c r="T329"/>
      <c r="U329" s="46"/>
      <c r="V329" s="46"/>
    </row>
    <row r="330" spans="1:22" ht="25.15" customHeight="1" x14ac:dyDescent="0.25">
      <c r="A330" s="17"/>
      <c r="G330"/>
      <c r="H330"/>
      <c r="J330"/>
      <c r="K330"/>
      <c r="L330"/>
      <c r="M330"/>
      <c r="N330"/>
      <c r="P330"/>
      <c r="Q330"/>
      <c r="R330"/>
      <c r="S330"/>
      <c r="T330"/>
      <c r="U330" s="46"/>
      <c r="V330" s="46"/>
    </row>
    <row r="331" spans="1:22" ht="25.15" customHeight="1" x14ac:dyDescent="0.25">
      <c r="A331" s="17"/>
      <c r="G331"/>
      <c r="H331"/>
      <c r="J331"/>
      <c r="K331"/>
      <c r="L331"/>
      <c r="M331"/>
      <c r="N331"/>
      <c r="P331"/>
      <c r="Q331"/>
      <c r="R331"/>
      <c r="S331"/>
      <c r="T331"/>
      <c r="U331" s="46"/>
      <c r="V331" s="46"/>
    </row>
    <row r="332" spans="1:22" ht="25.15" customHeight="1" x14ac:dyDescent="0.25">
      <c r="A332" s="17"/>
      <c r="G332"/>
      <c r="H332"/>
      <c r="J332"/>
      <c r="K332"/>
      <c r="L332"/>
      <c r="M332"/>
      <c r="N332"/>
      <c r="P332"/>
      <c r="Q332"/>
      <c r="R332"/>
      <c r="S332"/>
      <c r="T332"/>
      <c r="U332" s="46"/>
      <c r="V332" s="46"/>
    </row>
    <row r="333" spans="1:22" ht="25.15" customHeight="1" x14ac:dyDescent="0.25">
      <c r="A333" s="17"/>
      <c r="G333"/>
      <c r="H333"/>
      <c r="J333"/>
      <c r="K333"/>
      <c r="L333"/>
      <c r="M333"/>
      <c r="N333"/>
      <c r="P333"/>
      <c r="Q333"/>
      <c r="R333"/>
      <c r="S333"/>
      <c r="T333"/>
      <c r="U333" s="46"/>
      <c r="V333" s="46"/>
    </row>
    <row r="334" spans="1:22" ht="25.15" customHeight="1" x14ac:dyDescent="0.25">
      <c r="A334" s="17"/>
      <c r="G334"/>
      <c r="H334"/>
      <c r="J334"/>
      <c r="K334"/>
      <c r="L334"/>
      <c r="M334"/>
      <c r="N334"/>
      <c r="P334"/>
      <c r="Q334"/>
      <c r="R334"/>
      <c r="S334"/>
      <c r="T334"/>
      <c r="U334" s="46"/>
      <c r="V334" s="46"/>
    </row>
    <row r="335" spans="1:22" ht="25.15" customHeight="1" x14ac:dyDescent="0.25">
      <c r="A335" s="17"/>
      <c r="G335"/>
      <c r="H335"/>
      <c r="J335"/>
      <c r="K335"/>
      <c r="L335"/>
      <c r="M335"/>
      <c r="N335"/>
      <c r="P335"/>
      <c r="Q335"/>
      <c r="R335"/>
      <c r="S335"/>
      <c r="T335"/>
      <c r="U335" s="46"/>
      <c r="V335" s="46"/>
    </row>
    <row r="336" spans="1:22" ht="25.15" customHeight="1" x14ac:dyDescent="0.25">
      <c r="A336" s="17"/>
      <c r="G336"/>
      <c r="H336"/>
      <c r="J336"/>
      <c r="K336"/>
      <c r="L336"/>
      <c r="M336"/>
      <c r="N336"/>
      <c r="P336"/>
      <c r="Q336"/>
      <c r="R336"/>
      <c r="S336"/>
      <c r="T336"/>
      <c r="U336" s="46"/>
      <c r="V336" s="46"/>
    </row>
    <row r="337" spans="1:22" ht="25.15" customHeight="1" x14ac:dyDescent="0.25">
      <c r="A337" s="17"/>
      <c r="G337"/>
      <c r="H337"/>
      <c r="J337"/>
      <c r="K337"/>
      <c r="L337"/>
      <c r="M337"/>
      <c r="N337"/>
      <c r="P337"/>
      <c r="Q337"/>
      <c r="R337"/>
      <c r="S337"/>
      <c r="T337"/>
      <c r="U337" s="46"/>
      <c r="V337" s="46"/>
    </row>
    <row r="338" spans="1:22" ht="25.15" customHeight="1" x14ac:dyDescent="0.25">
      <c r="A338" s="17"/>
      <c r="G338"/>
      <c r="H338"/>
      <c r="J338"/>
      <c r="K338"/>
      <c r="L338"/>
      <c r="M338"/>
      <c r="N338"/>
      <c r="P338"/>
      <c r="Q338"/>
      <c r="R338"/>
      <c r="S338"/>
      <c r="T338"/>
      <c r="U338" s="46"/>
      <c r="V338" s="46"/>
    </row>
    <row r="339" spans="1:22" ht="25.15" customHeight="1" x14ac:dyDescent="0.25">
      <c r="A339" s="17"/>
      <c r="G339"/>
      <c r="H339"/>
      <c r="J339"/>
      <c r="K339"/>
      <c r="L339"/>
      <c r="M339"/>
      <c r="N339"/>
      <c r="P339"/>
      <c r="Q339"/>
      <c r="R339"/>
      <c r="S339"/>
      <c r="T339"/>
      <c r="U339" s="46"/>
      <c r="V339" s="46"/>
    </row>
    <row r="340" spans="1:22" ht="25.15" customHeight="1" x14ac:dyDescent="0.25">
      <c r="A340" s="17"/>
      <c r="G340"/>
      <c r="H340"/>
      <c r="J340"/>
      <c r="K340"/>
      <c r="L340"/>
      <c r="M340"/>
      <c r="N340"/>
      <c r="P340"/>
      <c r="Q340"/>
      <c r="R340"/>
      <c r="S340"/>
      <c r="T340"/>
      <c r="U340" s="46"/>
      <c r="V340" s="46"/>
    </row>
    <row r="341" spans="1:22" ht="25.15" customHeight="1" x14ac:dyDescent="0.25">
      <c r="A341" s="17"/>
      <c r="G341"/>
      <c r="H341"/>
      <c r="J341"/>
      <c r="K341"/>
      <c r="L341"/>
      <c r="M341"/>
      <c r="N341"/>
      <c r="P341"/>
      <c r="Q341"/>
      <c r="R341"/>
      <c r="S341"/>
      <c r="T341"/>
      <c r="U341" s="46"/>
      <c r="V341" s="46"/>
    </row>
    <row r="342" spans="1:22" ht="25.15" customHeight="1" x14ac:dyDescent="0.25">
      <c r="A342" s="17"/>
      <c r="G342"/>
      <c r="H342"/>
      <c r="J342"/>
      <c r="K342"/>
      <c r="L342"/>
      <c r="M342"/>
      <c r="N342"/>
      <c r="P342"/>
      <c r="Q342"/>
      <c r="R342"/>
      <c r="S342"/>
      <c r="T342"/>
      <c r="U342" s="46"/>
      <c r="V342" s="46"/>
    </row>
    <row r="343" spans="1:22" ht="25.15" customHeight="1" x14ac:dyDescent="0.25">
      <c r="A343" s="17"/>
      <c r="G343"/>
      <c r="H343"/>
      <c r="J343"/>
      <c r="K343"/>
      <c r="L343"/>
      <c r="M343"/>
      <c r="N343"/>
      <c r="P343"/>
      <c r="Q343"/>
      <c r="R343"/>
      <c r="S343"/>
      <c r="T343"/>
      <c r="U343" s="46"/>
      <c r="V343" s="46"/>
    </row>
    <row r="344" spans="1:22" ht="25.15" customHeight="1" x14ac:dyDescent="0.25">
      <c r="A344" s="17"/>
      <c r="G344"/>
      <c r="H344"/>
      <c r="J344"/>
      <c r="K344"/>
      <c r="L344"/>
      <c r="M344"/>
      <c r="N344"/>
      <c r="P344"/>
      <c r="Q344"/>
      <c r="R344"/>
      <c r="S344"/>
      <c r="T344"/>
      <c r="U344" s="46"/>
      <c r="V344" s="46"/>
    </row>
    <row r="345" spans="1:22" ht="25.15" customHeight="1" x14ac:dyDescent="0.25">
      <c r="A345" s="17"/>
      <c r="G345"/>
      <c r="H345"/>
      <c r="J345"/>
      <c r="K345"/>
      <c r="L345"/>
      <c r="M345"/>
      <c r="N345"/>
      <c r="P345"/>
      <c r="Q345"/>
      <c r="R345"/>
      <c r="S345"/>
      <c r="T345"/>
      <c r="U345" s="46"/>
      <c r="V345" s="46"/>
    </row>
    <row r="346" spans="1:22" ht="25.15" customHeight="1" x14ac:dyDescent="0.25">
      <c r="A346" s="17"/>
      <c r="G346"/>
      <c r="H346"/>
      <c r="J346"/>
      <c r="K346"/>
      <c r="L346"/>
      <c r="M346"/>
      <c r="N346"/>
      <c r="P346"/>
      <c r="Q346"/>
      <c r="R346"/>
      <c r="S346"/>
      <c r="T346"/>
      <c r="U346" s="46"/>
      <c r="V346" s="46"/>
    </row>
    <row r="347" spans="1:22" ht="25.15" customHeight="1" x14ac:dyDescent="0.25">
      <c r="A347" s="17"/>
      <c r="G347"/>
      <c r="H347"/>
      <c r="J347"/>
      <c r="K347"/>
      <c r="L347"/>
      <c r="M347"/>
      <c r="N347"/>
      <c r="P347"/>
      <c r="Q347"/>
      <c r="R347"/>
      <c r="S347"/>
      <c r="T347"/>
      <c r="U347" s="46"/>
      <c r="V347" s="46"/>
    </row>
    <row r="348" spans="1:22" ht="25.15" customHeight="1" x14ac:dyDescent="0.25">
      <c r="A348" s="17"/>
      <c r="G348"/>
      <c r="H348"/>
      <c r="J348"/>
      <c r="K348"/>
      <c r="L348"/>
      <c r="M348"/>
      <c r="N348"/>
      <c r="P348"/>
      <c r="Q348"/>
      <c r="R348"/>
      <c r="S348"/>
      <c r="T348"/>
      <c r="U348" s="46"/>
      <c r="V348" s="46"/>
    </row>
    <row r="349" spans="1:22" ht="25.15" customHeight="1" x14ac:dyDescent="0.25">
      <c r="A349" s="17"/>
      <c r="G349"/>
      <c r="H349"/>
      <c r="J349"/>
      <c r="K349"/>
      <c r="L349"/>
      <c r="M349"/>
      <c r="N349"/>
      <c r="P349"/>
      <c r="Q349"/>
      <c r="R349"/>
      <c r="S349"/>
      <c r="T349"/>
      <c r="U349" s="46"/>
      <c r="V349" s="46"/>
    </row>
    <row r="350" spans="1:22" ht="25.15" customHeight="1" x14ac:dyDescent="0.25">
      <c r="A350" s="17"/>
      <c r="G350"/>
      <c r="H350"/>
      <c r="J350"/>
      <c r="K350"/>
      <c r="L350"/>
      <c r="M350"/>
      <c r="N350"/>
      <c r="P350"/>
      <c r="Q350"/>
      <c r="R350"/>
      <c r="S350"/>
      <c r="T350"/>
      <c r="U350" s="46"/>
      <c r="V350" s="46"/>
    </row>
    <row r="351" spans="1:22" ht="25.15" customHeight="1" x14ac:dyDescent="0.25">
      <c r="A351" s="17"/>
      <c r="G351"/>
      <c r="H351"/>
      <c r="J351"/>
      <c r="K351"/>
      <c r="L351"/>
      <c r="M351"/>
      <c r="N351"/>
      <c r="P351"/>
      <c r="Q351"/>
      <c r="R351"/>
      <c r="S351"/>
      <c r="T351"/>
      <c r="U351" s="46"/>
      <c r="V351" s="46"/>
    </row>
    <row r="352" spans="1:22" ht="25.15" customHeight="1" x14ac:dyDescent="0.25">
      <c r="A352" s="17"/>
      <c r="G352"/>
      <c r="H352"/>
      <c r="J352"/>
      <c r="K352"/>
      <c r="L352"/>
      <c r="M352"/>
      <c r="N352"/>
      <c r="P352"/>
      <c r="Q352"/>
      <c r="R352"/>
      <c r="S352"/>
      <c r="T352"/>
      <c r="U352" s="46"/>
      <c r="V352" s="46"/>
    </row>
    <row r="353" spans="1:22" ht="25.15" customHeight="1" x14ac:dyDescent="0.25">
      <c r="A353" s="17"/>
      <c r="G353"/>
      <c r="H353"/>
      <c r="J353"/>
      <c r="K353"/>
      <c r="L353"/>
      <c r="M353"/>
      <c r="N353"/>
      <c r="P353"/>
      <c r="Q353"/>
      <c r="R353"/>
      <c r="S353"/>
      <c r="T353"/>
      <c r="U353" s="46"/>
      <c r="V353" s="46"/>
    </row>
    <row r="354" spans="1:22" ht="25.15" customHeight="1" x14ac:dyDescent="0.25">
      <c r="A354" s="17"/>
      <c r="G354"/>
      <c r="H354"/>
      <c r="J354"/>
      <c r="K354"/>
      <c r="L354"/>
      <c r="M354"/>
      <c r="N354"/>
      <c r="P354"/>
      <c r="Q354"/>
      <c r="R354"/>
      <c r="S354"/>
      <c r="T354"/>
      <c r="U354" s="46"/>
      <c r="V354" s="46"/>
    </row>
    <row r="355" spans="1:22" ht="25.15" customHeight="1" x14ac:dyDescent="0.25">
      <c r="A355" s="17"/>
      <c r="G355"/>
      <c r="H355"/>
      <c r="J355"/>
      <c r="K355"/>
      <c r="L355"/>
      <c r="M355"/>
      <c r="N355"/>
      <c r="P355"/>
      <c r="Q355"/>
      <c r="R355"/>
      <c r="S355"/>
      <c r="T355"/>
      <c r="U355" s="46"/>
      <c r="V355" s="46"/>
    </row>
    <row r="356" spans="1:22" ht="25.15" customHeight="1" x14ac:dyDescent="0.25">
      <c r="A356" s="17"/>
      <c r="G356"/>
      <c r="H356"/>
      <c r="J356"/>
      <c r="K356"/>
      <c r="L356"/>
      <c r="M356"/>
      <c r="N356"/>
      <c r="P356"/>
      <c r="Q356"/>
      <c r="R356"/>
      <c r="S356"/>
      <c r="T356"/>
      <c r="U356" s="46"/>
      <c r="V356" s="46"/>
    </row>
    <row r="357" spans="1:22" ht="25.15" customHeight="1" x14ac:dyDescent="0.25">
      <c r="A357" s="17"/>
      <c r="G357"/>
      <c r="H357"/>
      <c r="J357"/>
      <c r="K357"/>
      <c r="L357"/>
      <c r="M357"/>
      <c r="N357"/>
      <c r="P357"/>
      <c r="Q357"/>
      <c r="R357"/>
      <c r="S357"/>
      <c r="T357"/>
      <c r="U357" s="46"/>
      <c r="V357" s="46"/>
    </row>
    <row r="358" spans="1:22" ht="25.15" customHeight="1" x14ac:dyDescent="0.25">
      <c r="A358" s="17"/>
      <c r="G358"/>
      <c r="H358"/>
      <c r="J358"/>
      <c r="K358"/>
      <c r="L358"/>
      <c r="M358"/>
      <c r="N358"/>
      <c r="P358"/>
      <c r="Q358"/>
      <c r="R358"/>
      <c r="S358"/>
      <c r="T358"/>
      <c r="U358" s="46"/>
      <c r="V358" s="46"/>
    </row>
    <row r="359" spans="1:22" ht="25.15" customHeight="1" x14ac:dyDescent="0.25">
      <c r="A359" s="17"/>
      <c r="G359"/>
      <c r="H359"/>
      <c r="J359"/>
      <c r="K359"/>
      <c r="L359"/>
      <c r="M359"/>
      <c r="N359"/>
      <c r="P359"/>
      <c r="Q359"/>
      <c r="R359"/>
      <c r="S359"/>
      <c r="T359"/>
      <c r="U359" s="46"/>
      <c r="V359" s="46"/>
    </row>
    <row r="360" spans="1:22" ht="25.15" customHeight="1" x14ac:dyDescent="0.25">
      <c r="A360" s="17"/>
      <c r="G360"/>
      <c r="H360"/>
      <c r="J360"/>
      <c r="K360"/>
      <c r="L360"/>
      <c r="M360"/>
      <c r="N360"/>
      <c r="P360"/>
      <c r="Q360"/>
      <c r="R360"/>
      <c r="S360"/>
      <c r="T360"/>
      <c r="U360" s="46"/>
      <c r="V360" s="46"/>
    </row>
    <row r="361" spans="1:22" ht="25.15" customHeight="1" x14ac:dyDescent="0.25">
      <c r="A361" s="17"/>
      <c r="G361"/>
      <c r="H361"/>
      <c r="J361"/>
      <c r="K361"/>
      <c r="L361"/>
      <c r="M361"/>
      <c r="N361"/>
      <c r="P361"/>
      <c r="Q361"/>
      <c r="R361"/>
      <c r="S361"/>
      <c r="T361"/>
      <c r="U361" s="46"/>
      <c r="V361" s="46"/>
    </row>
    <row r="362" spans="1:22" ht="25.15" customHeight="1" x14ac:dyDescent="0.25">
      <c r="A362" s="17"/>
      <c r="G362"/>
      <c r="H362"/>
      <c r="J362"/>
      <c r="K362"/>
      <c r="L362"/>
      <c r="M362"/>
      <c r="N362"/>
      <c r="P362"/>
      <c r="Q362"/>
      <c r="R362"/>
      <c r="S362"/>
      <c r="T362"/>
      <c r="U362" s="46"/>
      <c r="V362" s="46"/>
    </row>
    <row r="363" spans="1:22" ht="25.15" customHeight="1" x14ac:dyDescent="0.25">
      <c r="A363" s="17"/>
      <c r="G363"/>
      <c r="H363"/>
      <c r="J363"/>
      <c r="K363"/>
      <c r="L363"/>
      <c r="M363"/>
      <c r="N363"/>
      <c r="P363"/>
      <c r="Q363"/>
      <c r="R363"/>
      <c r="S363"/>
      <c r="T363"/>
      <c r="U363" s="46"/>
      <c r="V363" s="46"/>
    </row>
    <row r="364" spans="1:22" ht="25.15" customHeight="1" x14ac:dyDescent="0.25">
      <c r="A364" s="17"/>
      <c r="G364"/>
      <c r="H364"/>
      <c r="J364"/>
      <c r="K364"/>
      <c r="L364"/>
      <c r="M364"/>
      <c r="N364"/>
      <c r="P364"/>
      <c r="Q364"/>
      <c r="R364"/>
      <c r="S364"/>
      <c r="T364"/>
      <c r="U364" s="46"/>
      <c r="V364" s="46"/>
    </row>
    <row r="365" spans="1:22" ht="25.15" customHeight="1" x14ac:dyDescent="0.25">
      <c r="A365" s="17"/>
      <c r="G365"/>
      <c r="H365"/>
      <c r="J365"/>
      <c r="K365"/>
      <c r="L365"/>
      <c r="M365"/>
      <c r="N365"/>
      <c r="P365"/>
      <c r="Q365"/>
      <c r="R365"/>
      <c r="S365"/>
      <c r="T365"/>
      <c r="U365" s="46"/>
      <c r="V365" s="46"/>
    </row>
    <row r="366" spans="1:22" ht="25.15" customHeight="1" x14ac:dyDescent="0.25">
      <c r="A366" s="17"/>
      <c r="G366"/>
      <c r="H366"/>
      <c r="J366"/>
      <c r="K366"/>
      <c r="L366"/>
      <c r="M366"/>
      <c r="N366"/>
      <c r="P366"/>
      <c r="Q366"/>
      <c r="R366"/>
      <c r="S366"/>
      <c r="T366"/>
      <c r="U366" s="46"/>
      <c r="V366" s="46"/>
    </row>
    <row r="367" spans="1:22" ht="25.15" customHeight="1" x14ac:dyDescent="0.25">
      <c r="A367" s="17"/>
      <c r="G367"/>
      <c r="H367"/>
      <c r="J367"/>
      <c r="K367"/>
      <c r="L367"/>
      <c r="M367"/>
      <c r="N367"/>
      <c r="P367"/>
      <c r="Q367"/>
      <c r="R367"/>
      <c r="S367"/>
      <c r="T367"/>
      <c r="U367" s="46"/>
      <c r="V367" s="46"/>
    </row>
    <row r="368" spans="1:22" ht="25.15" customHeight="1" x14ac:dyDescent="0.25">
      <c r="A368" s="17"/>
      <c r="G368"/>
      <c r="H368"/>
      <c r="J368"/>
      <c r="K368"/>
      <c r="L368"/>
      <c r="M368"/>
      <c r="N368"/>
      <c r="P368"/>
      <c r="Q368"/>
      <c r="R368"/>
      <c r="S368"/>
      <c r="T368"/>
      <c r="U368" s="46"/>
      <c r="V368" s="46"/>
    </row>
    <row r="369" spans="1:22" ht="25.15" customHeight="1" x14ac:dyDescent="0.25">
      <c r="A369" s="17"/>
      <c r="G369"/>
      <c r="H369"/>
      <c r="J369"/>
      <c r="K369"/>
      <c r="L369"/>
      <c r="M369"/>
      <c r="N369"/>
      <c r="P369"/>
      <c r="Q369"/>
      <c r="R369"/>
      <c r="S369"/>
      <c r="T369"/>
      <c r="U369" s="46"/>
      <c r="V369" s="46"/>
    </row>
    <row r="370" spans="1:22" ht="25.15" customHeight="1" x14ac:dyDescent="0.25">
      <c r="A370" s="17"/>
      <c r="G370"/>
      <c r="H370"/>
      <c r="J370"/>
      <c r="K370"/>
      <c r="L370"/>
      <c r="M370"/>
      <c r="N370"/>
      <c r="P370"/>
      <c r="Q370"/>
      <c r="R370"/>
      <c r="S370"/>
      <c r="T370"/>
      <c r="U370" s="46"/>
      <c r="V370" s="46"/>
    </row>
    <row r="371" spans="1:22" ht="25.15" customHeight="1" x14ac:dyDescent="0.25">
      <c r="A371" s="17"/>
      <c r="G371"/>
      <c r="H371"/>
      <c r="J371"/>
      <c r="K371"/>
      <c r="L371"/>
      <c r="M371"/>
      <c r="N371"/>
      <c r="P371"/>
      <c r="Q371"/>
      <c r="R371"/>
      <c r="S371"/>
      <c r="T371"/>
      <c r="U371" s="46"/>
      <c r="V371" s="46"/>
    </row>
    <row r="372" spans="1:22" ht="25.15" customHeight="1" x14ac:dyDescent="0.25">
      <c r="A372" s="17"/>
      <c r="G372"/>
      <c r="H372"/>
      <c r="J372"/>
      <c r="K372"/>
      <c r="L372"/>
      <c r="M372"/>
      <c r="N372"/>
      <c r="P372"/>
      <c r="Q372"/>
      <c r="R372"/>
      <c r="S372"/>
      <c r="T372"/>
      <c r="U372" s="46"/>
      <c r="V372" s="46"/>
    </row>
    <row r="373" spans="1:22" ht="25.15" customHeight="1" x14ac:dyDescent="0.25">
      <c r="A373" s="17"/>
      <c r="G373"/>
      <c r="H373"/>
      <c r="J373"/>
      <c r="K373"/>
      <c r="L373"/>
      <c r="M373"/>
      <c r="N373"/>
      <c r="P373"/>
      <c r="Q373"/>
      <c r="R373"/>
      <c r="S373"/>
      <c r="T373"/>
      <c r="U373" s="46"/>
      <c r="V373" s="46"/>
    </row>
    <row r="374" spans="1:22" ht="25.15" customHeight="1" x14ac:dyDescent="0.25">
      <c r="A374" s="17"/>
      <c r="G374"/>
      <c r="H374"/>
      <c r="J374"/>
      <c r="K374"/>
      <c r="L374"/>
      <c r="M374"/>
      <c r="N374"/>
      <c r="P374"/>
      <c r="Q374"/>
      <c r="R374"/>
      <c r="S374"/>
      <c r="T374"/>
      <c r="U374" s="46"/>
      <c r="V374" s="46"/>
    </row>
    <row r="375" spans="1:22" ht="25.15" customHeight="1" x14ac:dyDescent="0.25">
      <c r="A375" s="17"/>
      <c r="G375"/>
      <c r="H375"/>
      <c r="J375"/>
      <c r="K375"/>
      <c r="L375"/>
      <c r="M375"/>
      <c r="N375"/>
      <c r="P375"/>
      <c r="Q375"/>
      <c r="R375"/>
      <c r="S375"/>
      <c r="T375"/>
      <c r="U375" s="46"/>
      <c r="V375" s="46"/>
    </row>
    <row r="376" spans="1:22" ht="25.15" customHeight="1" x14ac:dyDescent="0.25">
      <c r="A376" s="17"/>
      <c r="G376"/>
      <c r="H376"/>
      <c r="J376"/>
      <c r="K376"/>
      <c r="L376"/>
      <c r="M376"/>
      <c r="N376"/>
      <c r="P376"/>
      <c r="Q376"/>
      <c r="R376"/>
      <c r="S376"/>
      <c r="T376"/>
      <c r="U376" s="46"/>
      <c r="V376" s="46"/>
    </row>
    <row r="377" spans="1:22" ht="25.15" customHeight="1" x14ac:dyDescent="0.25">
      <c r="A377" s="17"/>
      <c r="G377"/>
      <c r="H377"/>
      <c r="J377"/>
      <c r="K377"/>
      <c r="L377"/>
      <c r="M377"/>
      <c r="N377"/>
      <c r="P377"/>
      <c r="Q377"/>
      <c r="R377"/>
      <c r="S377"/>
      <c r="T377"/>
      <c r="U377" s="46"/>
      <c r="V377" s="46"/>
    </row>
    <row r="378" spans="1:22" ht="25.15" customHeight="1" x14ac:dyDescent="0.25">
      <c r="A378" s="17"/>
      <c r="G378"/>
      <c r="H378"/>
      <c r="J378"/>
      <c r="K378"/>
      <c r="L378"/>
      <c r="M378"/>
      <c r="N378"/>
      <c r="P378"/>
      <c r="Q378"/>
      <c r="R378"/>
      <c r="S378"/>
      <c r="T378"/>
      <c r="U378" s="46"/>
      <c r="V378" s="46"/>
    </row>
    <row r="379" spans="1:22" ht="25.15" customHeight="1" x14ac:dyDescent="0.25">
      <c r="A379" s="17"/>
      <c r="G379"/>
      <c r="H379"/>
      <c r="J379"/>
      <c r="K379"/>
      <c r="L379"/>
      <c r="M379"/>
      <c r="N379"/>
      <c r="P379"/>
      <c r="Q379"/>
      <c r="R379"/>
      <c r="S379"/>
      <c r="T379"/>
      <c r="U379" s="46"/>
      <c r="V379" s="46"/>
    </row>
    <row r="380" spans="1:22" ht="25.15" customHeight="1" x14ac:dyDescent="0.25">
      <c r="A380" s="17"/>
      <c r="G380"/>
      <c r="H380"/>
      <c r="J380"/>
      <c r="K380"/>
      <c r="L380"/>
      <c r="M380"/>
      <c r="N380"/>
      <c r="P380"/>
      <c r="Q380"/>
      <c r="R380"/>
      <c r="S380"/>
      <c r="T380"/>
      <c r="U380" s="46"/>
      <c r="V380" s="46"/>
    </row>
    <row r="381" spans="1:22" ht="25.15" customHeight="1" x14ac:dyDescent="0.25">
      <c r="A381" s="17"/>
      <c r="G381"/>
      <c r="H381"/>
      <c r="J381"/>
      <c r="K381"/>
      <c r="L381"/>
      <c r="M381"/>
      <c r="N381"/>
      <c r="P381"/>
      <c r="Q381"/>
      <c r="R381"/>
      <c r="S381"/>
      <c r="T381"/>
      <c r="U381" s="46"/>
      <c r="V381" s="46"/>
    </row>
    <row r="382" spans="1:22" ht="25.15" customHeight="1" x14ac:dyDescent="0.25">
      <c r="A382" s="17"/>
      <c r="G382"/>
      <c r="H382"/>
      <c r="J382"/>
      <c r="K382"/>
      <c r="L382"/>
      <c r="M382"/>
      <c r="N382"/>
      <c r="P382"/>
      <c r="Q382"/>
      <c r="R382"/>
      <c r="S382"/>
      <c r="T382"/>
      <c r="U382" s="46"/>
      <c r="V382" s="46"/>
    </row>
    <row r="383" spans="1:22" ht="25.15" customHeight="1" x14ac:dyDescent="0.25">
      <c r="A383" s="17"/>
      <c r="G383"/>
      <c r="H383"/>
      <c r="J383"/>
      <c r="K383"/>
      <c r="L383"/>
      <c r="M383"/>
      <c r="N383"/>
      <c r="P383"/>
      <c r="Q383"/>
      <c r="R383"/>
      <c r="S383"/>
      <c r="T383"/>
      <c r="U383" s="46"/>
      <c r="V383" s="46"/>
    </row>
    <row r="384" spans="1:22" ht="25.15" customHeight="1" x14ac:dyDescent="0.25">
      <c r="A384" s="17"/>
      <c r="G384"/>
      <c r="H384"/>
      <c r="J384"/>
      <c r="K384"/>
      <c r="L384"/>
      <c r="M384"/>
      <c r="N384"/>
      <c r="P384"/>
      <c r="Q384"/>
      <c r="R384"/>
      <c r="S384"/>
      <c r="T384"/>
      <c r="U384" s="46"/>
      <c r="V384" s="46"/>
    </row>
    <row r="385" spans="1:22" ht="25.15" customHeight="1" x14ac:dyDescent="0.25">
      <c r="A385" s="17"/>
      <c r="G385"/>
      <c r="H385"/>
      <c r="J385"/>
      <c r="K385"/>
      <c r="L385"/>
      <c r="M385"/>
      <c r="N385"/>
      <c r="P385"/>
      <c r="Q385"/>
      <c r="R385"/>
      <c r="S385"/>
      <c r="T385"/>
      <c r="U385" s="46"/>
      <c r="V385" s="46"/>
    </row>
    <row r="386" spans="1:22" ht="25.15" customHeight="1" x14ac:dyDescent="0.25">
      <c r="A386" s="17"/>
      <c r="G386"/>
      <c r="H386"/>
      <c r="J386"/>
      <c r="K386"/>
      <c r="L386"/>
      <c r="M386"/>
      <c r="N386"/>
      <c r="P386"/>
      <c r="Q386"/>
      <c r="R386"/>
      <c r="S386"/>
      <c r="T386"/>
      <c r="U386" s="46"/>
      <c r="V386" s="46"/>
    </row>
    <row r="387" spans="1:22" ht="25.15" customHeight="1" x14ac:dyDescent="0.25">
      <c r="A387" s="17"/>
      <c r="G387"/>
      <c r="H387"/>
      <c r="J387"/>
      <c r="K387"/>
      <c r="L387"/>
      <c r="M387"/>
      <c r="N387"/>
      <c r="P387"/>
      <c r="Q387"/>
      <c r="R387"/>
      <c r="S387"/>
      <c r="T387"/>
      <c r="U387" s="46"/>
      <c r="V387" s="46"/>
    </row>
    <row r="388" spans="1:22" ht="25.15" customHeight="1" x14ac:dyDescent="0.25">
      <c r="A388" s="17"/>
      <c r="G388"/>
      <c r="H388"/>
      <c r="J388"/>
      <c r="K388"/>
      <c r="L388"/>
      <c r="M388"/>
      <c r="N388"/>
      <c r="P388"/>
      <c r="Q388"/>
      <c r="R388"/>
      <c r="S388"/>
      <c r="T388"/>
      <c r="U388" s="46"/>
      <c r="V388" s="46"/>
    </row>
    <row r="389" spans="1:22" ht="25.15" customHeight="1" x14ac:dyDescent="0.25">
      <c r="A389" s="17"/>
      <c r="G389"/>
      <c r="H389"/>
      <c r="J389"/>
      <c r="K389"/>
      <c r="L389"/>
      <c r="M389"/>
      <c r="N389"/>
      <c r="P389"/>
      <c r="Q389"/>
      <c r="R389"/>
      <c r="S389"/>
      <c r="T389"/>
      <c r="U389" s="46"/>
      <c r="V389" s="46"/>
    </row>
    <row r="390" spans="1:22" ht="25.15" customHeight="1" x14ac:dyDescent="0.25">
      <c r="A390" s="17"/>
      <c r="G390"/>
      <c r="H390"/>
      <c r="J390"/>
      <c r="K390"/>
      <c r="L390"/>
      <c r="M390"/>
      <c r="N390"/>
      <c r="P390"/>
      <c r="Q390"/>
      <c r="R390"/>
      <c r="S390"/>
      <c r="T390"/>
      <c r="U390" s="46"/>
      <c r="V390" s="46"/>
    </row>
    <row r="391" spans="1:22" ht="25.15" customHeight="1" x14ac:dyDescent="0.25">
      <c r="A391" s="17"/>
      <c r="G391"/>
      <c r="H391"/>
      <c r="J391"/>
      <c r="K391"/>
      <c r="L391"/>
      <c r="M391"/>
      <c r="N391"/>
      <c r="P391"/>
      <c r="Q391"/>
      <c r="R391"/>
      <c r="S391"/>
      <c r="T391"/>
      <c r="U391" s="46"/>
      <c r="V391" s="46"/>
    </row>
    <row r="392" spans="1:22" ht="25.15" customHeight="1" x14ac:dyDescent="0.25">
      <c r="A392" s="17"/>
      <c r="G392"/>
      <c r="H392"/>
      <c r="J392"/>
      <c r="K392"/>
      <c r="L392"/>
      <c r="M392"/>
      <c r="N392"/>
      <c r="P392"/>
      <c r="Q392"/>
      <c r="R392"/>
      <c r="S392"/>
      <c r="T392"/>
      <c r="U392" s="46"/>
      <c r="V392" s="46"/>
    </row>
    <row r="393" spans="1:22" ht="25.15" customHeight="1" x14ac:dyDescent="0.25">
      <c r="A393" s="17"/>
      <c r="G393"/>
      <c r="H393"/>
      <c r="J393"/>
      <c r="K393"/>
      <c r="L393"/>
      <c r="M393"/>
      <c r="N393"/>
      <c r="P393"/>
      <c r="Q393"/>
      <c r="R393"/>
      <c r="S393"/>
      <c r="T393"/>
      <c r="U393" s="46"/>
      <c r="V393" s="46"/>
    </row>
    <row r="394" spans="1:22" ht="25.15" customHeight="1" x14ac:dyDescent="0.25">
      <c r="A394" s="17"/>
      <c r="G394"/>
      <c r="H394"/>
      <c r="J394"/>
      <c r="K394"/>
      <c r="L394"/>
      <c r="M394"/>
      <c r="N394"/>
      <c r="P394"/>
      <c r="Q394"/>
      <c r="R394"/>
      <c r="S394"/>
      <c r="T394"/>
      <c r="U394" s="46"/>
      <c r="V394" s="46"/>
    </row>
    <row r="395" spans="1:22" ht="25.15" customHeight="1" x14ac:dyDescent="0.25">
      <c r="A395" s="17"/>
      <c r="G395"/>
      <c r="H395"/>
      <c r="J395"/>
      <c r="K395"/>
      <c r="L395"/>
      <c r="M395"/>
      <c r="N395"/>
      <c r="P395"/>
      <c r="Q395"/>
      <c r="R395"/>
      <c r="S395"/>
      <c r="T395"/>
      <c r="U395" s="46"/>
      <c r="V395" s="46"/>
    </row>
    <row r="396" spans="1:22" ht="25.15" customHeight="1" x14ac:dyDescent="0.25">
      <c r="A396" s="17"/>
      <c r="G396"/>
      <c r="H396"/>
      <c r="J396"/>
      <c r="K396"/>
      <c r="L396"/>
      <c r="M396"/>
      <c r="N396"/>
      <c r="P396"/>
      <c r="Q396"/>
      <c r="R396"/>
      <c r="S396"/>
      <c r="T396"/>
      <c r="U396" s="46"/>
      <c r="V396" s="46"/>
    </row>
    <row r="397" spans="1:22" ht="25.15" customHeight="1" x14ac:dyDescent="0.25">
      <c r="A397" s="17"/>
      <c r="G397"/>
      <c r="H397"/>
      <c r="J397"/>
      <c r="K397"/>
      <c r="L397"/>
      <c r="M397"/>
      <c r="N397"/>
      <c r="P397"/>
      <c r="Q397"/>
      <c r="R397"/>
      <c r="S397"/>
      <c r="T397"/>
      <c r="U397" s="46"/>
      <c r="V397" s="46"/>
    </row>
    <row r="398" spans="1:22" ht="25.15" customHeight="1" x14ac:dyDescent="0.25">
      <c r="A398" s="17"/>
      <c r="G398"/>
      <c r="H398"/>
      <c r="J398"/>
      <c r="K398"/>
      <c r="L398"/>
      <c r="M398"/>
      <c r="N398"/>
      <c r="P398"/>
      <c r="Q398"/>
      <c r="R398"/>
      <c r="S398"/>
      <c r="T398"/>
      <c r="U398" s="46"/>
      <c r="V398" s="46"/>
    </row>
    <row r="399" spans="1:22" ht="25.15" customHeight="1" x14ac:dyDescent="0.25">
      <c r="A399" s="17"/>
      <c r="G399"/>
      <c r="H399"/>
      <c r="J399"/>
      <c r="K399"/>
      <c r="L399"/>
      <c r="M399"/>
      <c r="N399"/>
      <c r="P399"/>
      <c r="Q399"/>
      <c r="R399"/>
      <c r="S399"/>
      <c r="T399"/>
      <c r="U399" s="46"/>
      <c r="V399" s="46"/>
    </row>
    <row r="400" spans="1:22" ht="25.15" customHeight="1" x14ac:dyDescent="0.25">
      <c r="A400" s="17"/>
      <c r="G400"/>
      <c r="H400"/>
      <c r="J400"/>
      <c r="K400"/>
      <c r="L400"/>
      <c r="M400"/>
      <c r="N400"/>
      <c r="P400"/>
      <c r="Q400"/>
      <c r="R400"/>
      <c r="S400"/>
      <c r="T400"/>
      <c r="U400" s="46"/>
      <c r="V400" s="46"/>
    </row>
    <row r="401" spans="1:22" ht="25.15" customHeight="1" x14ac:dyDescent="0.25">
      <c r="A401" s="17"/>
      <c r="G401"/>
      <c r="H401"/>
      <c r="J401"/>
      <c r="K401"/>
      <c r="L401"/>
      <c r="M401"/>
      <c r="N401"/>
      <c r="P401"/>
      <c r="Q401"/>
      <c r="R401"/>
      <c r="S401"/>
      <c r="T401"/>
      <c r="U401" s="46"/>
      <c r="V401" s="46"/>
    </row>
    <row r="402" spans="1:22" ht="25.15" customHeight="1" x14ac:dyDescent="0.25">
      <c r="A402" s="17"/>
      <c r="G402"/>
      <c r="H402"/>
      <c r="J402"/>
      <c r="K402"/>
      <c r="L402"/>
      <c r="M402"/>
      <c r="N402"/>
      <c r="P402"/>
      <c r="Q402"/>
      <c r="R402"/>
      <c r="S402"/>
      <c r="T402"/>
      <c r="U402" s="46"/>
      <c r="V402" s="46"/>
    </row>
    <row r="403" spans="1:22" ht="25.15" customHeight="1" x14ac:dyDescent="0.25">
      <c r="A403" s="17"/>
      <c r="G403"/>
      <c r="H403"/>
      <c r="J403"/>
      <c r="K403"/>
      <c r="L403"/>
      <c r="M403"/>
      <c r="N403"/>
      <c r="P403"/>
      <c r="Q403"/>
      <c r="R403"/>
      <c r="S403"/>
      <c r="T403"/>
      <c r="U403" s="46"/>
      <c r="V403" s="46"/>
    </row>
    <row r="404" spans="1:22" ht="25.15" customHeight="1" x14ac:dyDescent="0.25">
      <c r="A404" s="17"/>
      <c r="G404"/>
      <c r="H404"/>
      <c r="J404"/>
      <c r="K404"/>
      <c r="L404"/>
      <c r="M404"/>
      <c r="N404"/>
      <c r="P404"/>
      <c r="Q404"/>
      <c r="R404"/>
      <c r="S404"/>
      <c r="T404"/>
      <c r="U404" s="46"/>
      <c r="V404" s="46"/>
    </row>
    <row r="405" spans="1:22" ht="25.15" customHeight="1" x14ac:dyDescent="0.25">
      <c r="A405" s="17"/>
      <c r="G405"/>
      <c r="H405"/>
      <c r="J405"/>
      <c r="K405"/>
      <c r="L405"/>
      <c r="M405"/>
      <c r="N405"/>
      <c r="P405"/>
      <c r="Q405"/>
      <c r="R405"/>
      <c r="S405"/>
      <c r="T405"/>
      <c r="U405" s="46"/>
      <c r="V405" s="46"/>
    </row>
    <row r="406" spans="1:22" ht="25.15" customHeight="1" x14ac:dyDescent="0.25">
      <c r="A406" s="17"/>
      <c r="G406"/>
      <c r="H406"/>
      <c r="J406"/>
      <c r="K406"/>
      <c r="L406"/>
      <c r="M406"/>
      <c r="N406"/>
      <c r="P406"/>
      <c r="Q406"/>
      <c r="R406"/>
      <c r="S406"/>
      <c r="T406"/>
      <c r="U406" s="46"/>
      <c r="V406" s="46"/>
    </row>
    <row r="407" spans="1:22" ht="25.15" customHeight="1" x14ac:dyDescent="0.25">
      <c r="A407" s="17"/>
      <c r="G407"/>
      <c r="H407"/>
      <c r="J407"/>
      <c r="K407"/>
      <c r="L407"/>
      <c r="M407"/>
      <c r="N407"/>
      <c r="P407"/>
      <c r="Q407"/>
      <c r="R407"/>
      <c r="S407"/>
      <c r="T407"/>
      <c r="U407" s="46"/>
      <c r="V407" s="46"/>
    </row>
    <row r="408" spans="1:22" ht="25.15" customHeight="1" x14ac:dyDescent="0.25">
      <c r="A408" s="17"/>
      <c r="G408"/>
      <c r="H408"/>
      <c r="J408"/>
      <c r="K408"/>
      <c r="L408"/>
      <c r="M408"/>
      <c r="N408"/>
      <c r="P408"/>
      <c r="Q408"/>
      <c r="R408"/>
      <c r="S408"/>
      <c r="T408"/>
      <c r="U408" s="46"/>
      <c r="V408" s="46"/>
    </row>
    <row r="409" spans="1:22" ht="25.15" customHeight="1" x14ac:dyDescent="0.25">
      <c r="A409" s="17"/>
      <c r="G409"/>
      <c r="H409"/>
      <c r="J409"/>
      <c r="K409"/>
      <c r="L409"/>
      <c r="M409"/>
      <c r="N409"/>
      <c r="P409"/>
      <c r="Q409"/>
      <c r="R409"/>
      <c r="S409"/>
      <c r="T409"/>
      <c r="U409" s="46"/>
      <c r="V409" s="46"/>
    </row>
    <row r="410" spans="1:22" ht="25.15" customHeight="1" x14ac:dyDescent="0.25">
      <c r="A410" s="17"/>
      <c r="G410"/>
      <c r="H410"/>
      <c r="J410"/>
      <c r="K410"/>
      <c r="L410"/>
      <c r="M410"/>
      <c r="N410"/>
      <c r="P410"/>
      <c r="Q410"/>
      <c r="R410"/>
      <c r="S410"/>
      <c r="T410"/>
      <c r="U410" s="46"/>
      <c r="V410" s="46"/>
    </row>
    <row r="411" spans="1:22" ht="25.15" customHeight="1" x14ac:dyDescent="0.25">
      <c r="A411" s="17"/>
      <c r="G411"/>
      <c r="H411"/>
      <c r="J411"/>
      <c r="K411"/>
      <c r="L411"/>
      <c r="M411"/>
      <c r="N411"/>
      <c r="P411"/>
      <c r="Q411"/>
      <c r="R411"/>
      <c r="S411"/>
      <c r="T411"/>
      <c r="U411" s="46"/>
      <c r="V411" s="46"/>
    </row>
    <row r="412" spans="1:22" ht="25.15" customHeight="1" x14ac:dyDescent="0.25">
      <c r="A412" s="17"/>
      <c r="G412"/>
      <c r="H412"/>
      <c r="J412"/>
      <c r="K412"/>
      <c r="L412"/>
      <c r="M412"/>
      <c r="N412"/>
      <c r="P412"/>
      <c r="Q412"/>
      <c r="R412"/>
      <c r="S412"/>
      <c r="T412"/>
      <c r="U412" s="46"/>
      <c r="V412" s="46"/>
    </row>
    <row r="413" spans="1:22" ht="25.15" customHeight="1" x14ac:dyDescent="0.25">
      <c r="A413" s="17"/>
      <c r="G413"/>
      <c r="H413"/>
      <c r="J413"/>
      <c r="K413"/>
      <c r="L413"/>
      <c r="M413"/>
      <c r="N413"/>
      <c r="P413"/>
      <c r="Q413"/>
      <c r="R413"/>
      <c r="S413"/>
      <c r="T413"/>
      <c r="U413" s="46"/>
      <c r="V413" s="46"/>
    </row>
    <row r="414" spans="1:22" ht="25.15" customHeight="1" x14ac:dyDescent="0.25">
      <c r="A414" s="17"/>
      <c r="G414"/>
      <c r="H414"/>
      <c r="J414"/>
      <c r="K414"/>
      <c r="L414"/>
      <c r="M414"/>
      <c r="N414"/>
      <c r="P414"/>
      <c r="Q414"/>
      <c r="R414"/>
      <c r="S414"/>
      <c r="T414"/>
      <c r="U414" s="46"/>
      <c r="V414" s="46"/>
    </row>
    <row r="415" spans="1:22" ht="25.15" customHeight="1" x14ac:dyDescent="0.25">
      <c r="A415" s="17"/>
      <c r="G415"/>
      <c r="H415"/>
      <c r="J415"/>
      <c r="K415"/>
      <c r="L415"/>
      <c r="M415"/>
      <c r="N415"/>
      <c r="P415"/>
      <c r="Q415"/>
      <c r="R415"/>
      <c r="S415"/>
      <c r="T415"/>
      <c r="U415" s="46"/>
      <c r="V415" s="46"/>
    </row>
    <row r="416" spans="1:22" ht="25.15" customHeight="1" x14ac:dyDescent="0.25">
      <c r="A416" s="17"/>
      <c r="G416"/>
      <c r="H416"/>
      <c r="J416"/>
      <c r="K416"/>
      <c r="L416"/>
      <c r="M416"/>
      <c r="N416"/>
      <c r="P416"/>
      <c r="Q416"/>
      <c r="R416"/>
      <c r="S416"/>
      <c r="T416"/>
      <c r="U416" s="46"/>
      <c r="V416" s="46"/>
    </row>
    <row r="417" spans="1:22" ht="25.15" customHeight="1" x14ac:dyDescent="0.25">
      <c r="A417" s="17"/>
      <c r="G417"/>
      <c r="H417"/>
      <c r="J417"/>
      <c r="K417"/>
      <c r="L417"/>
      <c r="M417"/>
      <c r="N417"/>
      <c r="P417"/>
      <c r="Q417"/>
      <c r="R417"/>
      <c r="S417"/>
      <c r="T417"/>
      <c r="U417" s="46"/>
      <c r="V417" s="46"/>
    </row>
    <row r="418" spans="1:22" ht="25.15" customHeight="1" x14ac:dyDescent="0.25">
      <c r="A418" s="17"/>
      <c r="G418"/>
      <c r="H418"/>
      <c r="J418"/>
      <c r="K418"/>
      <c r="L418"/>
      <c r="M418"/>
      <c r="N418"/>
      <c r="P418"/>
      <c r="Q418"/>
      <c r="R418"/>
      <c r="S418"/>
      <c r="T418"/>
      <c r="U418" s="46"/>
      <c r="V418" s="46"/>
    </row>
    <row r="419" spans="1:22" ht="25.15" customHeight="1" x14ac:dyDescent="0.25">
      <c r="A419" s="17"/>
      <c r="G419"/>
      <c r="H419"/>
      <c r="J419"/>
      <c r="K419"/>
      <c r="L419"/>
      <c r="M419"/>
      <c r="N419"/>
      <c r="P419"/>
      <c r="Q419"/>
      <c r="R419"/>
      <c r="S419"/>
      <c r="T419"/>
      <c r="U419" s="46"/>
      <c r="V419" s="46"/>
    </row>
    <row r="420" spans="1:22" ht="25.15" customHeight="1" x14ac:dyDescent="0.25">
      <c r="A420" s="17"/>
      <c r="G420"/>
      <c r="H420"/>
      <c r="J420"/>
      <c r="K420"/>
      <c r="L420"/>
      <c r="M420"/>
      <c r="N420"/>
      <c r="P420"/>
      <c r="Q420"/>
      <c r="R420"/>
      <c r="S420"/>
      <c r="T420"/>
      <c r="U420" s="46"/>
      <c r="V420" s="46"/>
    </row>
    <row r="421" spans="1:22" ht="25.15" customHeight="1" x14ac:dyDescent="0.25">
      <c r="A421" s="17"/>
      <c r="G421"/>
      <c r="H421"/>
      <c r="J421"/>
      <c r="K421"/>
      <c r="L421"/>
      <c r="M421"/>
      <c r="N421"/>
      <c r="P421"/>
      <c r="Q421"/>
      <c r="R421"/>
      <c r="S421"/>
      <c r="T421"/>
      <c r="U421" s="46"/>
      <c r="V421" s="46"/>
    </row>
    <row r="422" spans="1:22" ht="25.15" customHeight="1" x14ac:dyDescent="0.25">
      <c r="A422" s="17"/>
      <c r="G422"/>
      <c r="H422"/>
      <c r="J422"/>
      <c r="K422"/>
      <c r="L422"/>
      <c r="M422"/>
      <c r="N422"/>
      <c r="P422"/>
      <c r="Q422"/>
      <c r="R422"/>
      <c r="S422"/>
      <c r="T422"/>
      <c r="U422" s="46"/>
      <c r="V422" s="46"/>
    </row>
    <row r="423" spans="1:22" ht="25.15" customHeight="1" x14ac:dyDescent="0.25">
      <c r="A423" s="17"/>
      <c r="G423"/>
      <c r="H423"/>
      <c r="J423"/>
      <c r="K423"/>
      <c r="L423"/>
      <c r="M423"/>
      <c r="N423"/>
      <c r="P423"/>
      <c r="Q423"/>
      <c r="R423"/>
      <c r="S423"/>
      <c r="T423"/>
      <c r="U423" s="46"/>
      <c r="V423" s="46"/>
    </row>
    <row r="424" spans="1:22" ht="25.15" customHeight="1" x14ac:dyDescent="0.25">
      <c r="A424" s="17"/>
      <c r="G424"/>
      <c r="H424"/>
      <c r="J424"/>
      <c r="K424"/>
      <c r="L424"/>
      <c r="M424"/>
      <c r="N424"/>
      <c r="P424"/>
      <c r="Q424"/>
      <c r="R424"/>
      <c r="S424"/>
      <c r="T424"/>
      <c r="U424" s="46"/>
      <c r="V424" s="46"/>
    </row>
    <row r="425" spans="1:22" ht="25.15" customHeight="1" x14ac:dyDescent="0.25">
      <c r="A425" s="17"/>
      <c r="G425"/>
      <c r="H425"/>
      <c r="J425"/>
      <c r="K425"/>
      <c r="L425"/>
      <c r="M425"/>
      <c r="N425"/>
      <c r="P425"/>
      <c r="Q425"/>
      <c r="R425"/>
      <c r="S425"/>
      <c r="T425"/>
      <c r="U425" s="46"/>
      <c r="V425" s="46"/>
    </row>
    <row r="426" spans="1:22" ht="25.15" customHeight="1" x14ac:dyDescent="0.25">
      <c r="A426" s="17"/>
      <c r="G426"/>
      <c r="H426"/>
      <c r="J426"/>
      <c r="K426"/>
      <c r="L426"/>
      <c r="M426"/>
      <c r="N426"/>
      <c r="P426"/>
      <c r="Q426"/>
      <c r="R426"/>
      <c r="S426"/>
      <c r="T426"/>
      <c r="U426" s="46"/>
      <c r="V426" s="46"/>
    </row>
    <row r="427" spans="1:22" ht="25.15" customHeight="1" x14ac:dyDescent="0.25">
      <c r="A427" s="17"/>
      <c r="G427"/>
      <c r="H427"/>
      <c r="J427"/>
      <c r="K427"/>
      <c r="L427"/>
      <c r="M427"/>
      <c r="N427"/>
      <c r="P427"/>
      <c r="Q427"/>
      <c r="R427"/>
      <c r="S427"/>
      <c r="T427"/>
      <c r="U427" s="46"/>
      <c r="V427" s="46"/>
    </row>
    <row r="428" spans="1:22" ht="25.15" customHeight="1" x14ac:dyDescent="0.25">
      <c r="A428" s="17"/>
      <c r="G428"/>
      <c r="H428"/>
      <c r="J428"/>
      <c r="K428"/>
      <c r="L428"/>
      <c r="M428"/>
      <c r="N428"/>
      <c r="P428"/>
      <c r="Q428"/>
      <c r="R428"/>
      <c r="S428"/>
      <c r="T428"/>
      <c r="U428" s="46"/>
      <c r="V428" s="46"/>
    </row>
    <row r="429" spans="1:22" ht="25.15" customHeight="1" x14ac:dyDescent="0.25">
      <c r="H429"/>
      <c r="U429" s="46"/>
      <c r="V429" s="46"/>
    </row>
    <row r="430" spans="1:22" ht="25.15" customHeight="1" x14ac:dyDescent="0.25">
      <c r="U430" s="46"/>
      <c r="V430" s="46"/>
    </row>
    <row r="431" spans="1:22" ht="25.15" customHeight="1" x14ac:dyDescent="0.25">
      <c r="U431" s="46"/>
      <c r="V431" s="46"/>
    </row>
    <row r="432" spans="1:22" ht="25.15" customHeight="1" x14ac:dyDescent="0.25">
      <c r="U432" s="46"/>
      <c r="V432" s="46"/>
    </row>
    <row r="433" spans="21:22" ht="25.15" customHeight="1" x14ac:dyDescent="0.25">
      <c r="U433" s="46"/>
      <c r="V433" s="46"/>
    </row>
    <row r="434" spans="21:22" ht="25.15" customHeight="1" x14ac:dyDescent="0.25">
      <c r="U434" s="46"/>
      <c r="V434" s="46"/>
    </row>
    <row r="435" spans="21:22" ht="25.15" customHeight="1" x14ac:dyDescent="0.25">
      <c r="U435" s="46"/>
      <c r="V435" s="46"/>
    </row>
    <row r="436" spans="21:22" ht="25.15" customHeight="1" x14ac:dyDescent="0.25"/>
    <row r="437" spans="21:22" ht="25.15" customHeight="1" x14ac:dyDescent="0.25"/>
  </sheetData>
  <phoneticPr fontId="8" type="noConversion"/>
  <conditionalFormatting sqref="E2:T43">
    <cfRule type="cellIs" dxfId="40" priority="1" operator="lessThan">
      <formula>6</formula>
    </cfRule>
  </conditionalFormatting>
  <conditionalFormatting sqref="P1:T1 E44:H45 J44:T45 E46:T1048576">
    <cfRule type="cellIs" dxfId="39" priority="20" operator="lessThan">
      <formula>6</formula>
    </cfRule>
  </conditionalFormatting>
  <conditionalFormatting sqref="U1:U35 V2:V35 U41:U1048576">
    <cfRule type="cellIs" dxfId="38" priority="19" operator="greaterThan">
      <formula>19</formula>
    </cfRule>
  </conditionalFormatting>
  <conditionalFormatting sqref="V1 V41:V1048576">
    <cfRule type="cellIs" dxfId="37" priority="18" operator="greaterThan">
      <formula>5</formula>
    </cfRule>
  </conditionalFormatting>
  <conditionalFormatting sqref="AE1">
    <cfRule type="cellIs" dxfId="36" priority="17" operator="lessThan">
      <formula>6</formula>
    </cfRule>
  </conditionalFormatting>
  <conditionalFormatting sqref="AG1:AG35 AG38:AG1048576">
    <cfRule type="cellIs" dxfId="35" priority="15" operator="greaterThan">
      <formula>14</formula>
    </cfRule>
  </conditionalFormatting>
  <conditionalFormatting sqref="AK1:AK35 AK38:AK1048576">
    <cfRule type="cellIs" dxfId="34" priority="16" operator="greaterThan">
      <formula>4</formula>
    </cfRule>
  </conditionalFormatting>
  <dataValidations xWindow="863" yWindow="291" count="12">
    <dataValidation allowBlank="1" showInputMessage="1" showErrorMessage="1" promptTitle="Petunjuk pengisian" prompt="Izin 20 Hari dalam 1 Semester dapat menurunkan satu nilai akhlaq" sqref="AE1" xr:uid="{00000000-0002-0000-0800-000000000000}"/>
    <dataValidation allowBlank="1" showInputMessage="1" showErrorMessage="1" promptTitle="Petunjuk Pengisian" prompt="Tidak Izin 6 Hari dalam 1 Semester dapat menurunkan satu nilai akhlaq" sqref="V41:V1048576 V1" xr:uid="{00000000-0002-0000-0800-000001000000}"/>
    <dataValidation allowBlank="1" showInputMessage="1" showErrorMessage="1" promptTitle="petunjuk Pengisian " prompt="Izin 20 Hari dalam 1 Semester dapat menurunkan satu nilai akhlaq" sqref="U41:U1048576 V2:V35 U1:U35" xr:uid="{00000000-0002-0000-0800-000002000000}"/>
    <dataValidation allowBlank="1" showInputMessage="1" showErrorMessage="1" promptTitle="PETUNJUIK PENGISIAN" prompt="IZIN 15 HARI DALAM 1 TAHUN (SEMESTER I &amp; II )MENURUNKAN SATU NILAI PRESTASI" sqref="AG38:AG1048576 AG1:AG35" xr:uid="{00000000-0002-0000-0800-000003000000}"/>
    <dataValidation allowBlank="1" showInputMessage="1" showErrorMessage="1" promptTitle="PETUNJUK PENGISIAN" prompt="TIDAK IZIN 5 HARI DALAM 1 TAHUN (SEMESTER I &amp; II )MENURUNKAN SATU NILAI PRESTASI" sqref="AK38:AK1048576 AK1:AK35" xr:uid="{00000000-0002-0000-0800-000004000000}"/>
    <dataValidation allowBlank="1" showInputMessage="1" showErrorMessage="1" promptTitle="petunjuk pengisian" prompt="Jumlah Nilai siswi Semester I &amp; II dibagi Jumlah Pelajaran semster I &amp; II" sqref="AB38:AB1048576 AB1:AB35" xr:uid="{00000000-0002-0000-0800-000005000000}"/>
    <dataValidation allowBlank="1" showInputMessage="1" showErrorMessage="1" promptTitle="Petunjuk Pengisian" prompt="Jumlah Mata pelajran semester I &amp; II" sqref="AA38:AA1048576 AA1:AA35" xr:uid="{00000000-0002-0000-0800-000006000000}"/>
    <dataValidation allowBlank="1" showInputMessage="1" showErrorMessage="1" promptTitle="Petunjuk pengisian" prompt="Jumlah Nilai Pelajaran siswi semester I &amp; II" sqref="Z38:Z1048576 Z1:Z35" xr:uid="{00000000-0002-0000-0800-000007000000}"/>
    <dataValidation allowBlank="1" showInputMessage="1" showErrorMessage="1" promptTitle="Petunjuk Pengisian" prompt="Jumlah Nilai pelajaran siswi" sqref="X38:Y1048576 X1:Y35" xr:uid="{00000000-0002-0000-0800-000008000000}"/>
    <dataValidation allowBlank="1" showInputMessage="1" showErrorMessage="1" promptTitle="Petunjuk Pengisian" prompt="jumlah nilai pelajaran seluruh siswi dibagi Jumlah siswi _x000a_- tanpa mengikutkan yang boyong _x000a_- cuty tetap diikutkan_x000a_- siswi yang her/ tanpa keterangan dikira kirakan 4 nilainya" sqref="H40 H55" xr:uid="{00000000-0002-0000-0800-000009000000}"/>
    <dataValidation allowBlank="1" showInputMessage="1" showErrorMessage="1" promptTitle="Petunjuk Pengisian" prompt="jumlah nilai pelajaran seluruh siswi dibagi Jumlah siswi _x000a_- tanpa mengikutkan yang boyong/ cuty_x000a_- siswi yang her/ tanpa keterangan dikira kirakan 4 nilainya" sqref="H41:H54" xr:uid="{00000000-0002-0000-0800-00000B000000}"/>
    <dataValidation allowBlank="1" showInputMessage="1" showErrorMessage="1" promptTitle="Petunjuk Pengisian" prompt="Jika Nilai Rata-ratanya mencapai_x000a_9 : الجيد الأول_x000a_8 : الجيد الثاني_x000a_7 : المتوسط الأول_x000a_6 : المتوسط الثاني_x000a_5 : الرديء/ المثبت" sqref="AC1:AC1048576" xr:uid="{00000000-0002-0000-0800-00000A000000}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K441"/>
  <sheetViews>
    <sheetView topLeftCell="A7" zoomScale="70" zoomScaleNormal="70" workbookViewId="0">
      <selection activeCell="F2" sqref="F2"/>
    </sheetView>
  </sheetViews>
  <sheetFormatPr defaultRowHeight="30" x14ac:dyDescent="0.25"/>
  <cols>
    <col min="1" max="1" width="14.85546875" style="35" customWidth="1"/>
    <col min="2" max="2" width="32.42578125" style="81" customWidth="1"/>
    <col min="3" max="3" width="16.85546875" style="7" customWidth="1"/>
    <col min="4" max="4" width="14.85546875" style="7" customWidth="1"/>
    <col min="5" max="5" width="17.7109375" style="3" customWidth="1"/>
    <col min="6" max="6" width="7.42578125" style="5" customWidth="1"/>
    <col min="7" max="8" width="17.7109375" style="5" customWidth="1"/>
    <col min="9" max="9" width="17.7109375" style="25" customWidth="1"/>
    <col min="10" max="14" width="17.7109375" style="5" customWidth="1"/>
    <col min="15" max="15" width="17.7109375" style="25" customWidth="1"/>
    <col min="16" max="18" width="17.7109375" style="5" customWidth="1"/>
    <col min="19" max="19" width="11.140625" style="5" customWidth="1"/>
    <col min="20" max="20" width="12.85546875" style="6" customWidth="1"/>
    <col min="21" max="22" width="8.7109375" style="45" customWidth="1"/>
    <col min="24" max="24" width="13.42578125" style="30" customWidth="1"/>
    <col min="25" max="25" width="13.28515625" style="30" customWidth="1"/>
    <col min="26" max="26" width="14.85546875" style="32" customWidth="1"/>
    <col min="27" max="27" width="17.7109375" style="30" customWidth="1"/>
    <col min="28" max="28" width="10.7109375" style="32" customWidth="1"/>
    <col min="29" max="29" width="13.42578125" style="31" customWidth="1"/>
    <col min="31" max="31" width="11" style="53" customWidth="1"/>
    <col min="32" max="32" width="9.140625" style="53" customWidth="1"/>
    <col min="33" max="33" width="14" style="54" customWidth="1"/>
    <col min="34" max="34" width="9.140625" customWidth="1"/>
    <col min="35" max="36" width="9.140625" style="53" customWidth="1"/>
    <col min="37" max="37" width="18.28515625" style="55" customWidth="1"/>
  </cols>
  <sheetData>
    <row r="1" spans="1:37" s="20" customFormat="1" ht="25.15" customHeight="1" thickBot="1" x14ac:dyDescent="0.3">
      <c r="A1" s="34" t="s">
        <v>1</v>
      </c>
      <c r="B1" s="78" t="s">
        <v>0</v>
      </c>
      <c r="C1" s="11" t="s">
        <v>2</v>
      </c>
      <c r="D1" s="11" t="s">
        <v>13</v>
      </c>
      <c r="E1" s="39" t="s">
        <v>3</v>
      </c>
      <c r="F1" s="36"/>
      <c r="G1" s="21" t="s">
        <v>51</v>
      </c>
      <c r="H1" s="21" t="s">
        <v>4</v>
      </c>
      <c r="I1" s="22" t="s">
        <v>52</v>
      </c>
      <c r="J1" s="21" t="s">
        <v>5</v>
      </c>
      <c r="K1" s="21" t="s">
        <v>53</v>
      </c>
      <c r="L1" s="21" t="s">
        <v>73</v>
      </c>
      <c r="M1" s="21" t="s">
        <v>54</v>
      </c>
      <c r="N1" s="21" t="s">
        <v>55</v>
      </c>
      <c r="O1" s="22" t="s">
        <v>57</v>
      </c>
      <c r="P1" s="12" t="s">
        <v>6</v>
      </c>
      <c r="Q1" s="12" t="s">
        <v>7</v>
      </c>
      <c r="R1" s="12" t="s">
        <v>8</v>
      </c>
      <c r="S1" s="12" t="s">
        <v>9</v>
      </c>
      <c r="T1" s="13" t="s">
        <v>10</v>
      </c>
      <c r="U1" s="43" t="s">
        <v>11</v>
      </c>
      <c r="V1" s="43" t="s">
        <v>12</v>
      </c>
      <c r="X1" s="26" t="s">
        <v>58</v>
      </c>
      <c r="Y1" s="26" t="s">
        <v>59</v>
      </c>
      <c r="Z1" s="26" t="s">
        <v>60</v>
      </c>
      <c r="AA1" s="26" t="s">
        <v>61</v>
      </c>
      <c r="AB1" s="26" t="s">
        <v>62</v>
      </c>
      <c r="AC1" s="26" t="s">
        <v>63</v>
      </c>
      <c r="AE1" s="47" t="s">
        <v>67</v>
      </c>
      <c r="AF1" s="48" t="s">
        <v>68</v>
      </c>
      <c r="AG1" s="49" t="s">
        <v>69</v>
      </c>
      <c r="AH1" s="42"/>
      <c r="AI1" s="50" t="s">
        <v>70</v>
      </c>
      <c r="AJ1" s="50" t="s">
        <v>71</v>
      </c>
      <c r="AK1" s="49" t="s">
        <v>72</v>
      </c>
    </row>
    <row r="2" spans="1:37" s="1" customFormat="1" ht="25.15" customHeight="1" thickBot="1" x14ac:dyDescent="0.3">
      <c r="A2" s="41" t="str">
        <f>'2 ALIYAH D'!A2:C33</f>
        <v>01</v>
      </c>
      <c r="B2" s="79" t="str">
        <f>'2 ALIYAH D'!B2:D33</f>
        <v>ABIDAH SYAKIRAH</v>
      </c>
      <c r="C2" s="41">
        <f>'2 ALIYAH D'!C2:E33</f>
        <v>2651</v>
      </c>
      <c r="D2" s="19" t="s">
        <v>14</v>
      </c>
      <c r="E2" s="3" t="str">
        <f>TEXT(F2,"[$-2000000]0")</f>
        <v>٠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>
        <f t="shared" ref="T2:T39" si="0">SUM(E2:S2)</f>
        <v>0</v>
      </c>
      <c r="U2" s="44" t="s">
        <v>56</v>
      </c>
      <c r="V2" s="44" t="s">
        <v>56</v>
      </c>
      <c r="X2" s="27">
        <f>'2 ALIYAH D'!T2:T33</f>
        <v>98</v>
      </c>
      <c r="Y2" s="27">
        <f t="shared" ref="Y2:Y39" si="1">T2</f>
        <v>0</v>
      </c>
      <c r="Z2" s="28">
        <f t="shared" ref="Z2:Z39" si="2">X2+Y2</f>
        <v>98</v>
      </c>
      <c r="AA2" s="27">
        <v>26</v>
      </c>
      <c r="AB2" s="28">
        <f>Z2/AA2</f>
        <v>4</v>
      </c>
      <c r="AC2" s="29">
        <f t="shared" ref="AC2:AC39" si="3">IF(AB2&gt;=8.5,"الجيد الأول",IF(AB2&gt;=7.5,"الجيد الثاني",IF(AB2&gt;=6.5,"المتوسط الأول",IF(AB2&gt;=5.5,"المتوسط الثاني",IF(AB2&gt;=4.5,"الرديء",)))))</f>
        <v>0</v>
      </c>
      <c r="AE2" s="51" t="str">
        <f>'2 ALIYAH D'!U2:U34</f>
        <v>-</v>
      </c>
      <c r="AF2" s="51" t="str">
        <f>U2:U38</f>
        <v>-</v>
      </c>
      <c r="AG2" s="52">
        <f>SUM(AE2:AF2)</f>
        <v>0</v>
      </c>
      <c r="AI2" s="51">
        <f>'2 ALIYAH D'!V2:V33</f>
        <v>2</v>
      </c>
      <c r="AJ2" s="51" t="str">
        <f>V2:V27</f>
        <v>-</v>
      </c>
      <c r="AK2" s="52">
        <f>SUM(AI2:AJ2)</f>
        <v>2</v>
      </c>
    </row>
    <row r="3" spans="1:37" s="1" customFormat="1" ht="25.15" customHeight="1" thickBot="1" x14ac:dyDescent="0.3">
      <c r="A3" s="41" t="str">
        <f>'2 ALIYAH D'!A3:C34</f>
        <v>02</v>
      </c>
      <c r="B3" s="79" t="str">
        <f>'2 ALIYAH D'!B3:D34</f>
        <v>AISA DAFA AZALIA</v>
      </c>
      <c r="C3" s="41">
        <f>'2 ALIYAH D'!C3:E34</f>
        <v>2721</v>
      </c>
      <c r="D3" s="19" t="s">
        <v>15</v>
      </c>
      <c r="E3" s="3" t="str">
        <f t="shared" ref="E3:E39" si="4">TEXT(F3,"[$-2000000]0")</f>
        <v>٠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>
        <f t="shared" si="0"/>
        <v>0</v>
      </c>
      <c r="U3" s="44" t="s">
        <v>56</v>
      </c>
      <c r="V3" s="44" t="s">
        <v>56</v>
      </c>
      <c r="X3" s="27">
        <f>'2 ALIYAH D'!T3:T34</f>
        <v>104</v>
      </c>
      <c r="Y3" s="27">
        <f t="shared" si="1"/>
        <v>0</v>
      </c>
      <c r="Z3" s="28">
        <f t="shared" si="2"/>
        <v>104</v>
      </c>
      <c r="AA3" s="27">
        <v>26</v>
      </c>
      <c r="AB3" s="28">
        <f t="shared" ref="AB3:AB39" si="5">Z3/AA3</f>
        <v>4</v>
      </c>
      <c r="AC3" s="29">
        <f t="shared" si="3"/>
        <v>0</v>
      </c>
      <c r="AE3" s="51" t="str">
        <f>'2 ALIYAH D'!U3:U35</f>
        <v>-</v>
      </c>
      <c r="AF3" s="51" t="str">
        <f>U3:U38</f>
        <v>-</v>
      </c>
      <c r="AG3" s="52">
        <f t="shared" ref="AG3:AG38" si="6">SUM(AE3:AF3)</f>
        <v>0</v>
      </c>
      <c r="AI3" s="51" t="str">
        <f>'2 ALIYAH D'!V3:V34</f>
        <v>-</v>
      </c>
      <c r="AJ3" s="51" t="str">
        <f t="shared" ref="AJ3:AJ13" si="7">V3:V28</f>
        <v>-</v>
      </c>
      <c r="AK3" s="52">
        <f t="shared" ref="AK3:AK38" si="8">SUM(AI3:AJ3)</f>
        <v>0</v>
      </c>
    </row>
    <row r="4" spans="1:37" s="1" customFormat="1" ht="25.15" customHeight="1" thickBot="1" x14ac:dyDescent="0.3">
      <c r="A4" s="41" t="str">
        <f>'2 ALIYAH D'!A4:C35</f>
        <v>03</v>
      </c>
      <c r="B4" s="79" t="str">
        <f>'2 ALIYAH D'!B4:D35</f>
        <v>ARIFATUL KHUSNA</v>
      </c>
      <c r="C4" s="41">
        <f>'2 ALIYAH D'!C4:E35</f>
        <v>2726</v>
      </c>
      <c r="D4" s="19" t="s">
        <v>16</v>
      </c>
      <c r="E4" s="3" t="str">
        <f t="shared" si="4"/>
        <v>٠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>
        <f t="shared" si="0"/>
        <v>0</v>
      </c>
      <c r="U4" s="44" t="s">
        <v>56</v>
      </c>
      <c r="V4" s="44" t="s">
        <v>56</v>
      </c>
      <c r="X4" s="27">
        <f>'2 ALIYAH D'!T4:T35</f>
        <v>85</v>
      </c>
      <c r="Y4" s="27">
        <f t="shared" si="1"/>
        <v>0</v>
      </c>
      <c r="Z4" s="28">
        <f t="shared" si="2"/>
        <v>85</v>
      </c>
      <c r="AA4" s="27">
        <v>26</v>
      </c>
      <c r="AB4" s="28">
        <f t="shared" si="5"/>
        <v>3</v>
      </c>
      <c r="AC4" s="29">
        <f t="shared" si="3"/>
        <v>0</v>
      </c>
      <c r="AE4" s="51">
        <f>'2 ALIYAH D'!U4:U36</f>
        <v>1</v>
      </c>
      <c r="AF4" s="51" t="str">
        <f>U4:U38</f>
        <v>-</v>
      </c>
      <c r="AG4" s="52">
        <f t="shared" si="6"/>
        <v>1</v>
      </c>
      <c r="AI4" s="51" t="str">
        <f>'2 ALIYAH D'!V4:V35</f>
        <v>-</v>
      </c>
      <c r="AJ4" s="51" t="str">
        <f t="shared" si="7"/>
        <v>-</v>
      </c>
      <c r="AK4" s="52">
        <f t="shared" si="8"/>
        <v>0</v>
      </c>
    </row>
    <row r="5" spans="1:37" s="1" customFormat="1" ht="25.15" customHeight="1" thickBot="1" x14ac:dyDescent="0.3">
      <c r="A5" s="41" t="str">
        <f>'2 ALIYAH D'!A5:C36</f>
        <v>04</v>
      </c>
      <c r="B5" s="79" t="str">
        <f>'2 ALIYAH D'!B5:D36</f>
        <v>ATINA MAHSUNAH</v>
      </c>
      <c r="C5" s="41">
        <f>'2 ALIYAH D'!C5:E36</f>
        <v>2793</v>
      </c>
      <c r="D5" s="19" t="s">
        <v>17</v>
      </c>
      <c r="E5" s="3" t="str">
        <f t="shared" si="4"/>
        <v>٠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>
        <f t="shared" si="0"/>
        <v>0</v>
      </c>
      <c r="U5" s="44" t="s">
        <v>56</v>
      </c>
      <c r="V5" s="44" t="s">
        <v>56</v>
      </c>
      <c r="X5" s="27">
        <f>'2 ALIYAH D'!T5:T36</f>
        <v>112</v>
      </c>
      <c r="Y5" s="27">
        <f t="shared" si="1"/>
        <v>0</v>
      </c>
      <c r="Z5" s="28">
        <f t="shared" si="2"/>
        <v>112</v>
      </c>
      <c r="AA5" s="27">
        <v>26</v>
      </c>
      <c r="AB5" s="28">
        <f t="shared" si="5"/>
        <v>4</v>
      </c>
      <c r="AC5" s="29">
        <f t="shared" si="3"/>
        <v>0</v>
      </c>
      <c r="AE5" s="51">
        <f>'2 ALIYAH D'!U5:U37</f>
        <v>5</v>
      </c>
      <c r="AF5" s="51" t="str">
        <f>U5:U38</f>
        <v>-</v>
      </c>
      <c r="AG5" s="52">
        <f t="shared" si="6"/>
        <v>5</v>
      </c>
      <c r="AI5" s="51" t="str">
        <f>'2 ALIYAH D'!V5:V36</f>
        <v>-</v>
      </c>
      <c r="AJ5" s="51" t="str">
        <f t="shared" si="7"/>
        <v>-</v>
      </c>
      <c r="AK5" s="52">
        <f t="shared" si="8"/>
        <v>0</v>
      </c>
    </row>
    <row r="6" spans="1:37" s="1" customFormat="1" ht="25.15" customHeight="1" thickBot="1" x14ac:dyDescent="0.3">
      <c r="A6" s="41" t="str">
        <f>'2 ALIYAH D'!A6:C37</f>
        <v>05</v>
      </c>
      <c r="B6" s="128" t="s">
        <v>174</v>
      </c>
      <c r="C6" s="41">
        <f>'2 ALIYAH D'!C6:E37</f>
        <v>2821</v>
      </c>
      <c r="D6" s="19" t="s">
        <v>18</v>
      </c>
      <c r="E6" s="3" t="str">
        <f t="shared" si="4"/>
        <v>٠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>
        <f t="shared" si="0"/>
        <v>0</v>
      </c>
      <c r="U6" s="44" t="s">
        <v>56</v>
      </c>
      <c r="V6" s="44" t="s">
        <v>56</v>
      </c>
      <c r="X6" s="27">
        <f>'2 ALIYAH D'!T6:T37</f>
        <v>89</v>
      </c>
      <c r="Y6" s="27">
        <f t="shared" si="1"/>
        <v>0</v>
      </c>
      <c r="Z6" s="28">
        <f t="shared" si="2"/>
        <v>89</v>
      </c>
      <c r="AA6" s="27">
        <v>26</v>
      </c>
      <c r="AB6" s="28">
        <f t="shared" si="5"/>
        <v>3</v>
      </c>
      <c r="AC6" s="29">
        <f t="shared" si="3"/>
        <v>0</v>
      </c>
      <c r="AE6" s="51" t="str">
        <f>'2 ALIYAH D'!U6:U38</f>
        <v>-</v>
      </c>
      <c r="AF6" s="51" t="str">
        <f>U6:U38</f>
        <v>-</v>
      </c>
      <c r="AG6" s="52">
        <f t="shared" si="6"/>
        <v>0</v>
      </c>
      <c r="AI6" s="51" t="str">
        <f>'2 ALIYAH D'!V6:V37</f>
        <v>-</v>
      </c>
      <c r="AJ6" s="51" t="str">
        <f t="shared" si="7"/>
        <v>-</v>
      </c>
      <c r="AK6" s="52">
        <f t="shared" si="8"/>
        <v>0</v>
      </c>
    </row>
    <row r="7" spans="1:37" s="1" customFormat="1" ht="25.15" customHeight="1" thickBot="1" x14ac:dyDescent="0.3">
      <c r="A7" s="41" t="str">
        <f>'2 ALIYAH D'!A7:C38</f>
        <v>06</v>
      </c>
      <c r="B7" s="128" t="s">
        <v>200</v>
      </c>
      <c r="C7" s="41">
        <f>'2 ALIYAH D'!C7:E38</f>
        <v>2757</v>
      </c>
      <c r="D7" s="19" t="s">
        <v>19</v>
      </c>
      <c r="E7" s="3" t="str">
        <f t="shared" si="4"/>
        <v>٠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4">
        <f>SUM(E7:S7)</f>
        <v>0</v>
      </c>
      <c r="U7" s="44" t="s">
        <v>56</v>
      </c>
      <c r="V7" s="44" t="s">
        <v>56</v>
      </c>
      <c r="X7" s="27">
        <f>'2 ALIYAH D'!T7:T38</f>
        <v>85</v>
      </c>
      <c r="Y7" s="27">
        <f t="shared" si="1"/>
        <v>0</v>
      </c>
      <c r="Z7" s="28">
        <f t="shared" si="2"/>
        <v>85</v>
      </c>
      <c r="AA7" s="27">
        <v>26</v>
      </c>
      <c r="AB7" s="28">
        <f t="shared" si="5"/>
        <v>3</v>
      </c>
      <c r="AC7" s="29">
        <f t="shared" si="3"/>
        <v>0</v>
      </c>
      <c r="AE7" s="51">
        <f>'2 ALIYAH D'!U7:U39</f>
        <v>4</v>
      </c>
      <c r="AF7" s="51" t="str">
        <f>U7:U38</f>
        <v>-</v>
      </c>
      <c r="AG7" s="52">
        <f t="shared" si="6"/>
        <v>4</v>
      </c>
      <c r="AI7" s="51">
        <f>'2 ALIYAH D'!V7:V38</f>
        <v>2</v>
      </c>
      <c r="AJ7" s="51" t="str">
        <f t="shared" si="7"/>
        <v>-</v>
      </c>
      <c r="AK7" s="52">
        <f t="shared" si="8"/>
        <v>2</v>
      </c>
    </row>
    <row r="8" spans="1:37" s="1" customFormat="1" ht="25.15" customHeight="1" thickBot="1" x14ac:dyDescent="0.3">
      <c r="A8" s="41" t="str">
        <f>'2 ALIYAH D'!A8:C39</f>
        <v>07</v>
      </c>
      <c r="B8" s="123" t="s">
        <v>175</v>
      </c>
      <c r="C8" s="41">
        <f>'2 ALIYAH D'!C8:E39</f>
        <v>2758</v>
      </c>
      <c r="D8" s="19" t="s">
        <v>20</v>
      </c>
      <c r="E8" s="3" t="str">
        <f t="shared" si="4"/>
        <v>٠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4">
        <f t="shared" si="0"/>
        <v>0</v>
      </c>
      <c r="U8" s="44" t="s">
        <v>56</v>
      </c>
      <c r="V8" s="44" t="s">
        <v>56</v>
      </c>
      <c r="X8" s="27">
        <f>'2 ALIYAH D'!T8:T39</f>
        <v>96</v>
      </c>
      <c r="Y8" s="27">
        <f t="shared" si="1"/>
        <v>0</v>
      </c>
      <c r="Z8" s="28">
        <f t="shared" si="2"/>
        <v>96</v>
      </c>
      <c r="AA8" s="27">
        <v>26</v>
      </c>
      <c r="AB8" s="28">
        <f t="shared" si="5"/>
        <v>4</v>
      </c>
      <c r="AC8" s="29">
        <f t="shared" si="3"/>
        <v>0</v>
      </c>
      <c r="AE8" s="51" t="str">
        <f>'2 ALIYAH D'!U8:U40</f>
        <v>-</v>
      </c>
      <c r="AF8" s="51" t="str">
        <f>U8:U38</f>
        <v>-</v>
      </c>
      <c r="AG8" s="52">
        <f t="shared" si="6"/>
        <v>0</v>
      </c>
      <c r="AI8" s="51" t="str">
        <f>'2 ALIYAH D'!V8:V39</f>
        <v>-</v>
      </c>
      <c r="AJ8" s="51" t="str">
        <f t="shared" si="7"/>
        <v>-</v>
      </c>
      <c r="AK8" s="52">
        <f t="shared" si="8"/>
        <v>0</v>
      </c>
    </row>
    <row r="9" spans="1:37" s="1" customFormat="1" ht="25.15" customHeight="1" thickBot="1" x14ac:dyDescent="0.3">
      <c r="A9" s="41" t="str">
        <f>'2 ALIYAH D'!A9:C40</f>
        <v>08</v>
      </c>
      <c r="B9" s="124" t="s">
        <v>176</v>
      </c>
      <c r="C9" s="41">
        <f>'2 ALIYAH D'!C9:E40</f>
        <v>2857</v>
      </c>
      <c r="D9" s="19" t="s">
        <v>21</v>
      </c>
      <c r="E9" s="3" t="str">
        <f t="shared" si="4"/>
        <v>٠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4">
        <f t="shared" si="0"/>
        <v>0</v>
      </c>
      <c r="U9" s="44" t="s">
        <v>56</v>
      </c>
      <c r="V9" s="44" t="s">
        <v>56</v>
      </c>
      <c r="X9" s="27">
        <f>'2 ALIYAH D'!T9:T40</f>
        <v>101</v>
      </c>
      <c r="Y9" s="27">
        <f t="shared" si="1"/>
        <v>0</v>
      </c>
      <c r="Z9" s="28">
        <f t="shared" si="2"/>
        <v>101</v>
      </c>
      <c r="AA9" s="27">
        <v>26</v>
      </c>
      <c r="AB9" s="28">
        <f t="shared" si="5"/>
        <v>4</v>
      </c>
      <c r="AC9" s="29">
        <f t="shared" si="3"/>
        <v>0</v>
      </c>
      <c r="AE9" s="51" t="str">
        <f>'2 ALIYAH D'!U9:U41</f>
        <v>-</v>
      </c>
      <c r="AF9" s="51" t="str">
        <f>U9:U38</f>
        <v>-</v>
      </c>
      <c r="AG9" s="52">
        <f t="shared" si="6"/>
        <v>0</v>
      </c>
      <c r="AI9" s="51" t="str">
        <f>'2 ALIYAH D'!V9:V40</f>
        <v>-</v>
      </c>
      <c r="AJ9" s="51" t="str">
        <f t="shared" si="7"/>
        <v>-</v>
      </c>
      <c r="AK9" s="52">
        <f t="shared" si="8"/>
        <v>0</v>
      </c>
    </row>
    <row r="10" spans="1:37" s="1" customFormat="1" ht="25.15" customHeight="1" thickBot="1" x14ac:dyDescent="0.3">
      <c r="A10" s="41" t="str">
        <f>'2 ALIYAH D'!A10:C41</f>
        <v>09</v>
      </c>
      <c r="B10" s="124" t="s">
        <v>177</v>
      </c>
      <c r="C10" s="41">
        <f>'2 ALIYAH D'!C10:E41</f>
        <v>2733</v>
      </c>
      <c r="D10" s="19" t="s">
        <v>22</v>
      </c>
      <c r="E10" s="3" t="str">
        <f t="shared" si="4"/>
        <v>٠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4">
        <f t="shared" si="0"/>
        <v>0</v>
      </c>
      <c r="U10" s="44" t="s">
        <v>56</v>
      </c>
      <c r="V10" s="44" t="s">
        <v>56</v>
      </c>
      <c r="X10" s="27">
        <f>'2 ALIYAH D'!T10:T41</f>
        <v>85</v>
      </c>
      <c r="Y10" s="27">
        <f t="shared" si="1"/>
        <v>0</v>
      </c>
      <c r="Z10" s="28">
        <f t="shared" si="2"/>
        <v>85</v>
      </c>
      <c r="AA10" s="27">
        <v>26</v>
      </c>
      <c r="AB10" s="28">
        <f t="shared" si="5"/>
        <v>3</v>
      </c>
      <c r="AC10" s="29">
        <f t="shared" si="3"/>
        <v>0</v>
      </c>
      <c r="AE10" s="51">
        <f>'2 ALIYAH D'!U10:U42</f>
        <v>1</v>
      </c>
      <c r="AF10" s="51" t="str">
        <f>U10:U38</f>
        <v>-</v>
      </c>
      <c r="AG10" s="52">
        <f t="shared" si="6"/>
        <v>1</v>
      </c>
      <c r="AI10" s="51" t="str">
        <f>'2 ALIYAH D'!V10:V41</f>
        <v>-</v>
      </c>
      <c r="AJ10" s="51" t="str">
        <f t="shared" si="7"/>
        <v>-</v>
      </c>
      <c r="AK10" s="52">
        <f t="shared" si="8"/>
        <v>0</v>
      </c>
    </row>
    <row r="11" spans="1:37" s="1" customFormat="1" ht="25.15" customHeight="1" thickBot="1" x14ac:dyDescent="0.3">
      <c r="A11" s="41" t="str">
        <f>'2 ALIYAH D'!A11:C42</f>
        <v>10</v>
      </c>
      <c r="B11" s="124" t="s">
        <v>178</v>
      </c>
      <c r="C11" s="41">
        <f>'2 ALIYAH D'!C11:E42</f>
        <v>2862</v>
      </c>
      <c r="D11" s="19" t="s">
        <v>23</v>
      </c>
      <c r="E11" s="3" t="str">
        <f t="shared" si="4"/>
        <v>٠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4">
        <f t="shared" si="0"/>
        <v>0</v>
      </c>
      <c r="U11" s="44" t="s">
        <v>56</v>
      </c>
      <c r="V11" s="44" t="s">
        <v>56</v>
      </c>
      <c r="X11" s="27">
        <f>'2 ALIYAH D'!T11:T42</f>
        <v>104</v>
      </c>
      <c r="Y11" s="27">
        <f t="shared" si="1"/>
        <v>0</v>
      </c>
      <c r="Z11" s="28">
        <f t="shared" si="2"/>
        <v>104</v>
      </c>
      <c r="AA11" s="27">
        <v>26</v>
      </c>
      <c r="AB11" s="28">
        <f t="shared" si="5"/>
        <v>4</v>
      </c>
      <c r="AC11" s="29">
        <f t="shared" si="3"/>
        <v>0</v>
      </c>
      <c r="AE11" s="51">
        <f>'2 ALIYAH D'!U11:U43</f>
        <v>1</v>
      </c>
      <c r="AF11" s="51" t="str">
        <f>U11:U38</f>
        <v>-</v>
      </c>
      <c r="AG11" s="52">
        <f t="shared" si="6"/>
        <v>1</v>
      </c>
      <c r="AI11" s="51" t="str">
        <f>'2 ALIYAH D'!V11:V42</f>
        <v>-</v>
      </c>
      <c r="AJ11" s="51" t="str">
        <f t="shared" si="7"/>
        <v>-</v>
      </c>
      <c r="AK11" s="52">
        <f t="shared" si="8"/>
        <v>0</v>
      </c>
    </row>
    <row r="12" spans="1:37" s="1" customFormat="1" ht="25.15" customHeight="1" thickBot="1" x14ac:dyDescent="0.3">
      <c r="A12" s="41" t="str">
        <f>'2 ALIYAH D'!A12:C43</f>
        <v>11</v>
      </c>
      <c r="B12" s="124" t="s">
        <v>179</v>
      </c>
      <c r="C12" s="41">
        <f>'2 ALIYAH D'!C12:E43</f>
        <v>2763</v>
      </c>
      <c r="D12" s="19" t="s">
        <v>24</v>
      </c>
      <c r="E12" s="3" t="str">
        <f t="shared" si="4"/>
        <v>٠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4">
        <f t="shared" si="0"/>
        <v>0</v>
      </c>
      <c r="U12" s="44" t="s">
        <v>56</v>
      </c>
      <c r="V12" s="44" t="s">
        <v>56</v>
      </c>
      <c r="X12" s="27">
        <f>'2 ALIYAH D'!T12:T43</f>
        <v>101</v>
      </c>
      <c r="Y12" s="27">
        <f t="shared" si="1"/>
        <v>0</v>
      </c>
      <c r="Z12" s="28">
        <f t="shared" si="2"/>
        <v>101</v>
      </c>
      <c r="AA12" s="27">
        <v>26</v>
      </c>
      <c r="AB12" s="28">
        <f t="shared" si="5"/>
        <v>4</v>
      </c>
      <c r="AC12" s="29">
        <f t="shared" si="3"/>
        <v>0</v>
      </c>
      <c r="AE12" s="51">
        <f>'2 ALIYAH D'!U12:U44</f>
        <v>1</v>
      </c>
      <c r="AF12" s="51" t="str">
        <f>U12:U38</f>
        <v>-</v>
      </c>
      <c r="AG12" s="52">
        <f t="shared" si="6"/>
        <v>1</v>
      </c>
      <c r="AI12" s="51" t="str">
        <f>'2 ALIYAH D'!V12:V43</f>
        <v>-</v>
      </c>
      <c r="AJ12" s="51" t="str">
        <f t="shared" si="7"/>
        <v>-</v>
      </c>
      <c r="AK12" s="52">
        <f t="shared" si="8"/>
        <v>0</v>
      </c>
    </row>
    <row r="13" spans="1:37" s="1" customFormat="1" ht="25.15" customHeight="1" thickBot="1" x14ac:dyDescent="0.3">
      <c r="A13" s="41" t="str">
        <f>'2 ALIYAH D'!A13:C44</f>
        <v>12</v>
      </c>
      <c r="B13" s="124" t="s">
        <v>180</v>
      </c>
      <c r="C13" s="41">
        <f>'2 ALIYAH D'!C13:E44</f>
        <v>2764</v>
      </c>
      <c r="D13" s="19" t="s">
        <v>25</v>
      </c>
      <c r="E13" s="3" t="str">
        <f t="shared" si="4"/>
        <v>٠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4">
        <f t="shared" si="0"/>
        <v>0</v>
      </c>
      <c r="U13" s="44" t="s">
        <v>56</v>
      </c>
      <c r="V13" s="44" t="s">
        <v>56</v>
      </c>
      <c r="X13" s="27">
        <f>'2 ALIYAH D'!T13:T44</f>
        <v>86</v>
      </c>
      <c r="Y13" s="27">
        <f t="shared" si="1"/>
        <v>0</v>
      </c>
      <c r="Z13" s="28">
        <f t="shared" si="2"/>
        <v>86</v>
      </c>
      <c r="AA13" s="27">
        <v>26</v>
      </c>
      <c r="AB13" s="28">
        <f t="shared" si="5"/>
        <v>3</v>
      </c>
      <c r="AC13" s="29">
        <f t="shared" si="3"/>
        <v>0</v>
      </c>
      <c r="AE13" s="51" t="str">
        <f>'2 ALIYAH D'!U13:U45</f>
        <v>-</v>
      </c>
      <c r="AF13" s="51" t="str">
        <f>U13:U38</f>
        <v>-</v>
      </c>
      <c r="AG13" s="52">
        <f t="shared" si="6"/>
        <v>0</v>
      </c>
      <c r="AI13" s="51" t="str">
        <f>'2 ALIYAH D'!V13:V44</f>
        <v>-</v>
      </c>
      <c r="AJ13" s="51" t="str">
        <f t="shared" si="7"/>
        <v>-</v>
      </c>
      <c r="AK13" s="52">
        <f t="shared" si="8"/>
        <v>0</v>
      </c>
    </row>
    <row r="14" spans="1:37" s="1" customFormat="1" ht="25.15" customHeight="1" thickBot="1" x14ac:dyDescent="0.3">
      <c r="A14" s="41" t="str">
        <f>'2 ALIYAH D'!A14:C45</f>
        <v>13</v>
      </c>
      <c r="B14" s="124" t="s">
        <v>181</v>
      </c>
      <c r="C14" s="41">
        <f>'2 ALIYAH D'!C14:E45</f>
        <v>2865</v>
      </c>
      <c r="D14" s="19" t="s">
        <v>26</v>
      </c>
      <c r="E14" s="3" t="str">
        <f t="shared" si="4"/>
        <v>٠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4">
        <f t="shared" si="0"/>
        <v>0</v>
      </c>
      <c r="U14" s="44" t="s">
        <v>56</v>
      </c>
      <c r="V14" s="44" t="s">
        <v>56</v>
      </c>
      <c r="X14" s="27">
        <f>'2 ALIYAH D'!T14:T45</f>
        <v>81</v>
      </c>
      <c r="Y14" s="27">
        <f t="shared" si="1"/>
        <v>0</v>
      </c>
      <c r="Z14" s="28">
        <f t="shared" si="2"/>
        <v>81</v>
      </c>
      <c r="AA14" s="27">
        <v>26</v>
      </c>
      <c r="AB14" s="28">
        <f t="shared" si="5"/>
        <v>3</v>
      </c>
      <c r="AC14" s="29">
        <f t="shared" si="3"/>
        <v>0</v>
      </c>
      <c r="AE14" s="51" t="str">
        <f>'2 ALIYAH D'!U14:U46</f>
        <v>-</v>
      </c>
      <c r="AF14" s="51" t="str">
        <f>U14:U38</f>
        <v>-</v>
      </c>
      <c r="AG14" s="52">
        <f t="shared" si="6"/>
        <v>0</v>
      </c>
      <c r="AI14" s="51" t="str">
        <f>'2 ALIYAH D'!V14:V45</f>
        <v>-</v>
      </c>
      <c r="AJ14" s="51" t="str">
        <f>V14:V38</f>
        <v>-</v>
      </c>
      <c r="AK14" s="52">
        <f t="shared" si="8"/>
        <v>0</v>
      </c>
    </row>
    <row r="15" spans="1:37" s="1" customFormat="1" ht="25.15" customHeight="1" thickBot="1" x14ac:dyDescent="0.3">
      <c r="A15" s="41" t="str">
        <f>'2 ALIYAH D'!A15:C46</f>
        <v>14</v>
      </c>
      <c r="B15" s="124" t="s">
        <v>182</v>
      </c>
      <c r="C15" s="41">
        <f>'2 ALIYAH D'!C15:E46</f>
        <v>2831</v>
      </c>
      <c r="D15" s="19" t="s">
        <v>27</v>
      </c>
      <c r="E15" s="3" t="str">
        <f t="shared" si="4"/>
        <v>٠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4">
        <f t="shared" si="0"/>
        <v>0</v>
      </c>
      <c r="U15" s="44" t="s">
        <v>56</v>
      </c>
      <c r="V15" s="44" t="s">
        <v>56</v>
      </c>
      <c r="X15" s="27">
        <f>'2 ALIYAH D'!T15:T46</f>
        <v>112</v>
      </c>
      <c r="Y15" s="27">
        <f t="shared" si="1"/>
        <v>0</v>
      </c>
      <c r="Z15" s="28">
        <f t="shared" si="2"/>
        <v>112</v>
      </c>
      <c r="AA15" s="27">
        <v>26</v>
      </c>
      <c r="AB15" s="28">
        <f t="shared" si="5"/>
        <v>4</v>
      </c>
      <c r="AC15" s="29">
        <f t="shared" si="3"/>
        <v>0</v>
      </c>
      <c r="AE15" s="51">
        <f>'2 ALIYAH D'!U15:U47</f>
        <v>1</v>
      </c>
      <c r="AF15" s="51" t="str">
        <f>U15:U38</f>
        <v>-</v>
      </c>
      <c r="AG15" s="52">
        <f t="shared" si="6"/>
        <v>1</v>
      </c>
      <c r="AI15" s="51" t="str">
        <f>'2 ALIYAH D'!V15:V46</f>
        <v>-</v>
      </c>
      <c r="AJ15" s="51" t="str">
        <f>V15:V38</f>
        <v>-</v>
      </c>
      <c r="AK15" s="52">
        <f t="shared" si="8"/>
        <v>0</v>
      </c>
    </row>
    <row r="16" spans="1:37" s="1" customFormat="1" ht="25.15" customHeight="1" thickBot="1" x14ac:dyDescent="0.3">
      <c r="A16" s="41" t="str">
        <f>'2 ALIYAH D'!A16:C47</f>
        <v>15</v>
      </c>
      <c r="B16" s="124" t="s">
        <v>183</v>
      </c>
      <c r="C16" s="41">
        <f>'2 ALIYAH D'!C16:E47</f>
        <v>2895</v>
      </c>
      <c r="D16" s="19" t="s">
        <v>28</v>
      </c>
      <c r="E16" s="3" t="str">
        <f t="shared" si="4"/>
        <v>٠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4">
        <f t="shared" si="0"/>
        <v>0</v>
      </c>
      <c r="U16" s="44" t="s">
        <v>56</v>
      </c>
      <c r="V16" s="44" t="s">
        <v>56</v>
      </c>
      <c r="X16" s="27">
        <f>'2 ALIYAH D'!T16:T47</f>
        <v>98</v>
      </c>
      <c r="Y16" s="27">
        <f t="shared" si="1"/>
        <v>0</v>
      </c>
      <c r="Z16" s="28">
        <f t="shared" si="2"/>
        <v>98</v>
      </c>
      <c r="AA16" s="27">
        <v>26</v>
      </c>
      <c r="AB16" s="28">
        <f t="shared" si="5"/>
        <v>4</v>
      </c>
      <c r="AC16" s="29">
        <f t="shared" si="3"/>
        <v>0</v>
      </c>
      <c r="AE16" s="51">
        <f>'2 ALIYAH D'!U16:U48</f>
        <v>1</v>
      </c>
      <c r="AF16" s="51" t="str">
        <f>U16:U38</f>
        <v>-</v>
      </c>
      <c r="AG16" s="52">
        <f t="shared" si="6"/>
        <v>1</v>
      </c>
      <c r="AI16" s="51" t="str">
        <f>'2 ALIYAH D'!V16:V47</f>
        <v>-</v>
      </c>
      <c r="AJ16" s="51" t="str">
        <f>V16:V38</f>
        <v>-</v>
      </c>
      <c r="AK16" s="52">
        <f t="shared" si="8"/>
        <v>0</v>
      </c>
    </row>
    <row r="17" spans="1:37" s="1" customFormat="1" ht="25.15" customHeight="1" thickBot="1" x14ac:dyDescent="0.3">
      <c r="A17" s="41" t="str">
        <f>'2 ALIYAH D'!A17:C48</f>
        <v>16</v>
      </c>
      <c r="B17" s="124" t="s">
        <v>184</v>
      </c>
      <c r="C17" s="41">
        <f>'2 ALIYAH D'!C17:E48</f>
        <v>2809</v>
      </c>
      <c r="D17" s="19" t="s">
        <v>29</v>
      </c>
      <c r="E17" s="3" t="str">
        <f t="shared" si="4"/>
        <v>٠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>
        <f t="shared" si="0"/>
        <v>0</v>
      </c>
      <c r="U17" s="44" t="s">
        <v>56</v>
      </c>
      <c r="V17" s="44" t="s">
        <v>56</v>
      </c>
      <c r="X17" s="27">
        <f>'2 ALIYAH D'!T17:T48</f>
        <v>85</v>
      </c>
      <c r="Y17" s="27">
        <f t="shared" si="1"/>
        <v>0</v>
      </c>
      <c r="Z17" s="28">
        <f t="shared" si="2"/>
        <v>85</v>
      </c>
      <c r="AA17" s="27">
        <v>26</v>
      </c>
      <c r="AB17" s="28">
        <f t="shared" si="5"/>
        <v>3</v>
      </c>
      <c r="AC17" s="29">
        <f t="shared" si="3"/>
        <v>0</v>
      </c>
      <c r="AE17" s="51" t="str">
        <f>'2 ALIYAH D'!U17:U49</f>
        <v>-</v>
      </c>
      <c r="AF17" s="51" t="str">
        <f>U17:U39</f>
        <v>-</v>
      </c>
      <c r="AG17" s="52">
        <f t="shared" si="6"/>
        <v>0</v>
      </c>
      <c r="AI17" s="51" t="str">
        <f>'2 ALIYAH D'!V17:V48</f>
        <v>-</v>
      </c>
      <c r="AJ17" s="51" t="str">
        <f>V17:V38</f>
        <v>-</v>
      </c>
      <c r="AK17" s="52">
        <f t="shared" si="8"/>
        <v>0</v>
      </c>
    </row>
    <row r="18" spans="1:37" s="1" customFormat="1" ht="25.15" customHeight="1" thickBot="1" x14ac:dyDescent="0.3">
      <c r="A18" s="41" t="str">
        <f>'2 ALIYAH D'!A18:C49</f>
        <v>17</v>
      </c>
      <c r="B18" s="124" t="s">
        <v>185</v>
      </c>
      <c r="C18" s="41">
        <f>'2 ALIYAH D'!C18:E49</f>
        <v>2665</v>
      </c>
      <c r="D18" s="19" t="s">
        <v>30</v>
      </c>
      <c r="E18" s="3" t="str">
        <f t="shared" si="4"/>
        <v>٠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4">
        <f t="shared" si="0"/>
        <v>0</v>
      </c>
      <c r="U18" s="44" t="s">
        <v>56</v>
      </c>
      <c r="V18" s="44" t="s">
        <v>56</v>
      </c>
      <c r="X18" s="27">
        <f>'2 ALIYAH D'!T18:T49</f>
        <v>115</v>
      </c>
      <c r="Y18" s="27">
        <f t="shared" si="1"/>
        <v>0</v>
      </c>
      <c r="Z18" s="28">
        <f t="shared" si="2"/>
        <v>115</v>
      </c>
      <c r="AA18" s="27">
        <v>26</v>
      </c>
      <c r="AB18" s="28">
        <f t="shared" si="5"/>
        <v>4</v>
      </c>
      <c r="AC18" s="29">
        <f t="shared" si="3"/>
        <v>0</v>
      </c>
      <c r="AE18" s="51">
        <f>'2 ALIYAH D'!U18:U50</f>
        <v>2</v>
      </c>
      <c r="AF18" s="51" t="str">
        <f>U18:U39</f>
        <v>-</v>
      </c>
      <c r="AG18" s="52">
        <f t="shared" si="6"/>
        <v>2</v>
      </c>
      <c r="AI18" s="51" t="str">
        <f>'2 ALIYAH D'!V18:V49</f>
        <v>-</v>
      </c>
      <c r="AJ18" s="51" t="str">
        <f>V18:V38</f>
        <v>-</v>
      </c>
      <c r="AK18" s="52">
        <f t="shared" si="8"/>
        <v>0</v>
      </c>
    </row>
    <row r="19" spans="1:37" s="1" customFormat="1" ht="25.15" customHeight="1" thickBot="1" x14ac:dyDescent="0.3">
      <c r="A19" s="41" t="str">
        <f>'2 ALIYAH D'!A19:C50</f>
        <v>18</v>
      </c>
      <c r="B19" s="124" t="s">
        <v>186</v>
      </c>
      <c r="C19" s="41">
        <f>'2 ALIYAH D'!C19:E50</f>
        <v>2666</v>
      </c>
      <c r="D19" s="19" t="s">
        <v>31</v>
      </c>
      <c r="E19" s="3" t="str">
        <f t="shared" si="4"/>
        <v>٠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4">
        <f t="shared" si="0"/>
        <v>0</v>
      </c>
      <c r="U19" s="44" t="s">
        <v>56</v>
      </c>
      <c r="V19" s="44" t="s">
        <v>56</v>
      </c>
      <c r="X19" s="27">
        <f>'2 ALIYAH D'!T19:T50</f>
        <v>86</v>
      </c>
      <c r="Y19" s="27">
        <f t="shared" si="1"/>
        <v>0</v>
      </c>
      <c r="Z19" s="28">
        <f t="shared" si="2"/>
        <v>86</v>
      </c>
      <c r="AA19" s="27">
        <v>26</v>
      </c>
      <c r="AB19" s="28">
        <f t="shared" si="5"/>
        <v>3</v>
      </c>
      <c r="AC19" s="29">
        <f t="shared" si="3"/>
        <v>0</v>
      </c>
      <c r="AE19" s="51">
        <f>'2 ALIYAH D'!U19:U51</f>
        <v>1</v>
      </c>
      <c r="AF19" s="51" t="str">
        <f>U19:U39</f>
        <v>-</v>
      </c>
      <c r="AG19" s="52">
        <f t="shared" si="6"/>
        <v>1</v>
      </c>
      <c r="AI19" s="51" t="str">
        <f>'2 ALIYAH D'!V19:V50</f>
        <v>-</v>
      </c>
      <c r="AJ19" s="51" t="str">
        <f>V19:V38</f>
        <v>-</v>
      </c>
      <c r="AK19" s="52">
        <f t="shared" si="8"/>
        <v>0</v>
      </c>
    </row>
    <row r="20" spans="1:37" s="1" customFormat="1" ht="25.15" customHeight="1" thickBot="1" x14ac:dyDescent="0.3">
      <c r="A20" s="41" t="str">
        <f>'2 ALIYAH D'!A20:C51</f>
        <v>19</v>
      </c>
      <c r="B20" s="124" t="s">
        <v>187</v>
      </c>
      <c r="C20" s="41">
        <f>'2 ALIYAH D'!C20:E51</f>
        <v>2705</v>
      </c>
      <c r="D20" s="19" t="s">
        <v>32</v>
      </c>
      <c r="E20" s="3" t="str">
        <f t="shared" si="4"/>
        <v>٠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4">
        <f t="shared" si="0"/>
        <v>0</v>
      </c>
      <c r="U20" s="44" t="s">
        <v>56</v>
      </c>
      <c r="V20" s="44" t="s">
        <v>56</v>
      </c>
      <c r="X20" s="27">
        <f>'2 ALIYAH D'!T20:T51</f>
        <v>76</v>
      </c>
      <c r="Y20" s="27">
        <f t="shared" si="1"/>
        <v>0</v>
      </c>
      <c r="Z20" s="28">
        <f t="shared" si="2"/>
        <v>76</v>
      </c>
      <c r="AA20" s="27">
        <v>26</v>
      </c>
      <c r="AB20" s="28">
        <f t="shared" si="5"/>
        <v>3</v>
      </c>
      <c r="AC20" s="29">
        <f t="shared" si="3"/>
        <v>0</v>
      </c>
      <c r="AE20" s="51">
        <f>'2 ALIYAH D'!U20:U52</f>
        <v>1</v>
      </c>
      <c r="AF20" s="51" t="str">
        <f>U20:U39</f>
        <v>-</v>
      </c>
      <c r="AG20" s="52">
        <f t="shared" si="6"/>
        <v>1</v>
      </c>
      <c r="AI20" s="51" t="str">
        <f>'2 ALIYAH D'!V20:V51</f>
        <v>-</v>
      </c>
      <c r="AJ20" s="51" t="str">
        <f>V20:V38</f>
        <v>-</v>
      </c>
      <c r="AK20" s="52">
        <f t="shared" si="8"/>
        <v>0</v>
      </c>
    </row>
    <row r="21" spans="1:37" s="1" customFormat="1" ht="25.15" customHeight="1" thickBot="1" x14ac:dyDescent="0.3">
      <c r="A21" s="41" t="str">
        <f>'2 ALIYAH D'!A21:C52</f>
        <v>20</v>
      </c>
      <c r="B21" s="124" t="s">
        <v>188</v>
      </c>
      <c r="C21" s="41">
        <f>'2 ALIYAH D'!C21:E52</f>
        <v>2706</v>
      </c>
      <c r="D21" s="19" t="s">
        <v>33</v>
      </c>
      <c r="E21" s="3" t="str">
        <f t="shared" si="4"/>
        <v>٠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4">
        <f t="shared" si="0"/>
        <v>0</v>
      </c>
      <c r="U21" s="44" t="s">
        <v>56</v>
      </c>
      <c r="V21" s="44" t="s">
        <v>56</v>
      </c>
      <c r="X21" s="27">
        <f>'2 ALIYAH D'!T21:T52</f>
        <v>68</v>
      </c>
      <c r="Y21" s="27">
        <f t="shared" si="1"/>
        <v>0</v>
      </c>
      <c r="Z21" s="28">
        <f t="shared" si="2"/>
        <v>68</v>
      </c>
      <c r="AA21" s="27">
        <v>26</v>
      </c>
      <c r="AB21" s="28">
        <f t="shared" si="5"/>
        <v>3</v>
      </c>
      <c r="AC21" s="29">
        <f t="shared" si="3"/>
        <v>0</v>
      </c>
      <c r="AE21" s="51" t="str">
        <f>'2 ALIYAH D'!U21:U53</f>
        <v>-</v>
      </c>
      <c r="AF21" s="51" t="str">
        <f>U21:U39</f>
        <v>-</v>
      </c>
      <c r="AG21" s="52">
        <f t="shared" si="6"/>
        <v>0</v>
      </c>
      <c r="AI21" s="51" t="str">
        <f>'2 ALIYAH D'!V21:V52</f>
        <v>-</v>
      </c>
      <c r="AJ21" s="51" t="str">
        <f>V21:V38</f>
        <v>-</v>
      </c>
      <c r="AK21" s="52">
        <f t="shared" si="8"/>
        <v>0</v>
      </c>
    </row>
    <row r="22" spans="1:37" s="1" customFormat="1" ht="25.15" customHeight="1" thickBot="1" x14ac:dyDescent="0.3">
      <c r="A22" s="41" t="str">
        <f>'2 ALIYAH D'!A22:C53</f>
        <v>21</v>
      </c>
      <c r="B22" s="128" t="s">
        <v>201</v>
      </c>
      <c r="C22" s="41">
        <f>'2 ALIYAH D'!C22:E53</f>
        <v>2708</v>
      </c>
      <c r="D22" s="19" t="s">
        <v>34</v>
      </c>
      <c r="E22" s="3" t="str">
        <f t="shared" si="4"/>
        <v>٠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4">
        <f t="shared" si="0"/>
        <v>0</v>
      </c>
      <c r="U22" s="44" t="s">
        <v>56</v>
      </c>
      <c r="V22" s="44" t="s">
        <v>56</v>
      </c>
      <c r="X22" s="27">
        <f>'2 ALIYAH D'!T22:T53</f>
        <v>82</v>
      </c>
      <c r="Y22" s="27">
        <f t="shared" si="1"/>
        <v>0</v>
      </c>
      <c r="Z22" s="28">
        <f t="shared" si="2"/>
        <v>82</v>
      </c>
      <c r="AA22" s="27">
        <v>26</v>
      </c>
      <c r="AB22" s="28">
        <f t="shared" si="5"/>
        <v>3</v>
      </c>
      <c r="AC22" s="29">
        <f t="shared" si="3"/>
        <v>0</v>
      </c>
      <c r="AE22" s="51">
        <f>'2 ALIYAH D'!U22:U54</f>
        <v>1</v>
      </c>
      <c r="AF22" s="51" t="str">
        <f>U22:U39</f>
        <v>-</v>
      </c>
      <c r="AG22" s="52">
        <f t="shared" si="6"/>
        <v>1</v>
      </c>
      <c r="AI22" s="51">
        <f>'2 ALIYAH D'!V22:V53</f>
        <v>1</v>
      </c>
      <c r="AJ22" s="51" t="str">
        <f>V22:V38</f>
        <v>-</v>
      </c>
      <c r="AK22" s="52">
        <f t="shared" si="8"/>
        <v>1</v>
      </c>
    </row>
    <row r="23" spans="1:37" s="1" customFormat="1" ht="25.15" customHeight="1" thickBot="1" x14ac:dyDescent="0.3">
      <c r="A23" s="41" t="str">
        <f>'2 ALIYAH D'!A23:C54</f>
        <v>22</v>
      </c>
      <c r="B23" s="123" t="s">
        <v>189</v>
      </c>
      <c r="C23" s="41">
        <f>'2 ALIYAH D'!C23:E54</f>
        <v>2841</v>
      </c>
      <c r="D23" s="19" t="s">
        <v>35</v>
      </c>
      <c r="E23" s="3" t="str">
        <f t="shared" si="4"/>
        <v>٠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4">
        <f t="shared" si="0"/>
        <v>0</v>
      </c>
      <c r="U23" s="44" t="s">
        <v>56</v>
      </c>
      <c r="V23" s="44" t="s">
        <v>56</v>
      </c>
      <c r="X23" s="27">
        <f>'2 ALIYAH D'!T23:T54</f>
        <v>74</v>
      </c>
      <c r="Y23" s="27">
        <f t="shared" si="1"/>
        <v>0</v>
      </c>
      <c r="Z23" s="28">
        <f t="shared" si="2"/>
        <v>74</v>
      </c>
      <c r="AA23" s="27">
        <v>26</v>
      </c>
      <c r="AB23" s="28">
        <f t="shared" si="5"/>
        <v>3</v>
      </c>
      <c r="AC23" s="29">
        <f t="shared" si="3"/>
        <v>0</v>
      </c>
      <c r="AE23" s="51" t="str">
        <f>'2 ALIYAH D'!U23:U55</f>
        <v>-</v>
      </c>
      <c r="AF23" s="51" t="str">
        <f t="shared" ref="AF23" si="9">U23:U39</f>
        <v>-</v>
      </c>
      <c r="AG23" s="52">
        <f t="shared" si="6"/>
        <v>0</v>
      </c>
      <c r="AI23" s="51" t="str">
        <f>'2 ALIYAH D'!V23:V54</f>
        <v>-</v>
      </c>
      <c r="AJ23" s="51" t="str">
        <f>V23:V38</f>
        <v>-</v>
      </c>
      <c r="AK23" s="52">
        <f t="shared" si="8"/>
        <v>0</v>
      </c>
    </row>
    <row r="24" spans="1:37" s="1" customFormat="1" ht="25.15" customHeight="1" thickBot="1" x14ac:dyDescent="0.3">
      <c r="A24" s="41" t="str">
        <f>'2 ALIYAH D'!A24:C55</f>
        <v>23</v>
      </c>
      <c r="B24" s="124" t="s">
        <v>190</v>
      </c>
      <c r="C24" s="41">
        <f>'2 ALIYAH D'!C24:E55</f>
        <v>2812</v>
      </c>
      <c r="D24" s="19" t="s">
        <v>36</v>
      </c>
      <c r="E24" s="3" t="str">
        <f t="shared" si="4"/>
        <v>٠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4">
        <f t="shared" si="0"/>
        <v>0</v>
      </c>
      <c r="U24" s="44" t="s">
        <v>56</v>
      </c>
      <c r="V24" s="44" t="s">
        <v>56</v>
      </c>
      <c r="X24" s="27">
        <f>'2 ALIYAH D'!T24:T55</f>
        <v>81</v>
      </c>
      <c r="Y24" s="27">
        <f t="shared" si="1"/>
        <v>0</v>
      </c>
      <c r="Z24" s="28">
        <f t="shared" si="2"/>
        <v>81</v>
      </c>
      <c r="AA24" s="27">
        <v>26</v>
      </c>
      <c r="AB24" s="28">
        <f t="shared" si="5"/>
        <v>3</v>
      </c>
      <c r="AC24" s="29">
        <f t="shared" si="3"/>
        <v>0</v>
      </c>
      <c r="AE24" s="51">
        <f>'2 ALIYAH D'!U24:U56</f>
        <v>1</v>
      </c>
      <c r="AF24" s="51" t="str">
        <f t="shared" ref="AF24:AF39" si="10">U24:U39</f>
        <v>-</v>
      </c>
      <c r="AG24" s="52">
        <f t="shared" si="6"/>
        <v>1</v>
      </c>
      <c r="AI24" s="51" t="str">
        <f>'2 ALIYAH D'!V24:V55</f>
        <v>-</v>
      </c>
      <c r="AJ24" s="51" t="str">
        <f>V24:V38</f>
        <v>-</v>
      </c>
      <c r="AK24" s="52">
        <f t="shared" si="8"/>
        <v>0</v>
      </c>
    </row>
    <row r="25" spans="1:37" s="1" customFormat="1" ht="25.15" customHeight="1" thickBot="1" x14ac:dyDescent="0.3">
      <c r="A25" s="41" t="str">
        <f>'2 ALIYAH D'!A25:C56</f>
        <v>24</v>
      </c>
      <c r="B25" s="124" t="s">
        <v>191</v>
      </c>
      <c r="C25" s="41">
        <f>'2 ALIYAH D'!C25:E56</f>
        <v>2672</v>
      </c>
      <c r="D25" s="19" t="s">
        <v>37</v>
      </c>
      <c r="E25" s="3" t="str">
        <f t="shared" si="4"/>
        <v>٠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4">
        <f t="shared" si="0"/>
        <v>0</v>
      </c>
      <c r="U25" s="44" t="s">
        <v>56</v>
      </c>
      <c r="V25" s="44" t="s">
        <v>56</v>
      </c>
      <c r="X25" s="27">
        <f>'2 ALIYAH D'!T25:T56</f>
        <v>113</v>
      </c>
      <c r="Y25" s="27">
        <f t="shared" si="1"/>
        <v>0</v>
      </c>
      <c r="Z25" s="28">
        <f t="shared" si="2"/>
        <v>113</v>
      </c>
      <c r="AA25" s="27">
        <v>26</v>
      </c>
      <c r="AB25" s="28">
        <f t="shared" si="5"/>
        <v>4</v>
      </c>
      <c r="AC25" s="29">
        <f t="shared" si="3"/>
        <v>0</v>
      </c>
      <c r="AE25" s="51" t="str">
        <f>'2 ALIYAH D'!U25:U57</f>
        <v>-</v>
      </c>
      <c r="AF25" s="51" t="str">
        <f t="shared" si="10"/>
        <v>-</v>
      </c>
      <c r="AG25" s="52">
        <f t="shared" si="6"/>
        <v>0</v>
      </c>
      <c r="AI25" s="51" t="str">
        <f>'2 ALIYAH D'!V25:V56</f>
        <v>-</v>
      </c>
      <c r="AJ25" s="51" t="str">
        <f>V25:V38</f>
        <v>-</v>
      </c>
      <c r="AK25" s="52">
        <f t="shared" si="8"/>
        <v>0</v>
      </c>
    </row>
    <row r="26" spans="1:37" s="1" customFormat="1" ht="25.15" customHeight="1" thickBot="1" x14ac:dyDescent="0.3">
      <c r="A26" s="41" t="str">
        <f>'2 ALIYAH D'!A26:C57</f>
        <v>25</v>
      </c>
      <c r="B26" s="124" t="s">
        <v>192</v>
      </c>
      <c r="C26" s="41">
        <f>'2 ALIYAH D'!C26:E57</f>
        <v>2875</v>
      </c>
      <c r="D26" s="19" t="s">
        <v>38</v>
      </c>
      <c r="E26" s="3" t="str">
        <f t="shared" si="4"/>
        <v>٠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4">
        <f t="shared" si="0"/>
        <v>0</v>
      </c>
      <c r="U26" s="44" t="s">
        <v>56</v>
      </c>
      <c r="V26" s="44" t="s">
        <v>56</v>
      </c>
      <c r="X26" s="27">
        <f>'2 ALIYAH D'!T26:T57</f>
        <v>89</v>
      </c>
      <c r="Y26" s="27">
        <f t="shared" si="1"/>
        <v>0</v>
      </c>
      <c r="Z26" s="28">
        <f t="shared" si="2"/>
        <v>89</v>
      </c>
      <c r="AA26" s="27">
        <v>26</v>
      </c>
      <c r="AB26" s="28">
        <f t="shared" si="5"/>
        <v>3</v>
      </c>
      <c r="AC26" s="29">
        <f t="shared" si="3"/>
        <v>0</v>
      </c>
      <c r="AE26" s="51">
        <f>'2 ALIYAH D'!U26:U58</f>
        <v>4</v>
      </c>
      <c r="AF26" s="51" t="str">
        <f t="shared" si="10"/>
        <v>-</v>
      </c>
      <c r="AG26" s="52">
        <f t="shared" si="6"/>
        <v>4</v>
      </c>
      <c r="AI26" s="51" t="str">
        <f>'2 ALIYAH D'!V26:V57</f>
        <v>-</v>
      </c>
      <c r="AJ26" s="51" t="str">
        <f>V26:V38</f>
        <v>-</v>
      </c>
      <c r="AK26" s="52">
        <f t="shared" si="8"/>
        <v>0</v>
      </c>
    </row>
    <row r="27" spans="1:37" s="1" customFormat="1" ht="25.15" customHeight="1" thickBot="1" x14ac:dyDescent="0.3">
      <c r="A27" s="41" t="str">
        <f>'2 ALIYAH D'!A27:C58</f>
        <v>26</v>
      </c>
      <c r="B27" s="124" t="s">
        <v>193</v>
      </c>
      <c r="C27" s="41">
        <f>'2 ALIYAH D'!C27:E58</f>
        <v>2845</v>
      </c>
      <c r="D27" s="19" t="s">
        <v>39</v>
      </c>
      <c r="E27" s="3" t="str">
        <f t="shared" si="4"/>
        <v>٠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4">
        <f t="shared" si="0"/>
        <v>0</v>
      </c>
      <c r="U27" s="44" t="s">
        <v>56</v>
      </c>
      <c r="V27" s="44" t="s">
        <v>56</v>
      </c>
      <c r="X27" s="27">
        <f>'2 ALIYAH D'!T27:T58</f>
        <v>86</v>
      </c>
      <c r="Y27" s="27">
        <f t="shared" si="1"/>
        <v>0</v>
      </c>
      <c r="Z27" s="28">
        <f t="shared" si="2"/>
        <v>86</v>
      </c>
      <c r="AA27" s="27">
        <v>26</v>
      </c>
      <c r="AB27" s="28">
        <f t="shared" si="5"/>
        <v>3</v>
      </c>
      <c r="AC27" s="29">
        <f t="shared" si="3"/>
        <v>0</v>
      </c>
      <c r="AE27" s="51" t="str">
        <f>'2 ALIYAH D'!U27:U59</f>
        <v>-</v>
      </c>
      <c r="AF27" s="51" t="str">
        <f t="shared" si="10"/>
        <v>-</v>
      </c>
      <c r="AG27" s="52">
        <f t="shared" si="6"/>
        <v>0</v>
      </c>
      <c r="AI27" s="51" t="str">
        <f>'2 ALIYAH D'!V27:V58</f>
        <v>-</v>
      </c>
      <c r="AJ27" s="51" t="str">
        <f>V27:V38</f>
        <v>-</v>
      </c>
      <c r="AK27" s="52">
        <f t="shared" si="8"/>
        <v>0</v>
      </c>
    </row>
    <row r="28" spans="1:37" s="1" customFormat="1" ht="25.15" customHeight="1" thickBot="1" x14ac:dyDescent="0.3">
      <c r="A28" s="41" t="str">
        <f>'2 ALIYAH D'!A28:C59</f>
        <v>27</v>
      </c>
      <c r="B28" s="124" t="s">
        <v>194</v>
      </c>
      <c r="C28" s="41">
        <f>'2 ALIYAH D'!C28:E59</f>
        <v>2782</v>
      </c>
      <c r="D28" s="19" t="s">
        <v>40</v>
      </c>
      <c r="E28" s="3" t="str">
        <f t="shared" si="4"/>
        <v>٠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4">
        <f t="shared" si="0"/>
        <v>0</v>
      </c>
      <c r="U28" s="44" t="s">
        <v>56</v>
      </c>
      <c r="V28" s="44" t="s">
        <v>56</v>
      </c>
      <c r="X28" s="27">
        <f>'2 ALIYAH D'!T28:T59</f>
        <v>102</v>
      </c>
      <c r="Y28" s="27">
        <f t="shared" si="1"/>
        <v>0</v>
      </c>
      <c r="Z28" s="28">
        <f t="shared" si="2"/>
        <v>102</v>
      </c>
      <c r="AA28" s="27">
        <v>26</v>
      </c>
      <c r="AB28" s="28">
        <f t="shared" si="5"/>
        <v>4</v>
      </c>
      <c r="AC28" s="29">
        <f t="shared" si="3"/>
        <v>0</v>
      </c>
      <c r="AE28" s="51">
        <f>'2 ALIYAH D'!U28:U60</f>
        <v>2</v>
      </c>
      <c r="AF28" s="51" t="str">
        <f t="shared" si="10"/>
        <v>-</v>
      </c>
      <c r="AG28" s="52">
        <f t="shared" si="6"/>
        <v>2</v>
      </c>
      <c r="AI28" s="51">
        <f>'2 ALIYAH D'!V28:V59</f>
        <v>1</v>
      </c>
      <c r="AJ28" s="51" t="str">
        <f>V28:V38</f>
        <v>-</v>
      </c>
      <c r="AK28" s="52">
        <f t="shared" si="8"/>
        <v>1</v>
      </c>
    </row>
    <row r="29" spans="1:37" s="2" customFormat="1" ht="25.15" customHeight="1" thickBot="1" x14ac:dyDescent="0.3">
      <c r="A29" s="41" t="str">
        <f>'2 ALIYAH D'!A29:C60</f>
        <v>28</v>
      </c>
      <c r="B29" s="124" t="s">
        <v>195</v>
      </c>
      <c r="C29" s="41">
        <f>'2 ALIYAH D'!C29:E60</f>
        <v>2751</v>
      </c>
      <c r="D29" s="19" t="s">
        <v>41</v>
      </c>
      <c r="E29" s="3" t="str">
        <f t="shared" si="4"/>
        <v>٠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4">
        <f t="shared" si="0"/>
        <v>0</v>
      </c>
      <c r="U29" s="44" t="s">
        <v>56</v>
      </c>
      <c r="V29" s="44" t="s">
        <v>56</v>
      </c>
      <c r="X29" s="27">
        <f>'2 ALIYAH D'!T29:T60</f>
        <v>85</v>
      </c>
      <c r="Y29" s="27">
        <f t="shared" si="1"/>
        <v>0</v>
      </c>
      <c r="Z29" s="28">
        <f t="shared" si="2"/>
        <v>85</v>
      </c>
      <c r="AA29" s="27">
        <v>26</v>
      </c>
      <c r="AB29" s="28">
        <f t="shared" si="5"/>
        <v>3</v>
      </c>
      <c r="AC29" s="29">
        <f t="shared" si="3"/>
        <v>0</v>
      </c>
      <c r="AE29" s="51">
        <f>'2 ALIYAH D'!U29:U61</f>
        <v>2</v>
      </c>
      <c r="AF29" s="51" t="str">
        <f t="shared" si="10"/>
        <v>-</v>
      </c>
      <c r="AG29" s="52">
        <f t="shared" si="6"/>
        <v>2</v>
      </c>
      <c r="AH29" s="1"/>
      <c r="AI29" s="51">
        <f>'2 ALIYAH D'!V29:V60</f>
        <v>12</v>
      </c>
      <c r="AJ29" s="51" t="str">
        <f>V29:V38</f>
        <v>-</v>
      </c>
      <c r="AK29" s="52">
        <f t="shared" si="8"/>
        <v>12</v>
      </c>
    </row>
    <row r="30" spans="1:37" s="2" customFormat="1" ht="25.15" customHeight="1" thickBot="1" x14ac:dyDescent="0.3">
      <c r="A30" s="41" t="str">
        <f>'2 ALIYAH D'!A30:C61</f>
        <v>29</v>
      </c>
      <c r="B30" s="124" t="s">
        <v>196</v>
      </c>
      <c r="C30" s="41">
        <f>'2 ALIYAH D'!C30:E61</f>
        <v>2907</v>
      </c>
      <c r="D30" s="19" t="s">
        <v>42</v>
      </c>
      <c r="E30" s="3" t="str">
        <f t="shared" si="4"/>
        <v>٠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4">
        <f t="shared" si="0"/>
        <v>0</v>
      </c>
      <c r="U30" s="44" t="s">
        <v>56</v>
      </c>
      <c r="V30" s="44" t="s">
        <v>56</v>
      </c>
      <c r="X30" s="27">
        <f>'2 ALIYAH D'!T30:T61</f>
        <v>105</v>
      </c>
      <c r="Y30" s="27">
        <f t="shared" si="1"/>
        <v>0</v>
      </c>
      <c r="Z30" s="28">
        <f t="shared" si="2"/>
        <v>105</v>
      </c>
      <c r="AA30" s="27">
        <v>26</v>
      </c>
      <c r="AB30" s="28">
        <f t="shared" si="5"/>
        <v>4</v>
      </c>
      <c r="AC30" s="29">
        <f t="shared" si="3"/>
        <v>0</v>
      </c>
      <c r="AE30" s="51">
        <f>'2 ALIYAH D'!U30:U62</f>
        <v>1</v>
      </c>
      <c r="AF30" s="51" t="str">
        <f t="shared" si="10"/>
        <v>-</v>
      </c>
      <c r="AG30" s="52">
        <f t="shared" si="6"/>
        <v>1</v>
      </c>
      <c r="AH30" s="1"/>
      <c r="AI30" s="51" t="str">
        <f>'2 ALIYAH D'!V30:V61</f>
        <v>-</v>
      </c>
      <c r="AJ30" s="51" t="str">
        <f>V30:V38</f>
        <v>-</v>
      </c>
      <c r="AK30" s="52">
        <f t="shared" si="8"/>
        <v>0</v>
      </c>
    </row>
    <row r="31" spans="1:37" s="2" customFormat="1" ht="25.15" customHeight="1" thickBot="1" x14ac:dyDescent="0.3">
      <c r="A31" s="41">
        <f>'2 ALIYAH D'!A31:C62</f>
        <v>30</v>
      </c>
      <c r="B31" s="124" t="s">
        <v>197</v>
      </c>
      <c r="C31" s="41">
        <f>'2 ALIYAH D'!C31:E62</f>
        <v>2849</v>
      </c>
      <c r="D31" s="19" t="s">
        <v>43</v>
      </c>
      <c r="E31" s="3" t="str">
        <f t="shared" si="4"/>
        <v>٠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4">
        <f t="shared" si="0"/>
        <v>0</v>
      </c>
      <c r="U31" s="44" t="s">
        <v>56</v>
      </c>
      <c r="V31" s="44" t="s">
        <v>56</v>
      </c>
      <c r="X31" s="27">
        <f>'2 ALIYAH D'!T31:T62</f>
        <v>91</v>
      </c>
      <c r="Y31" s="27">
        <f t="shared" si="1"/>
        <v>0</v>
      </c>
      <c r="Z31" s="28">
        <f t="shared" si="2"/>
        <v>91</v>
      </c>
      <c r="AA31" s="27">
        <v>26</v>
      </c>
      <c r="AB31" s="28">
        <f t="shared" si="5"/>
        <v>4</v>
      </c>
      <c r="AC31" s="29">
        <f t="shared" si="3"/>
        <v>0</v>
      </c>
      <c r="AE31" s="51">
        <f>'2 ALIYAH D'!U31:U63</f>
        <v>1</v>
      </c>
      <c r="AF31" s="51" t="str">
        <f t="shared" si="10"/>
        <v>-</v>
      </c>
      <c r="AG31" s="52">
        <f t="shared" si="6"/>
        <v>1</v>
      </c>
      <c r="AH31" s="1"/>
      <c r="AI31" s="51" t="str">
        <f>'2 ALIYAH D'!V31:V62</f>
        <v>-</v>
      </c>
      <c r="AJ31" s="51" t="str">
        <f>V31:V38</f>
        <v>-</v>
      </c>
      <c r="AK31" s="52">
        <f t="shared" si="8"/>
        <v>0</v>
      </c>
    </row>
    <row r="32" spans="1:37" s="2" customFormat="1" ht="25.15" customHeight="1" thickBot="1" x14ac:dyDescent="0.3">
      <c r="A32" s="41">
        <f>'2 ALIYAH D'!A32:C63</f>
        <v>31</v>
      </c>
      <c r="B32" s="124" t="s">
        <v>198</v>
      </c>
      <c r="C32" s="41">
        <f>'2 ALIYAH D'!C32:E63</f>
        <v>2686</v>
      </c>
      <c r="D32" s="19" t="s">
        <v>44</v>
      </c>
      <c r="E32" s="3" t="str">
        <f t="shared" si="4"/>
        <v>٠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4">
        <f t="shared" si="0"/>
        <v>0</v>
      </c>
      <c r="U32" s="44" t="s">
        <v>56</v>
      </c>
      <c r="V32" s="44" t="s">
        <v>56</v>
      </c>
      <c r="X32" s="27">
        <f>'2 ALIYAH D'!T32:T63</f>
        <v>105</v>
      </c>
      <c r="Y32" s="27">
        <f t="shared" si="1"/>
        <v>0</v>
      </c>
      <c r="Z32" s="28">
        <f t="shared" si="2"/>
        <v>105</v>
      </c>
      <c r="AA32" s="27">
        <v>26</v>
      </c>
      <c r="AB32" s="28">
        <f t="shared" si="5"/>
        <v>4</v>
      </c>
      <c r="AC32" s="29">
        <f t="shared" si="3"/>
        <v>0</v>
      </c>
      <c r="AE32" s="51">
        <f>'2 ALIYAH D'!U32:U64</f>
        <v>1</v>
      </c>
      <c r="AF32" s="51" t="str">
        <f t="shared" si="10"/>
        <v>-</v>
      </c>
      <c r="AG32" s="52">
        <f t="shared" si="6"/>
        <v>1</v>
      </c>
      <c r="AH32" s="1"/>
      <c r="AI32" s="51" t="str">
        <f>'2 ALIYAH D'!V32:V63</f>
        <v>-</v>
      </c>
      <c r="AJ32" s="51" t="str">
        <f>V32:V38</f>
        <v>-</v>
      </c>
      <c r="AK32" s="52">
        <f t="shared" si="8"/>
        <v>0</v>
      </c>
    </row>
    <row r="33" spans="1:37" s="95" customFormat="1" ht="25.15" customHeight="1" thickBot="1" x14ac:dyDescent="0.3">
      <c r="A33" s="41">
        <f>'2 ALIYAH D'!A33:C64</f>
        <v>32</v>
      </c>
      <c r="B33" s="124" t="s">
        <v>199</v>
      </c>
      <c r="C33" s="41">
        <f>'2 ALIYAH D'!C33:E64</f>
        <v>2719</v>
      </c>
      <c r="D33" s="150" t="s">
        <v>45</v>
      </c>
      <c r="E33" s="151" t="str">
        <f t="shared" si="4"/>
        <v>٠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94">
        <f t="shared" si="0"/>
        <v>0</v>
      </c>
      <c r="U33" s="44" t="s">
        <v>56</v>
      </c>
      <c r="V33" s="44" t="s">
        <v>56</v>
      </c>
      <c r="X33" s="27">
        <f>'2 ALIYAH D'!T33:T64</f>
        <v>81</v>
      </c>
      <c r="Y33" s="96">
        <f t="shared" si="1"/>
        <v>0</v>
      </c>
      <c r="Z33" s="96">
        <f t="shared" si="2"/>
        <v>81</v>
      </c>
      <c r="AA33" s="96">
        <v>26</v>
      </c>
      <c r="AB33" s="96">
        <f t="shared" si="5"/>
        <v>3</v>
      </c>
      <c r="AC33" s="96" t="s">
        <v>74</v>
      </c>
      <c r="AE33" s="51">
        <f>'2 ALIYAH D'!U33:U65</f>
        <v>2</v>
      </c>
      <c r="AF33" s="97" t="str">
        <f t="shared" si="10"/>
        <v>-</v>
      </c>
      <c r="AG33" s="97">
        <f t="shared" si="6"/>
        <v>2</v>
      </c>
      <c r="AH33" s="98"/>
      <c r="AI33" s="51" t="str">
        <f>'2 ALIYAH D'!V33:V64</f>
        <v>-</v>
      </c>
      <c r="AJ33" s="97" t="str">
        <f>V33:V38</f>
        <v>-</v>
      </c>
      <c r="AK33" s="97">
        <f t="shared" si="8"/>
        <v>0</v>
      </c>
    </row>
    <row r="34" spans="1:37" s="2" customFormat="1" ht="25.15" customHeight="1" thickBot="1" x14ac:dyDescent="0.3">
      <c r="A34" s="41">
        <f>'2 ALIYAH D'!A34:C65</f>
        <v>0</v>
      </c>
      <c r="B34" s="79"/>
      <c r="C34" s="41">
        <f>'2 ALIYAH D'!C34:E65</f>
        <v>0</v>
      </c>
      <c r="D34" s="19" t="s">
        <v>46</v>
      </c>
      <c r="E34" s="3" t="str">
        <f t="shared" si="4"/>
        <v>٠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4">
        <f t="shared" si="0"/>
        <v>0</v>
      </c>
      <c r="U34" s="44" t="s">
        <v>56</v>
      </c>
      <c r="V34" s="44" t="s">
        <v>56</v>
      </c>
      <c r="X34" s="27">
        <f>'2 ALIYAH D'!T34:T65</f>
        <v>0</v>
      </c>
      <c r="Y34" s="27">
        <f t="shared" si="1"/>
        <v>0</v>
      </c>
      <c r="Z34" s="28">
        <f t="shared" si="2"/>
        <v>0</v>
      </c>
      <c r="AA34" s="27">
        <v>26</v>
      </c>
      <c r="AB34" s="28">
        <f t="shared" si="5"/>
        <v>0</v>
      </c>
      <c r="AC34" s="29">
        <f t="shared" si="3"/>
        <v>0</v>
      </c>
      <c r="AE34" s="51">
        <f>'2 ALIYAH D'!U34:U66</f>
        <v>0</v>
      </c>
      <c r="AF34" s="51" t="str">
        <f t="shared" si="10"/>
        <v>-</v>
      </c>
      <c r="AG34" s="52">
        <f t="shared" si="6"/>
        <v>0</v>
      </c>
      <c r="AH34" s="1"/>
      <c r="AI34" s="51">
        <f>'2 ALIYAH D'!V34:V65</f>
        <v>0</v>
      </c>
      <c r="AJ34" s="51" t="str">
        <f>V34:V39</f>
        <v>-</v>
      </c>
      <c r="AK34" s="52">
        <f t="shared" si="8"/>
        <v>0</v>
      </c>
    </row>
    <row r="35" spans="1:37" s="2" customFormat="1" ht="25.15" customHeight="1" thickBot="1" x14ac:dyDescent="0.3">
      <c r="A35" s="41">
        <f>'2 ALIYAH D'!A34:C66</f>
        <v>0</v>
      </c>
      <c r="B35" s="79"/>
      <c r="C35" s="41">
        <f>'2 ALIYAH D'!C34:E66</f>
        <v>0</v>
      </c>
      <c r="D35" s="19" t="s">
        <v>47</v>
      </c>
      <c r="E35" s="3" t="str">
        <f t="shared" si="4"/>
        <v>٠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4">
        <f t="shared" si="0"/>
        <v>0</v>
      </c>
      <c r="U35" s="44" t="s">
        <v>56</v>
      </c>
      <c r="V35" s="44" t="s">
        <v>56</v>
      </c>
      <c r="X35" s="27">
        <f>'2 ALIYAH D'!T35:T66</f>
        <v>0</v>
      </c>
      <c r="Y35" s="27">
        <f t="shared" si="1"/>
        <v>0</v>
      </c>
      <c r="Z35" s="28">
        <f t="shared" si="2"/>
        <v>0</v>
      </c>
      <c r="AA35" s="27">
        <v>26</v>
      </c>
      <c r="AB35" s="28">
        <f t="shared" si="5"/>
        <v>0</v>
      </c>
      <c r="AC35" s="29">
        <f t="shared" si="3"/>
        <v>0</v>
      </c>
      <c r="AE35" s="51">
        <f>'2 ALIYAH D'!U35:U67</f>
        <v>0</v>
      </c>
      <c r="AF35" s="51" t="str">
        <f t="shared" si="10"/>
        <v>-</v>
      </c>
      <c r="AG35" s="52">
        <f t="shared" si="6"/>
        <v>0</v>
      </c>
      <c r="AH35" s="1"/>
      <c r="AI35" s="51">
        <f>'2 ALIYAH D'!V35:V66</f>
        <v>0</v>
      </c>
      <c r="AJ35" s="51" t="str">
        <f>V35:V39</f>
        <v>-</v>
      </c>
      <c r="AK35" s="52">
        <f t="shared" si="8"/>
        <v>0</v>
      </c>
    </row>
    <row r="36" spans="1:37" s="2" customFormat="1" ht="25.15" customHeight="1" thickBot="1" x14ac:dyDescent="0.3">
      <c r="A36" s="41">
        <f>'2 ALIYAH D'!A34:C67</f>
        <v>0</v>
      </c>
      <c r="B36" s="79"/>
      <c r="C36" s="41">
        <f>'2 ALIYAH D'!C34:E67</f>
        <v>0</v>
      </c>
      <c r="D36" s="19" t="s">
        <v>48</v>
      </c>
      <c r="E36" s="3" t="str">
        <f t="shared" si="4"/>
        <v>٠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4">
        <f t="shared" si="0"/>
        <v>0</v>
      </c>
      <c r="U36" s="44" t="s">
        <v>56</v>
      </c>
      <c r="V36" s="44" t="s">
        <v>56</v>
      </c>
      <c r="X36" s="27">
        <f>'2 ALIYAH D'!T36:T67</f>
        <v>0</v>
      </c>
      <c r="Y36" s="27">
        <f t="shared" si="1"/>
        <v>0</v>
      </c>
      <c r="Z36" s="28">
        <f t="shared" si="2"/>
        <v>0</v>
      </c>
      <c r="AA36" s="27">
        <v>26</v>
      </c>
      <c r="AB36" s="28">
        <f t="shared" si="5"/>
        <v>0</v>
      </c>
      <c r="AC36" s="29">
        <f t="shared" si="3"/>
        <v>0</v>
      </c>
      <c r="AE36" s="51">
        <f>'2 ALIYAH D'!U36:U68</f>
        <v>0</v>
      </c>
      <c r="AF36" s="51" t="str">
        <f t="shared" si="10"/>
        <v>-</v>
      </c>
      <c r="AG36" s="52">
        <f t="shared" si="6"/>
        <v>0</v>
      </c>
      <c r="AH36" s="1"/>
      <c r="AI36" s="51">
        <f>'2 ALIYAH D'!V36:V67</f>
        <v>0</v>
      </c>
      <c r="AJ36" s="51" t="str">
        <f>V36:V39</f>
        <v>-</v>
      </c>
      <c r="AK36" s="52">
        <f t="shared" si="8"/>
        <v>0</v>
      </c>
    </row>
    <row r="37" spans="1:37" s="2" customFormat="1" ht="25.15" customHeight="1" thickBot="1" x14ac:dyDescent="0.3">
      <c r="A37" s="41">
        <f>'2 ALIYAH D'!A34:C68</f>
        <v>0</v>
      </c>
      <c r="B37" s="79"/>
      <c r="C37" s="41">
        <f>'2 ALIYAH D'!C34:E68</f>
        <v>0</v>
      </c>
      <c r="D37" s="19" t="s">
        <v>64</v>
      </c>
      <c r="E37" s="3" t="str">
        <f t="shared" si="4"/>
        <v>٠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4">
        <f t="shared" si="0"/>
        <v>0</v>
      </c>
      <c r="U37" s="44" t="s">
        <v>56</v>
      </c>
      <c r="V37" s="44" t="s">
        <v>56</v>
      </c>
      <c r="X37" s="27">
        <f>'2 ALIYAH D'!T37:T68</f>
        <v>0</v>
      </c>
      <c r="Y37" s="27">
        <f t="shared" si="1"/>
        <v>0</v>
      </c>
      <c r="Z37" s="28">
        <f t="shared" si="2"/>
        <v>0</v>
      </c>
      <c r="AA37" s="27">
        <v>26</v>
      </c>
      <c r="AB37" s="28">
        <f t="shared" si="5"/>
        <v>0</v>
      </c>
      <c r="AC37" s="29">
        <f t="shared" si="3"/>
        <v>0</v>
      </c>
      <c r="AE37" s="51">
        <f>'2 ALIYAH D'!U37:U69</f>
        <v>0</v>
      </c>
      <c r="AF37" s="51" t="str">
        <f t="shared" si="10"/>
        <v>-</v>
      </c>
      <c r="AG37" s="52">
        <f t="shared" si="6"/>
        <v>0</v>
      </c>
      <c r="AH37" s="1"/>
      <c r="AI37" s="51">
        <f>'2 ALIYAH D'!V37:V68</f>
        <v>0</v>
      </c>
      <c r="AJ37" s="51" t="str">
        <f>V37:V39</f>
        <v>-</v>
      </c>
      <c r="AK37" s="52">
        <f t="shared" si="8"/>
        <v>0</v>
      </c>
    </row>
    <row r="38" spans="1:37" s="2" customFormat="1" ht="25.15" customHeight="1" thickBot="1" x14ac:dyDescent="0.3">
      <c r="A38" s="41">
        <f>'2 ALIYAH D'!A34:C69</f>
        <v>0</v>
      </c>
      <c r="B38" s="79">
        <f>'2 ALIYAH D'!B34:D69</f>
        <v>0</v>
      </c>
      <c r="C38" s="41">
        <f>'2 ALIYAH D'!C34:E69</f>
        <v>0</v>
      </c>
      <c r="D38" s="19" t="s">
        <v>65</v>
      </c>
      <c r="E38" s="3" t="str">
        <f t="shared" si="4"/>
        <v>٠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4">
        <f t="shared" si="0"/>
        <v>0</v>
      </c>
      <c r="U38" s="44" t="s">
        <v>56</v>
      </c>
      <c r="V38" s="44" t="s">
        <v>56</v>
      </c>
      <c r="X38" s="27">
        <f>'2 ALIYAH D'!T38:T69</f>
        <v>0</v>
      </c>
      <c r="Y38" s="27">
        <f t="shared" si="1"/>
        <v>0</v>
      </c>
      <c r="Z38" s="28">
        <f t="shared" si="2"/>
        <v>0</v>
      </c>
      <c r="AA38" s="27">
        <v>26</v>
      </c>
      <c r="AB38" s="28">
        <f t="shared" si="5"/>
        <v>0</v>
      </c>
      <c r="AC38" s="29">
        <f t="shared" si="3"/>
        <v>0</v>
      </c>
      <c r="AE38" s="51">
        <f>'2 ALIYAH D'!U38:U70</f>
        <v>0</v>
      </c>
      <c r="AF38" s="51" t="str">
        <f t="shared" si="10"/>
        <v>-</v>
      </c>
      <c r="AG38" s="52">
        <f t="shared" si="6"/>
        <v>0</v>
      </c>
      <c r="AH38" s="1"/>
      <c r="AI38" s="51">
        <f>'2 ALIYAH D'!V38:V69</f>
        <v>0</v>
      </c>
      <c r="AJ38" s="51" t="str">
        <f>V38:V39</f>
        <v>-</v>
      </c>
      <c r="AK38" s="52">
        <f t="shared" si="8"/>
        <v>0</v>
      </c>
    </row>
    <row r="39" spans="1:37" s="2" customFormat="1" ht="25.15" customHeight="1" thickBot="1" x14ac:dyDescent="0.3">
      <c r="A39" s="41">
        <f>'2 ALIYAH D'!A34:C70</f>
        <v>0</v>
      </c>
      <c r="B39" s="79">
        <f>'2 ALIYAH D'!B34:D70</f>
        <v>0</v>
      </c>
      <c r="C39" s="41">
        <f>'2 ALIYAH D'!C34:E70</f>
        <v>0</v>
      </c>
      <c r="D39" s="19" t="s">
        <v>66</v>
      </c>
      <c r="E39" s="3" t="str">
        <f t="shared" si="4"/>
        <v>٠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4">
        <f t="shared" si="0"/>
        <v>0</v>
      </c>
      <c r="U39" s="44" t="s">
        <v>56</v>
      </c>
      <c r="V39" s="44" t="s">
        <v>56</v>
      </c>
      <c r="X39" s="27">
        <f>'2 ALIYAH D'!T39:T70</f>
        <v>0</v>
      </c>
      <c r="Y39" s="27">
        <f t="shared" si="1"/>
        <v>0</v>
      </c>
      <c r="Z39" s="28">
        <f t="shared" si="2"/>
        <v>0</v>
      </c>
      <c r="AA39" s="27">
        <v>26</v>
      </c>
      <c r="AB39" s="28">
        <f t="shared" si="5"/>
        <v>0</v>
      </c>
      <c r="AC39" s="29">
        <f t="shared" si="3"/>
        <v>0</v>
      </c>
      <c r="AE39" s="51">
        <f>'2 ALIYAH D'!U39:U71</f>
        <v>0</v>
      </c>
      <c r="AF39" s="51" t="str">
        <f t="shared" si="10"/>
        <v>-</v>
      </c>
      <c r="AG39" s="52">
        <f t="shared" ref="AG39" si="11">SUM(AE39:AF39)</f>
        <v>0</v>
      </c>
      <c r="AH39" s="1"/>
      <c r="AI39" s="51">
        <f>'2 ALIYAH D'!V39:V70</f>
        <v>0</v>
      </c>
      <c r="AJ39" s="51" t="str">
        <f>V39:V39</f>
        <v>-</v>
      </c>
      <c r="AK39" s="52">
        <f t="shared" ref="AK39" si="12">SUM(AI39:AJ39)</f>
        <v>0</v>
      </c>
    </row>
    <row r="40" spans="1:37" s="2" customFormat="1" ht="25.15" customHeight="1" x14ac:dyDescent="0.25">
      <c r="A40" s="35"/>
      <c r="B40" s="80" t="s">
        <v>50</v>
      </c>
      <c r="C40" s="7"/>
      <c r="D40" s="7"/>
      <c r="E40" s="3" t="str">
        <f t="shared" ref="E40" si="13">TEXT(F40,"[$-2000000]0")</f>
        <v>٠</v>
      </c>
      <c r="F40" s="38">
        <f t="shared" ref="F40:S40" si="14">SUM(F2:F39)</f>
        <v>0</v>
      </c>
      <c r="G40" s="8">
        <f t="shared" si="14"/>
        <v>0</v>
      </c>
      <c r="H40" s="8">
        <f t="shared" si="14"/>
        <v>0</v>
      </c>
      <c r="I40" s="24">
        <f t="shared" si="14"/>
        <v>0</v>
      </c>
      <c r="J40" s="8">
        <f t="shared" si="14"/>
        <v>0</v>
      </c>
      <c r="K40" s="8">
        <f t="shared" si="14"/>
        <v>0</v>
      </c>
      <c r="L40" s="8">
        <f t="shared" si="14"/>
        <v>0</v>
      </c>
      <c r="M40" s="8">
        <f t="shared" si="14"/>
        <v>0</v>
      </c>
      <c r="N40" s="8">
        <f t="shared" si="14"/>
        <v>0</v>
      </c>
      <c r="O40" s="24">
        <f t="shared" si="14"/>
        <v>0</v>
      </c>
      <c r="P40" s="8">
        <f t="shared" si="14"/>
        <v>0</v>
      </c>
      <c r="Q40" s="8">
        <f>SUM(Q2:Q39)</f>
        <v>0</v>
      </c>
      <c r="R40" s="8">
        <f t="shared" si="14"/>
        <v>0</v>
      </c>
      <c r="S40" s="8">
        <f t="shared" si="14"/>
        <v>0</v>
      </c>
      <c r="T40" s="8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</row>
    <row r="41" spans="1:37" s="2" customFormat="1" ht="25.15" customHeight="1" x14ac:dyDescent="0.25">
      <c r="A41" s="17"/>
      <c r="B41" s="81"/>
      <c r="C41" s="7"/>
      <c r="D41" s="7"/>
      <c r="E41" s="3"/>
      <c r="F41" s="5"/>
      <c r="G41" s="5"/>
      <c r="H41" s="5"/>
      <c r="I41" s="25"/>
      <c r="J41" s="5"/>
      <c r="K41" s="5"/>
      <c r="L41" s="5"/>
      <c r="M41" s="5"/>
      <c r="N41" s="5"/>
      <c r="O41" s="25"/>
      <c r="P41" s="5"/>
      <c r="Q41" s="5"/>
      <c r="R41" s="5"/>
      <c r="S41" s="5"/>
      <c r="T41" s="6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 spans="1:37" s="2" customFormat="1" ht="25.15" customHeight="1" x14ac:dyDescent="0.25">
      <c r="A42" s="17"/>
      <c r="B42" s="81"/>
      <c r="C42" s="7"/>
      <c r="D42" s="7"/>
      <c r="E42" s="3"/>
      <c r="F42" s="5"/>
      <c r="G42" s="5"/>
      <c r="H42" s="5"/>
      <c r="I42" s="25"/>
      <c r="J42" s="5"/>
      <c r="K42" s="5"/>
      <c r="L42" s="5"/>
      <c r="M42" s="5"/>
      <c r="N42" s="5"/>
      <c r="O42" s="25"/>
      <c r="P42" s="5"/>
      <c r="Q42" s="5"/>
      <c r="R42" s="5"/>
      <c r="S42" s="5"/>
      <c r="T42" s="5"/>
      <c r="U42"/>
      <c r="V42"/>
      <c r="X42" s="28"/>
      <c r="Y42" s="28"/>
      <c r="Z42" s="28"/>
      <c r="AA42" s="28"/>
      <c r="AB42" s="28"/>
      <c r="AC42" s="28"/>
      <c r="AE42" s="53"/>
      <c r="AF42" s="53"/>
      <c r="AG42" s="54"/>
      <c r="AH42"/>
      <c r="AI42" s="53"/>
      <c r="AJ42" s="53"/>
      <c r="AK42" s="55"/>
    </row>
    <row r="43" spans="1:37" s="9" customFormat="1" ht="25.15" customHeight="1" x14ac:dyDescent="0.25">
      <c r="A43" s="17"/>
      <c r="B43" s="81"/>
      <c r="C43" s="7"/>
      <c r="D43" s="7"/>
      <c r="E43" s="3"/>
      <c r="F43" s="5"/>
      <c r="G43" s="5"/>
      <c r="H43" s="5"/>
      <c r="I43" s="25"/>
      <c r="J43" s="5"/>
      <c r="K43" s="5"/>
      <c r="L43" s="5"/>
      <c r="M43" s="5"/>
      <c r="N43" s="5"/>
      <c r="O43" s="25"/>
      <c r="P43" s="5"/>
      <c r="Q43" s="5"/>
      <c r="R43" s="5"/>
      <c r="S43" s="5"/>
      <c r="T43" s="5"/>
      <c r="U43"/>
      <c r="V43"/>
      <c r="W43" s="2"/>
      <c r="X43" s="32"/>
      <c r="Y43" s="32"/>
      <c r="Z43" s="32"/>
      <c r="AA43" s="32"/>
      <c r="AB43" s="32"/>
      <c r="AC43" s="32"/>
      <c r="AD43" s="2"/>
      <c r="AE43" s="53"/>
      <c r="AF43" s="53"/>
      <c r="AG43" s="54"/>
      <c r="AH43"/>
      <c r="AI43" s="53"/>
      <c r="AJ43" s="53"/>
      <c r="AK43" s="55"/>
    </row>
    <row r="44" spans="1:37" ht="25.15" customHeight="1" x14ac:dyDescent="0.25">
      <c r="A44" s="17"/>
      <c r="G44" s="4"/>
      <c r="H44" s="14" t="s">
        <v>49</v>
      </c>
      <c r="I44" s="23"/>
      <c r="T44" s="5"/>
      <c r="U44"/>
      <c r="V44"/>
      <c r="X44" s="32"/>
      <c r="Y44" s="32"/>
      <c r="AA44" s="32"/>
      <c r="AC44" s="32"/>
    </row>
    <row r="45" spans="1:37" ht="25.15" customHeight="1" x14ac:dyDescent="0.25">
      <c r="A45" s="17"/>
      <c r="H45" s="16">
        <f>E40/D39</f>
        <v>0</v>
      </c>
      <c r="T45" s="5"/>
      <c r="X45" s="32"/>
      <c r="Y45" s="32"/>
      <c r="AA45" s="32"/>
      <c r="AC45" s="32"/>
    </row>
    <row r="46" spans="1:37" s="18" customFormat="1" ht="25.15" customHeight="1" x14ac:dyDescent="0.25">
      <c r="A46" s="17"/>
      <c r="B46" s="81"/>
      <c r="C46" s="7"/>
      <c r="D46" s="7"/>
      <c r="E46" s="3"/>
      <c r="F46" s="5"/>
      <c r="G46" s="5"/>
      <c r="H46" s="16">
        <f>G40/D39</f>
        <v>0</v>
      </c>
      <c r="I46" s="25"/>
      <c r="J46" s="5"/>
      <c r="K46" s="5"/>
      <c r="L46" s="5"/>
      <c r="M46" s="5"/>
      <c r="N46" s="5"/>
      <c r="O46" s="25"/>
      <c r="P46" s="5"/>
      <c r="Q46" s="5"/>
      <c r="R46" s="5"/>
      <c r="S46" s="5"/>
      <c r="T46" s="5"/>
      <c r="U46" s="45"/>
      <c r="V46" s="45"/>
      <c r="X46" s="32"/>
      <c r="Y46" s="32"/>
      <c r="Z46" s="32"/>
      <c r="AA46" s="32"/>
      <c r="AB46" s="32"/>
      <c r="AC46" s="32"/>
      <c r="AE46" s="53"/>
      <c r="AF46" s="53"/>
      <c r="AG46" s="54"/>
      <c r="AH46"/>
      <c r="AI46" s="53"/>
      <c r="AJ46" s="53"/>
      <c r="AK46" s="55"/>
    </row>
    <row r="47" spans="1:37" s="18" customFormat="1" ht="25.15" customHeight="1" x14ac:dyDescent="0.25">
      <c r="A47" s="17"/>
      <c r="B47" s="81"/>
      <c r="C47" s="7"/>
      <c r="D47" s="7"/>
      <c r="E47" s="3"/>
      <c r="F47" s="5"/>
      <c r="G47" s="5"/>
      <c r="H47" s="16">
        <f>H40/D39</f>
        <v>0</v>
      </c>
      <c r="I47" s="25"/>
      <c r="J47" s="5"/>
      <c r="K47" s="5"/>
      <c r="L47" s="5"/>
      <c r="M47" s="5"/>
      <c r="N47" s="5"/>
      <c r="O47" s="25"/>
      <c r="P47" s="5"/>
      <c r="Q47" s="5"/>
      <c r="R47" s="5"/>
      <c r="S47" s="5"/>
      <c r="T47" s="5"/>
      <c r="U47" s="45"/>
      <c r="V47" s="45"/>
      <c r="X47" s="32"/>
      <c r="Y47" s="32"/>
      <c r="Z47" s="32"/>
      <c r="AA47" s="32"/>
      <c r="AB47" s="32"/>
      <c r="AC47" s="32"/>
      <c r="AE47" s="53"/>
      <c r="AF47" s="53"/>
      <c r="AG47" s="54"/>
      <c r="AH47"/>
      <c r="AI47" s="53"/>
      <c r="AJ47" s="53"/>
      <c r="AK47" s="55"/>
    </row>
    <row r="48" spans="1:37" s="18" customFormat="1" ht="25.15" customHeight="1" x14ac:dyDescent="0.25">
      <c r="A48" s="17"/>
      <c r="B48" s="81"/>
      <c r="C48" s="7"/>
      <c r="D48" s="7"/>
      <c r="E48" s="3"/>
      <c r="F48" s="5"/>
      <c r="G48" s="5"/>
      <c r="H48" s="16">
        <f>I40/D39</f>
        <v>0</v>
      </c>
      <c r="I48" s="25"/>
      <c r="J48" s="5"/>
      <c r="K48" s="5"/>
      <c r="L48" s="5"/>
      <c r="M48" s="5"/>
      <c r="N48" s="5"/>
      <c r="O48" s="25"/>
      <c r="P48" s="5"/>
      <c r="Q48" s="5"/>
      <c r="R48" s="5"/>
      <c r="S48" s="5"/>
      <c r="T48" s="5"/>
      <c r="U48" s="45"/>
      <c r="V48" s="45"/>
      <c r="X48" s="32"/>
      <c r="Y48" s="32"/>
      <c r="Z48" s="32"/>
      <c r="AA48" s="32"/>
      <c r="AB48" s="32"/>
      <c r="AC48" s="32"/>
      <c r="AE48" s="53"/>
      <c r="AF48" s="53"/>
      <c r="AG48" s="54"/>
      <c r="AH48"/>
      <c r="AI48" s="53"/>
      <c r="AJ48" s="53"/>
      <c r="AK48" s="55"/>
    </row>
    <row r="49" spans="1:37" s="18" customFormat="1" ht="25.15" customHeight="1" x14ac:dyDescent="0.25">
      <c r="A49" s="17"/>
      <c r="B49" s="81"/>
      <c r="C49" s="7"/>
      <c r="D49" s="7"/>
      <c r="E49" s="3"/>
      <c r="F49" s="5"/>
      <c r="G49" s="5"/>
      <c r="H49" s="16">
        <f>J40/D39</f>
        <v>0</v>
      </c>
      <c r="I49" s="25"/>
      <c r="J49" s="5"/>
      <c r="K49" s="5"/>
      <c r="L49" s="5"/>
      <c r="M49" s="5"/>
      <c r="N49" s="5"/>
      <c r="O49" s="25"/>
      <c r="P49" s="5"/>
      <c r="Q49" s="5"/>
      <c r="R49" s="5"/>
      <c r="S49" s="5"/>
      <c r="T49" s="5"/>
      <c r="U49" s="45"/>
      <c r="V49" s="45"/>
      <c r="X49" s="32"/>
      <c r="Y49" s="32"/>
      <c r="Z49" s="32"/>
      <c r="AA49" s="32"/>
      <c r="AB49" s="32"/>
      <c r="AC49" s="32"/>
      <c r="AE49" s="53"/>
      <c r="AF49" s="53"/>
      <c r="AG49" s="54"/>
      <c r="AH49"/>
      <c r="AI49" s="53"/>
      <c r="AJ49" s="53"/>
      <c r="AK49" s="55"/>
    </row>
    <row r="50" spans="1:37" s="18" customFormat="1" ht="25.15" customHeight="1" x14ac:dyDescent="0.25">
      <c r="A50" s="17"/>
      <c r="B50" s="81"/>
      <c r="C50" s="7"/>
      <c r="D50" s="7"/>
      <c r="E50" s="3"/>
      <c r="F50" s="5"/>
      <c r="G50" s="5"/>
      <c r="H50" s="16">
        <f>K40/D39</f>
        <v>0</v>
      </c>
      <c r="I50" s="25"/>
      <c r="J50" s="5"/>
      <c r="K50" s="5"/>
      <c r="L50" s="5"/>
      <c r="M50" s="5"/>
      <c r="N50" s="5"/>
      <c r="O50" s="25"/>
      <c r="P50" s="5"/>
      <c r="Q50" s="5"/>
      <c r="R50" s="5"/>
      <c r="S50" s="5"/>
      <c r="T50" s="5"/>
      <c r="U50" s="45"/>
      <c r="V50" s="45"/>
      <c r="X50" s="32"/>
      <c r="Y50" s="32"/>
      <c r="Z50" s="32"/>
      <c r="AA50" s="32"/>
      <c r="AB50" s="32"/>
      <c r="AC50" s="32"/>
      <c r="AE50" s="53"/>
      <c r="AF50" s="53"/>
      <c r="AG50" s="54"/>
      <c r="AH50"/>
      <c r="AI50" s="53"/>
      <c r="AJ50" s="53"/>
      <c r="AK50" s="55"/>
    </row>
    <row r="51" spans="1:37" s="18" customFormat="1" ht="25.15" customHeight="1" x14ac:dyDescent="0.25">
      <c r="A51" s="17"/>
      <c r="B51" s="81"/>
      <c r="C51" s="7"/>
      <c r="D51" s="7"/>
      <c r="E51" s="3"/>
      <c r="F51" s="5"/>
      <c r="G51" s="5"/>
      <c r="H51" s="16">
        <f>L40/D39</f>
        <v>0</v>
      </c>
      <c r="I51" s="25"/>
      <c r="J51" s="5"/>
      <c r="K51" s="5"/>
      <c r="L51" s="5"/>
      <c r="M51" s="5"/>
      <c r="N51" s="5"/>
      <c r="O51" s="25"/>
      <c r="P51" s="5"/>
      <c r="Q51" s="5"/>
      <c r="R51" s="5"/>
      <c r="S51" s="5"/>
      <c r="T51" s="5"/>
      <c r="U51" s="45"/>
      <c r="V51" s="45"/>
      <c r="X51" s="32"/>
      <c r="Y51" s="32"/>
      <c r="Z51" s="32"/>
      <c r="AA51" s="32"/>
      <c r="AB51" s="32"/>
      <c r="AC51" s="32"/>
      <c r="AE51" s="53"/>
      <c r="AF51" s="53"/>
      <c r="AG51" s="54"/>
      <c r="AH51"/>
      <c r="AI51" s="53"/>
      <c r="AJ51" s="53"/>
      <c r="AK51" s="55"/>
    </row>
    <row r="52" spans="1:37" s="18" customFormat="1" ht="25.15" customHeight="1" x14ac:dyDescent="0.25">
      <c r="A52" s="17"/>
      <c r="B52" s="81"/>
      <c r="C52" s="7"/>
      <c r="D52" s="7"/>
      <c r="E52" s="3"/>
      <c r="F52" s="5"/>
      <c r="G52" s="5"/>
      <c r="H52" s="16">
        <f>M40/D39</f>
        <v>0</v>
      </c>
      <c r="I52" s="25"/>
      <c r="J52" s="5"/>
      <c r="K52" s="5"/>
      <c r="L52" s="5"/>
      <c r="M52" s="5"/>
      <c r="N52" s="5"/>
      <c r="O52" s="25"/>
      <c r="P52" s="5"/>
      <c r="Q52" s="5"/>
      <c r="R52" s="5"/>
      <c r="S52" s="5"/>
      <c r="T52" s="5"/>
      <c r="U52" s="45"/>
      <c r="V52" s="45"/>
      <c r="X52" s="32"/>
      <c r="Y52" s="32"/>
      <c r="Z52" s="32"/>
      <c r="AA52" s="32"/>
      <c r="AB52" s="32"/>
      <c r="AC52" s="32"/>
      <c r="AE52" s="53"/>
      <c r="AF52" s="53"/>
      <c r="AG52" s="54"/>
      <c r="AH52"/>
      <c r="AI52" s="53"/>
      <c r="AJ52" s="53"/>
      <c r="AK52" s="55"/>
    </row>
    <row r="53" spans="1:37" s="18" customFormat="1" ht="25.15" customHeight="1" x14ac:dyDescent="0.25">
      <c r="A53" s="17"/>
      <c r="B53" s="81"/>
      <c r="C53" s="7"/>
      <c r="D53" s="7"/>
      <c r="E53" s="3"/>
      <c r="F53" s="5"/>
      <c r="G53" s="5"/>
      <c r="H53" s="16">
        <f>N40/D39</f>
        <v>0</v>
      </c>
      <c r="I53" s="25"/>
      <c r="J53" s="5"/>
      <c r="K53" s="5"/>
      <c r="L53" s="5"/>
      <c r="M53" s="5"/>
      <c r="N53" s="5"/>
      <c r="O53" s="25"/>
      <c r="P53" s="5"/>
      <c r="Q53" s="5"/>
      <c r="R53" s="5"/>
      <c r="S53" s="5"/>
      <c r="T53" s="5"/>
      <c r="U53" s="45"/>
      <c r="V53" s="45"/>
      <c r="X53" s="32"/>
      <c r="Y53" s="32"/>
      <c r="Z53" s="32"/>
      <c r="AA53" s="32"/>
      <c r="AB53" s="32"/>
      <c r="AC53" s="32"/>
      <c r="AE53" s="53"/>
      <c r="AF53" s="53"/>
      <c r="AG53" s="54"/>
      <c r="AH53"/>
      <c r="AI53" s="53"/>
      <c r="AJ53" s="53"/>
      <c r="AK53" s="55"/>
    </row>
    <row r="54" spans="1:37" s="18" customFormat="1" ht="25.15" customHeight="1" x14ac:dyDescent="0.25">
      <c r="A54" s="17"/>
      <c r="B54" s="81"/>
      <c r="C54" s="7"/>
      <c r="D54" s="7"/>
      <c r="E54" s="3"/>
      <c r="F54" s="5"/>
      <c r="G54" s="5"/>
      <c r="H54" s="16">
        <f>O40/D39</f>
        <v>0</v>
      </c>
      <c r="I54" s="25"/>
      <c r="J54" s="5"/>
      <c r="K54" s="5"/>
      <c r="L54" s="5"/>
      <c r="M54" s="5"/>
      <c r="N54" s="5"/>
      <c r="O54" s="25"/>
      <c r="P54" s="5"/>
      <c r="Q54" s="5"/>
      <c r="R54" s="5"/>
      <c r="S54" s="5"/>
      <c r="T54" s="5"/>
      <c r="U54" s="45"/>
      <c r="V54" s="45"/>
      <c r="X54" s="32"/>
      <c r="Y54" s="32"/>
      <c r="Z54" s="32"/>
      <c r="AA54" s="32"/>
      <c r="AB54" s="32"/>
      <c r="AC54" s="32"/>
      <c r="AE54" s="53"/>
      <c r="AF54" s="53"/>
      <c r="AG54" s="54"/>
      <c r="AH54"/>
      <c r="AI54" s="53"/>
      <c r="AJ54" s="53"/>
      <c r="AK54" s="55"/>
    </row>
    <row r="55" spans="1:37" s="18" customFormat="1" ht="25.15" customHeight="1" x14ac:dyDescent="0.25">
      <c r="A55" s="17"/>
      <c r="B55" s="81"/>
      <c r="C55" s="7"/>
      <c r="D55" s="7"/>
      <c r="E55" s="3"/>
      <c r="F55" s="5"/>
      <c r="G55" s="5"/>
      <c r="H55" s="16">
        <f>P40/D39</f>
        <v>0</v>
      </c>
      <c r="I55" s="25"/>
      <c r="J55" s="5"/>
      <c r="K55" s="5"/>
      <c r="L55" s="5"/>
      <c r="M55" s="5"/>
      <c r="N55" s="5"/>
      <c r="O55" s="25"/>
      <c r="P55" s="5"/>
      <c r="Q55" s="5"/>
      <c r="R55" s="5"/>
      <c r="S55" s="5"/>
      <c r="T55" s="5"/>
      <c r="U55" s="45"/>
      <c r="V55" s="45"/>
      <c r="X55" s="32"/>
      <c r="Y55" s="32"/>
      <c r="Z55" s="32"/>
      <c r="AA55" s="32"/>
      <c r="AB55" s="32"/>
      <c r="AC55" s="32"/>
      <c r="AE55" s="53"/>
      <c r="AF55" s="53"/>
      <c r="AG55" s="54"/>
      <c r="AH55"/>
      <c r="AI55" s="53"/>
      <c r="AJ55" s="53"/>
      <c r="AK55" s="55"/>
    </row>
    <row r="56" spans="1:37" s="18" customFormat="1" ht="25.15" customHeight="1" x14ac:dyDescent="0.25">
      <c r="A56" s="17"/>
      <c r="B56" s="81"/>
      <c r="C56" s="7"/>
      <c r="D56" s="7"/>
      <c r="E56" s="3"/>
      <c r="F56" s="5"/>
      <c r="G56" s="5"/>
      <c r="H56" s="16">
        <f>Q40/D39</f>
        <v>0</v>
      </c>
      <c r="I56" s="25"/>
      <c r="J56" s="5"/>
      <c r="K56" s="5"/>
      <c r="L56" s="5"/>
      <c r="M56" s="5"/>
      <c r="N56" s="5"/>
      <c r="O56" s="25"/>
      <c r="P56" s="5"/>
      <c r="Q56" s="5"/>
      <c r="R56" s="5"/>
      <c r="S56" s="5"/>
      <c r="T56" s="5"/>
      <c r="U56" s="45"/>
      <c r="V56" s="45"/>
      <c r="X56" s="32"/>
      <c r="Y56" s="32"/>
      <c r="Z56" s="32"/>
      <c r="AA56" s="32"/>
      <c r="AB56" s="32"/>
      <c r="AC56" s="32"/>
      <c r="AE56" s="53"/>
      <c r="AF56" s="53"/>
      <c r="AG56" s="54"/>
      <c r="AH56"/>
      <c r="AI56" s="53"/>
      <c r="AJ56" s="53"/>
      <c r="AK56" s="55"/>
    </row>
    <row r="57" spans="1:37" s="18" customFormat="1" ht="25.15" customHeight="1" x14ac:dyDescent="0.25">
      <c r="A57" s="17"/>
      <c r="B57" s="81"/>
      <c r="C57" s="7"/>
      <c r="D57" s="7"/>
      <c r="E57" s="3"/>
      <c r="F57" s="5"/>
      <c r="G57" s="5"/>
      <c r="H57" s="16">
        <f>R40/D39</f>
        <v>0</v>
      </c>
      <c r="I57" s="25"/>
      <c r="J57" s="5"/>
      <c r="K57" s="5"/>
      <c r="L57" s="5"/>
      <c r="M57" s="5"/>
      <c r="N57" s="5"/>
      <c r="O57" s="25"/>
      <c r="P57" s="5"/>
      <c r="Q57" s="5"/>
      <c r="R57" s="5"/>
      <c r="S57" s="5"/>
      <c r="T57" s="5"/>
      <c r="U57" s="45"/>
      <c r="V57" s="45"/>
      <c r="X57" s="32"/>
      <c r="Y57" s="32"/>
      <c r="Z57" s="32"/>
      <c r="AA57" s="32"/>
      <c r="AB57" s="32"/>
      <c r="AC57" s="32"/>
      <c r="AE57" s="53"/>
      <c r="AF57" s="53"/>
      <c r="AG57" s="54"/>
      <c r="AH57"/>
      <c r="AI57" s="53"/>
      <c r="AJ57" s="53"/>
      <c r="AK57" s="55"/>
    </row>
    <row r="58" spans="1:37" s="18" customFormat="1" ht="25.15" customHeight="1" x14ac:dyDescent="0.25">
      <c r="A58" s="17"/>
      <c r="B58" s="81"/>
      <c r="C58" s="7"/>
      <c r="D58" s="7"/>
      <c r="E58" s="3"/>
      <c r="F58" s="5"/>
      <c r="G58" s="5"/>
      <c r="H58" s="16">
        <f>S40/D39</f>
        <v>0</v>
      </c>
      <c r="I58" s="25"/>
      <c r="J58" s="5"/>
      <c r="K58" s="5"/>
      <c r="L58" s="5"/>
      <c r="M58" s="5"/>
      <c r="N58" s="5"/>
      <c r="O58" s="25"/>
      <c r="P58" s="5"/>
      <c r="Q58" s="5"/>
      <c r="R58" s="5"/>
      <c r="S58" s="5"/>
      <c r="T58" s="5"/>
      <c r="U58" s="45"/>
      <c r="V58" s="45"/>
      <c r="X58" s="32"/>
      <c r="Y58" s="32"/>
      <c r="Z58" s="32"/>
      <c r="AA58" s="32"/>
      <c r="AB58" s="32"/>
      <c r="AC58" s="32"/>
      <c r="AE58" s="53"/>
      <c r="AF58" s="53"/>
      <c r="AG58" s="54"/>
      <c r="AH58"/>
      <c r="AI58" s="53"/>
      <c r="AJ58" s="53"/>
      <c r="AK58" s="55"/>
    </row>
    <row r="59" spans="1:37" s="18" customFormat="1" ht="25.15" customHeight="1" x14ac:dyDescent="0.25">
      <c r="A59" s="17"/>
      <c r="B59" s="81"/>
      <c r="C59" s="7"/>
      <c r="D59" s="7"/>
      <c r="E59" s="3"/>
      <c r="F59" s="5"/>
      <c r="G59" s="5"/>
      <c r="H59" s="15">
        <f>SUM(H45:H58)</f>
        <v>0</v>
      </c>
      <c r="I59" s="25"/>
      <c r="J59" s="5"/>
      <c r="K59" s="5"/>
      <c r="L59" s="5"/>
      <c r="M59" s="5"/>
      <c r="N59" s="5"/>
      <c r="O59" s="25"/>
      <c r="P59" s="5"/>
      <c r="Q59" s="5"/>
      <c r="R59" s="5"/>
      <c r="S59" s="5"/>
      <c r="T59" s="5"/>
      <c r="U59" s="45"/>
      <c r="V59" s="45"/>
      <c r="X59" s="32"/>
      <c r="Y59" s="32"/>
      <c r="Z59" s="32"/>
      <c r="AA59" s="32"/>
      <c r="AB59" s="32"/>
      <c r="AC59" s="32"/>
      <c r="AE59" s="53"/>
      <c r="AF59" s="53"/>
      <c r="AG59" s="54"/>
      <c r="AH59"/>
      <c r="AI59" s="53"/>
      <c r="AJ59" s="53"/>
      <c r="AK59" s="55"/>
    </row>
    <row r="60" spans="1:37" s="18" customFormat="1" ht="25.15" customHeight="1" x14ac:dyDescent="0.25">
      <c r="A60" s="17"/>
      <c r="B60" s="81"/>
      <c r="C60" s="7"/>
      <c r="D60" s="7"/>
      <c r="E60" s="3"/>
      <c r="F60" s="5"/>
      <c r="G60" s="5"/>
      <c r="H60" s="5"/>
      <c r="I60" s="25"/>
      <c r="J60" s="5"/>
      <c r="K60" s="5"/>
      <c r="L60" s="5"/>
      <c r="M60" s="5"/>
      <c r="N60" s="5"/>
      <c r="O60" s="25"/>
      <c r="P60" s="5"/>
      <c r="Q60" s="5"/>
      <c r="R60" s="5"/>
      <c r="S60" s="5"/>
      <c r="T60" s="5"/>
      <c r="U60" s="45"/>
      <c r="V60" s="45"/>
      <c r="X60" s="32"/>
      <c r="Y60" s="32"/>
      <c r="Z60" s="32"/>
      <c r="AA60" s="32"/>
      <c r="AB60" s="32"/>
      <c r="AC60" s="32"/>
      <c r="AE60" s="53"/>
      <c r="AF60" s="53"/>
      <c r="AG60" s="54"/>
      <c r="AH60"/>
      <c r="AI60" s="53"/>
      <c r="AJ60" s="53"/>
      <c r="AK60" s="55"/>
    </row>
    <row r="61" spans="1:37" s="18" customFormat="1" ht="25.15" customHeight="1" x14ac:dyDescent="0.25">
      <c r="A61" s="17"/>
      <c r="B61" s="81"/>
      <c r="C61" s="7"/>
      <c r="D61" s="7"/>
      <c r="E61" s="3"/>
      <c r="F61" s="5"/>
      <c r="G61" s="5"/>
      <c r="H61" s="5"/>
      <c r="I61" s="25"/>
      <c r="J61" s="5"/>
      <c r="K61" s="5"/>
      <c r="L61" s="5"/>
      <c r="M61" s="5"/>
      <c r="N61" s="5"/>
      <c r="O61" s="25"/>
      <c r="P61" s="5"/>
      <c r="Q61" s="5"/>
      <c r="R61" s="5"/>
      <c r="S61" s="5"/>
      <c r="T61" s="5"/>
      <c r="U61" s="45"/>
      <c r="V61" s="45"/>
      <c r="X61" s="32"/>
      <c r="Y61" s="32"/>
      <c r="Z61" s="32"/>
      <c r="AA61" s="32"/>
      <c r="AB61" s="32"/>
      <c r="AC61" s="32"/>
      <c r="AE61" s="53"/>
      <c r="AF61" s="53"/>
      <c r="AG61" s="54"/>
      <c r="AH61"/>
      <c r="AI61" s="53"/>
      <c r="AJ61" s="53"/>
      <c r="AK61" s="55"/>
    </row>
    <row r="62" spans="1:37" s="18" customFormat="1" ht="25.15" customHeight="1" x14ac:dyDescent="0.25">
      <c r="A62" s="17"/>
      <c r="B62" s="81"/>
      <c r="C62" s="7"/>
      <c r="D62" s="7"/>
      <c r="E62" s="3"/>
      <c r="F62" s="5"/>
      <c r="G62" s="5"/>
      <c r="H62" s="5"/>
      <c r="I62" s="25"/>
      <c r="J62" s="5"/>
      <c r="K62" s="5"/>
      <c r="L62" s="5"/>
      <c r="M62" s="5"/>
      <c r="N62" s="5"/>
      <c r="O62" s="25"/>
      <c r="P62" s="5"/>
      <c r="Q62" s="5"/>
      <c r="R62" s="5"/>
      <c r="S62" s="5"/>
      <c r="T62" s="5"/>
      <c r="U62" s="45"/>
      <c r="V62" s="45"/>
      <c r="X62" s="32"/>
      <c r="Y62" s="32"/>
      <c r="Z62" s="32"/>
      <c r="AA62" s="32"/>
      <c r="AB62" s="32"/>
      <c r="AC62" s="32"/>
      <c r="AE62" s="53"/>
      <c r="AF62" s="53"/>
      <c r="AG62" s="54"/>
      <c r="AH62"/>
      <c r="AI62" s="53"/>
      <c r="AJ62" s="53"/>
      <c r="AK62" s="55"/>
    </row>
    <row r="63" spans="1:37" s="18" customFormat="1" ht="25.15" customHeight="1" x14ac:dyDescent="0.25">
      <c r="A63" s="17"/>
      <c r="B63" s="81"/>
      <c r="C63" s="7"/>
      <c r="D63" s="7"/>
      <c r="E63" s="3"/>
      <c r="F63" s="5"/>
      <c r="G63" s="5"/>
      <c r="H63" s="5"/>
      <c r="I63" s="25"/>
      <c r="J63" s="5"/>
      <c r="K63" s="5"/>
      <c r="L63" s="5"/>
      <c r="M63" s="5"/>
      <c r="N63" s="5"/>
      <c r="O63" s="25"/>
      <c r="P63" s="5"/>
      <c r="Q63" s="5"/>
      <c r="R63" s="5"/>
      <c r="S63" s="5"/>
      <c r="T63" s="5"/>
      <c r="U63" s="45"/>
      <c r="V63" s="45"/>
      <c r="X63" s="32"/>
      <c r="Y63" s="32"/>
      <c r="Z63" s="32"/>
      <c r="AA63" s="32"/>
      <c r="AB63" s="32"/>
      <c r="AC63" s="32"/>
      <c r="AE63" s="53"/>
      <c r="AF63" s="53"/>
      <c r="AG63" s="54"/>
      <c r="AH63"/>
      <c r="AI63" s="53"/>
      <c r="AJ63" s="53"/>
      <c r="AK63" s="55"/>
    </row>
    <row r="64" spans="1:37" s="18" customFormat="1" ht="25.15" customHeight="1" x14ac:dyDescent="0.25">
      <c r="A64" s="17"/>
      <c r="B64" s="81"/>
      <c r="C64" s="7"/>
      <c r="D64" s="7"/>
      <c r="E64" s="3"/>
      <c r="F64" s="5"/>
      <c r="G64" s="5"/>
      <c r="H64" s="5"/>
      <c r="I64" s="25"/>
      <c r="J64" s="5"/>
      <c r="K64" s="5"/>
      <c r="L64" s="5"/>
      <c r="M64" s="5"/>
      <c r="N64" s="5"/>
      <c r="O64" s="25"/>
      <c r="P64" s="5"/>
      <c r="Q64" s="5"/>
      <c r="R64" s="5"/>
      <c r="S64" s="5"/>
      <c r="T64" s="5"/>
      <c r="U64" s="45"/>
      <c r="V64" s="45"/>
      <c r="X64" s="32"/>
      <c r="Y64" s="32"/>
      <c r="Z64" s="32"/>
      <c r="AA64" s="32"/>
      <c r="AB64" s="32"/>
      <c r="AC64" s="32"/>
      <c r="AE64" s="53"/>
      <c r="AF64" s="53"/>
      <c r="AG64" s="54"/>
      <c r="AH64"/>
      <c r="AI64" s="53"/>
      <c r="AJ64" s="53"/>
      <c r="AK64" s="55"/>
    </row>
    <row r="65" spans="1:37" s="18" customFormat="1" ht="25.15" customHeight="1" x14ac:dyDescent="0.25">
      <c r="A65" s="17"/>
      <c r="B65" s="81"/>
      <c r="C65" s="7"/>
      <c r="D65" s="7"/>
      <c r="E65" s="3"/>
      <c r="F65" s="5"/>
      <c r="G65" s="5"/>
      <c r="H65" s="5"/>
      <c r="I65" s="25"/>
      <c r="J65" s="5"/>
      <c r="K65" s="5"/>
      <c r="L65" s="5"/>
      <c r="M65" s="5"/>
      <c r="N65" s="5"/>
      <c r="O65" s="25"/>
      <c r="P65" s="5"/>
      <c r="Q65" s="5"/>
      <c r="R65" s="5"/>
      <c r="S65" s="5"/>
      <c r="T65" s="5"/>
      <c r="U65" s="45"/>
      <c r="V65" s="45"/>
      <c r="X65" s="32"/>
      <c r="Y65" s="32"/>
      <c r="Z65" s="32"/>
      <c r="AA65" s="32"/>
      <c r="AB65" s="32"/>
      <c r="AC65" s="32"/>
      <c r="AE65" s="53"/>
      <c r="AF65" s="53"/>
      <c r="AG65" s="54"/>
      <c r="AH65"/>
      <c r="AI65" s="53"/>
      <c r="AJ65" s="53"/>
      <c r="AK65" s="55"/>
    </row>
    <row r="66" spans="1:37" s="18" customFormat="1" ht="25.15" customHeight="1" x14ac:dyDescent="0.25">
      <c r="A66" s="17"/>
      <c r="B66" s="81"/>
      <c r="C66" s="7"/>
      <c r="D66" s="7"/>
      <c r="E66" s="3"/>
      <c r="F66" s="5"/>
      <c r="G66" s="5"/>
      <c r="H66" s="5"/>
      <c r="I66" s="25"/>
      <c r="J66" s="5"/>
      <c r="K66" s="5"/>
      <c r="L66" s="5"/>
      <c r="M66" s="5"/>
      <c r="N66" s="5"/>
      <c r="O66" s="25"/>
      <c r="P66" s="5"/>
      <c r="Q66" s="5"/>
      <c r="R66" s="5"/>
      <c r="S66" s="5"/>
      <c r="T66" s="5"/>
      <c r="U66" s="45"/>
      <c r="V66" s="45"/>
      <c r="X66" s="32"/>
      <c r="Y66" s="32"/>
      <c r="Z66" s="32"/>
      <c r="AA66" s="32"/>
      <c r="AB66" s="32"/>
      <c r="AC66" s="32"/>
      <c r="AE66" s="53"/>
      <c r="AF66" s="53"/>
      <c r="AG66" s="54"/>
      <c r="AH66"/>
      <c r="AI66" s="53"/>
      <c r="AJ66" s="53"/>
      <c r="AK66" s="55"/>
    </row>
    <row r="67" spans="1:37" s="18" customFormat="1" ht="25.15" customHeight="1" x14ac:dyDescent="0.25">
      <c r="A67" s="17"/>
      <c r="B67" s="81"/>
      <c r="C67" s="7"/>
      <c r="D67" s="7"/>
      <c r="E67" s="3"/>
      <c r="F67" s="5"/>
      <c r="G67" s="5"/>
      <c r="H67" s="5"/>
      <c r="I67" s="25"/>
      <c r="J67" s="5"/>
      <c r="K67" s="5"/>
      <c r="L67" s="5"/>
      <c r="M67" s="5"/>
      <c r="N67" s="5"/>
      <c r="O67" s="25"/>
      <c r="P67" s="5"/>
      <c r="Q67" s="5"/>
      <c r="R67" s="5"/>
      <c r="S67" s="5"/>
      <c r="T67" s="5"/>
      <c r="U67" s="45"/>
      <c r="V67" s="45"/>
      <c r="X67" s="32"/>
      <c r="Y67" s="32"/>
      <c r="Z67" s="32"/>
      <c r="AA67" s="32"/>
      <c r="AB67" s="32"/>
      <c r="AC67" s="32"/>
      <c r="AE67" s="53"/>
      <c r="AF67" s="53"/>
      <c r="AG67" s="54"/>
      <c r="AH67"/>
      <c r="AI67" s="53"/>
      <c r="AJ67" s="53"/>
      <c r="AK67" s="55"/>
    </row>
    <row r="68" spans="1:37" s="18" customFormat="1" ht="25.15" customHeight="1" x14ac:dyDescent="0.25">
      <c r="A68" s="17"/>
      <c r="B68" s="81"/>
      <c r="C68" s="7"/>
      <c r="D68" s="7"/>
      <c r="E68" s="3"/>
      <c r="F68" s="5"/>
      <c r="G68" s="5"/>
      <c r="H68" s="5"/>
      <c r="I68" s="25"/>
      <c r="J68" s="5"/>
      <c r="K68" s="5"/>
      <c r="L68" s="5"/>
      <c r="M68" s="5"/>
      <c r="N68" s="5"/>
      <c r="O68" s="25"/>
      <c r="P68" s="5"/>
      <c r="Q68" s="5"/>
      <c r="R68" s="5"/>
      <c r="S68" s="5"/>
      <c r="T68" s="5"/>
      <c r="U68" s="45"/>
      <c r="V68" s="45"/>
      <c r="X68" s="32"/>
      <c r="Y68" s="32"/>
      <c r="Z68" s="32"/>
      <c r="AA68" s="32"/>
      <c r="AB68" s="32"/>
      <c r="AC68" s="32"/>
      <c r="AE68" s="53"/>
      <c r="AF68" s="53"/>
      <c r="AG68" s="54"/>
      <c r="AH68"/>
      <c r="AI68" s="53"/>
      <c r="AJ68" s="53"/>
      <c r="AK68" s="55"/>
    </row>
    <row r="69" spans="1:37" s="18" customFormat="1" ht="25.15" customHeight="1" x14ac:dyDescent="0.25">
      <c r="A69" s="17"/>
      <c r="B69" s="81"/>
      <c r="C69" s="7"/>
      <c r="D69" s="7"/>
      <c r="E69" s="3"/>
      <c r="F69" s="5"/>
      <c r="G69" s="5"/>
      <c r="H69" s="5"/>
      <c r="I69" s="25"/>
      <c r="J69" s="5"/>
      <c r="K69" s="5"/>
      <c r="L69" s="5"/>
      <c r="M69" s="5"/>
      <c r="N69" s="5"/>
      <c r="O69" s="25"/>
      <c r="P69" s="5"/>
      <c r="Q69" s="5"/>
      <c r="R69" s="5"/>
      <c r="S69" s="5"/>
      <c r="T69" s="5"/>
      <c r="U69" s="45"/>
      <c r="V69" s="45"/>
      <c r="X69" s="32"/>
      <c r="Y69" s="32"/>
      <c r="Z69" s="32"/>
      <c r="AA69" s="32"/>
      <c r="AB69" s="32"/>
      <c r="AC69" s="32"/>
      <c r="AE69" s="53"/>
      <c r="AF69" s="53"/>
      <c r="AG69" s="54"/>
      <c r="AH69"/>
      <c r="AI69" s="53"/>
      <c r="AJ69" s="53"/>
      <c r="AK69" s="55"/>
    </row>
    <row r="70" spans="1:37" s="18" customFormat="1" ht="25.15" customHeight="1" x14ac:dyDescent="0.25">
      <c r="A70" s="17"/>
      <c r="B70" s="81"/>
      <c r="C70" s="7"/>
      <c r="D70" s="7"/>
      <c r="E70" s="3"/>
      <c r="F70" s="5"/>
      <c r="G70" s="5"/>
      <c r="H70" s="5"/>
      <c r="I70" s="25"/>
      <c r="J70" s="5"/>
      <c r="K70" s="5"/>
      <c r="L70" s="5"/>
      <c r="M70" s="5"/>
      <c r="N70" s="5"/>
      <c r="O70" s="25"/>
      <c r="P70" s="5"/>
      <c r="Q70" s="5"/>
      <c r="R70" s="5"/>
      <c r="S70" s="5"/>
      <c r="T70" s="5"/>
      <c r="U70" s="45"/>
      <c r="V70" s="45"/>
      <c r="X70" s="32"/>
      <c r="Y70" s="32"/>
      <c r="Z70" s="32"/>
      <c r="AA70" s="32"/>
      <c r="AB70" s="32"/>
      <c r="AC70" s="32"/>
      <c r="AE70" s="53"/>
      <c r="AF70" s="53"/>
      <c r="AG70" s="54"/>
      <c r="AH70"/>
      <c r="AI70" s="53"/>
      <c r="AJ70" s="53"/>
      <c r="AK70" s="55"/>
    </row>
    <row r="71" spans="1:37" s="18" customFormat="1" ht="25.15" customHeight="1" x14ac:dyDescent="0.25">
      <c r="A71" s="17"/>
      <c r="B71" s="81"/>
      <c r="C71" s="7"/>
      <c r="D71" s="7"/>
      <c r="E71" s="3"/>
      <c r="F71" s="5"/>
      <c r="G71" s="5"/>
      <c r="H71" s="5"/>
      <c r="I71" s="25"/>
      <c r="J71" s="5"/>
      <c r="K71" s="5"/>
      <c r="L71" s="5"/>
      <c r="M71" s="5"/>
      <c r="N71" s="5"/>
      <c r="O71" s="25"/>
      <c r="P71" s="5"/>
      <c r="Q71" s="5"/>
      <c r="R71" s="5"/>
      <c r="S71" s="5"/>
      <c r="T71" s="5"/>
      <c r="U71" s="45"/>
      <c r="V71" s="45"/>
      <c r="X71" s="32"/>
      <c r="Y71" s="32"/>
      <c r="Z71" s="32"/>
      <c r="AA71" s="32"/>
      <c r="AB71" s="32"/>
      <c r="AC71" s="32"/>
      <c r="AE71" s="53"/>
      <c r="AF71" s="53"/>
      <c r="AG71" s="54"/>
      <c r="AH71"/>
      <c r="AI71" s="53"/>
      <c r="AJ71" s="53"/>
      <c r="AK71" s="55"/>
    </row>
    <row r="72" spans="1:37" s="18" customFormat="1" ht="25.15" customHeight="1" x14ac:dyDescent="0.25">
      <c r="A72" s="17"/>
      <c r="B72" s="81"/>
      <c r="C72" s="7"/>
      <c r="D72" s="7"/>
      <c r="E72" s="3"/>
      <c r="F72" s="5"/>
      <c r="G72" s="5"/>
      <c r="H72" s="5"/>
      <c r="I72" s="25"/>
      <c r="J72" s="5"/>
      <c r="K72" s="5"/>
      <c r="L72" s="5"/>
      <c r="M72" s="5"/>
      <c r="N72" s="5"/>
      <c r="O72" s="25"/>
      <c r="P72" s="5"/>
      <c r="Q72" s="5"/>
      <c r="R72" s="5"/>
      <c r="S72" s="5"/>
      <c r="T72" s="5"/>
      <c r="U72" s="45"/>
      <c r="V72" s="45"/>
      <c r="X72" s="32"/>
      <c r="Y72" s="32"/>
      <c r="Z72" s="32"/>
      <c r="AA72" s="32"/>
      <c r="AB72" s="32"/>
      <c r="AC72" s="32"/>
      <c r="AE72" s="53"/>
      <c r="AF72" s="53"/>
      <c r="AG72" s="54"/>
      <c r="AH72"/>
      <c r="AI72" s="53"/>
      <c r="AJ72" s="53"/>
      <c r="AK72" s="55"/>
    </row>
    <row r="73" spans="1:37" s="18" customFormat="1" ht="25.15" customHeight="1" x14ac:dyDescent="0.25">
      <c r="A73" s="17"/>
      <c r="B73" s="81"/>
      <c r="C73" s="7"/>
      <c r="D73" s="7"/>
      <c r="E73" s="3"/>
      <c r="F73" s="5"/>
      <c r="G73" s="5"/>
      <c r="H73" s="5"/>
      <c r="I73" s="25"/>
      <c r="J73" s="5"/>
      <c r="K73" s="5"/>
      <c r="L73" s="5"/>
      <c r="M73" s="5"/>
      <c r="N73" s="5"/>
      <c r="O73" s="25"/>
      <c r="P73" s="5"/>
      <c r="Q73" s="5"/>
      <c r="R73" s="5"/>
      <c r="S73" s="5"/>
      <c r="T73" s="5"/>
      <c r="U73" s="45"/>
      <c r="V73" s="45"/>
      <c r="X73" s="32"/>
      <c r="Y73" s="32"/>
      <c r="Z73" s="32"/>
      <c r="AA73" s="32"/>
      <c r="AB73" s="32"/>
      <c r="AC73" s="32"/>
      <c r="AE73" s="53"/>
      <c r="AF73" s="53"/>
      <c r="AG73" s="54"/>
      <c r="AH73"/>
      <c r="AI73" s="53"/>
      <c r="AJ73" s="53"/>
      <c r="AK73" s="55"/>
    </row>
    <row r="74" spans="1:37" s="18" customFormat="1" ht="25.15" customHeight="1" x14ac:dyDescent="0.25">
      <c r="A74" s="17"/>
      <c r="B74" s="81"/>
      <c r="C74" s="7"/>
      <c r="D74" s="7"/>
      <c r="E74" s="3"/>
      <c r="F74" s="5"/>
      <c r="G74" s="5"/>
      <c r="H74" s="5"/>
      <c r="I74" s="25"/>
      <c r="J74" s="5"/>
      <c r="K74" s="5"/>
      <c r="L74" s="5"/>
      <c r="M74" s="5"/>
      <c r="N74" s="5"/>
      <c r="O74" s="25"/>
      <c r="P74" s="5"/>
      <c r="Q74" s="5"/>
      <c r="R74" s="5"/>
      <c r="S74" s="5"/>
      <c r="T74" s="5"/>
      <c r="U74" s="45"/>
      <c r="V74" s="45"/>
      <c r="X74" s="32"/>
      <c r="Y74" s="32"/>
      <c r="Z74" s="32"/>
      <c r="AA74" s="32"/>
      <c r="AB74" s="32"/>
      <c r="AC74" s="32"/>
      <c r="AE74" s="53"/>
      <c r="AF74" s="53"/>
      <c r="AG74" s="54"/>
      <c r="AH74"/>
      <c r="AI74" s="53"/>
      <c r="AJ74" s="53"/>
      <c r="AK74" s="55"/>
    </row>
    <row r="75" spans="1:37" s="18" customFormat="1" ht="25.15" customHeight="1" x14ac:dyDescent="0.25">
      <c r="A75" s="17"/>
      <c r="B75" s="81"/>
      <c r="C75" s="7"/>
      <c r="D75" s="7"/>
      <c r="E75" s="3"/>
      <c r="F75" s="5"/>
      <c r="G75" s="5"/>
      <c r="H75" s="5"/>
      <c r="I75" s="25"/>
      <c r="J75" s="5"/>
      <c r="K75" s="5"/>
      <c r="L75" s="5"/>
      <c r="M75" s="5"/>
      <c r="N75" s="5"/>
      <c r="O75" s="25"/>
      <c r="P75" s="5"/>
      <c r="Q75" s="5"/>
      <c r="R75" s="5"/>
      <c r="S75" s="5"/>
      <c r="T75" s="5"/>
      <c r="U75" s="45"/>
      <c r="V75" s="45"/>
      <c r="X75" s="32"/>
      <c r="Y75" s="32"/>
      <c r="Z75" s="32"/>
      <c r="AA75" s="32"/>
      <c r="AB75" s="32"/>
      <c r="AC75" s="32"/>
      <c r="AE75" s="53"/>
      <c r="AF75" s="53"/>
      <c r="AG75" s="54"/>
      <c r="AH75"/>
      <c r="AI75" s="53"/>
      <c r="AJ75" s="53"/>
      <c r="AK75" s="55"/>
    </row>
    <row r="76" spans="1:37" s="18" customFormat="1" ht="25.15" customHeight="1" x14ac:dyDescent="0.25">
      <c r="A76" s="17"/>
      <c r="B76" s="81"/>
      <c r="C76" s="7"/>
      <c r="D76" s="7"/>
      <c r="E76" s="3"/>
      <c r="F76" s="5"/>
      <c r="G76" s="5"/>
      <c r="H76" s="5"/>
      <c r="I76" s="25"/>
      <c r="J76" s="5"/>
      <c r="K76" s="5"/>
      <c r="L76" s="5"/>
      <c r="M76" s="5"/>
      <c r="N76" s="5"/>
      <c r="O76" s="25"/>
      <c r="P76" s="5"/>
      <c r="Q76" s="5"/>
      <c r="R76" s="5"/>
      <c r="S76" s="5"/>
      <c r="T76" s="5"/>
      <c r="U76" s="45"/>
      <c r="V76" s="45"/>
      <c r="X76" s="32"/>
      <c r="Y76" s="32"/>
      <c r="Z76" s="32"/>
      <c r="AA76" s="32"/>
      <c r="AB76" s="32"/>
      <c r="AC76" s="32"/>
      <c r="AE76" s="53"/>
      <c r="AF76" s="53"/>
      <c r="AG76" s="54"/>
      <c r="AH76"/>
      <c r="AI76" s="53"/>
      <c r="AJ76" s="53"/>
      <c r="AK76" s="55"/>
    </row>
    <row r="77" spans="1:37" s="18" customFormat="1" ht="25.15" customHeight="1" x14ac:dyDescent="0.25">
      <c r="A77" s="17"/>
      <c r="B77" s="81"/>
      <c r="C77" s="7"/>
      <c r="D77" s="7"/>
      <c r="E77" s="3"/>
      <c r="F77" s="5"/>
      <c r="G77" s="5"/>
      <c r="H77" s="5"/>
      <c r="I77" s="25"/>
      <c r="J77" s="5"/>
      <c r="K77" s="5"/>
      <c r="L77" s="5"/>
      <c r="M77" s="5"/>
      <c r="N77" s="5"/>
      <c r="O77" s="25"/>
      <c r="P77" s="5"/>
      <c r="Q77" s="5"/>
      <c r="R77" s="5"/>
      <c r="S77" s="5"/>
      <c r="T77" s="5"/>
      <c r="U77" s="45"/>
      <c r="V77" s="45"/>
      <c r="X77" s="32"/>
      <c r="Y77" s="32"/>
      <c r="Z77" s="32"/>
      <c r="AA77" s="32"/>
      <c r="AB77" s="32"/>
      <c r="AC77" s="32"/>
      <c r="AE77" s="53"/>
      <c r="AF77" s="53"/>
      <c r="AG77" s="54"/>
      <c r="AH77"/>
      <c r="AI77" s="53"/>
      <c r="AJ77" s="53"/>
      <c r="AK77" s="55"/>
    </row>
    <row r="78" spans="1:37" s="18" customFormat="1" ht="25.15" customHeight="1" x14ac:dyDescent="0.25">
      <c r="A78" s="17"/>
      <c r="B78" s="81"/>
      <c r="C78" s="7"/>
      <c r="D78" s="7"/>
      <c r="E78" s="3"/>
      <c r="F78" s="5"/>
      <c r="G78" s="5"/>
      <c r="H78" s="5"/>
      <c r="I78" s="25"/>
      <c r="J78" s="5"/>
      <c r="K78" s="5"/>
      <c r="L78" s="5"/>
      <c r="M78" s="5"/>
      <c r="N78" s="5"/>
      <c r="O78" s="25"/>
      <c r="P78" s="5"/>
      <c r="Q78" s="5"/>
      <c r="R78" s="5"/>
      <c r="S78" s="5"/>
      <c r="T78" s="5"/>
      <c r="U78" s="45"/>
      <c r="V78" s="45"/>
      <c r="X78" s="32"/>
      <c r="Y78" s="32"/>
      <c r="Z78" s="32"/>
      <c r="AA78" s="32"/>
      <c r="AB78" s="32"/>
      <c r="AC78" s="32"/>
      <c r="AE78" s="53"/>
      <c r="AF78" s="53"/>
      <c r="AG78" s="54"/>
      <c r="AH78"/>
      <c r="AI78" s="53"/>
      <c r="AJ78" s="53"/>
      <c r="AK78" s="55"/>
    </row>
    <row r="79" spans="1:37" s="18" customFormat="1" ht="25.15" customHeight="1" x14ac:dyDescent="0.25">
      <c r="A79" s="17"/>
      <c r="B79" s="81"/>
      <c r="C79" s="7"/>
      <c r="D79" s="7"/>
      <c r="E79" s="3"/>
      <c r="F79" s="5"/>
      <c r="G79" s="5"/>
      <c r="H79" s="5"/>
      <c r="I79" s="25"/>
      <c r="J79" s="5"/>
      <c r="K79" s="5"/>
      <c r="L79" s="5"/>
      <c r="M79" s="5"/>
      <c r="N79" s="5"/>
      <c r="O79" s="25"/>
      <c r="P79" s="5"/>
      <c r="Q79" s="5"/>
      <c r="R79" s="5"/>
      <c r="S79" s="5"/>
      <c r="T79" s="5"/>
      <c r="U79" s="45"/>
      <c r="V79" s="45"/>
      <c r="X79" s="32"/>
      <c r="Y79" s="32"/>
      <c r="Z79" s="32"/>
      <c r="AA79" s="32"/>
      <c r="AB79" s="32"/>
      <c r="AC79" s="32"/>
      <c r="AE79" s="53"/>
      <c r="AF79" s="53"/>
      <c r="AG79" s="54"/>
      <c r="AH79"/>
      <c r="AI79" s="53"/>
      <c r="AJ79" s="53"/>
      <c r="AK79" s="55"/>
    </row>
    <row r="80" spans="1:37" s="18" customFormat="1" ht="25.15" customHeight="1" x14ac:dyDescent="0.25">
      <c r="A80" s="17"/>
      <c r="B80" s="81"/>
      <c r="C80" s="7"/>
      <c r="D80" s="7"/>
      <c r="E80" s="3"/>
      <c r="F80" s="5"/>
      <c r="G80" s="5"/>
      <c r="H80" s="5"/>
      <c r="I80" s="25"/>
      <c r="J80" s="5"/>
      <c r="K80" s="5"/>
      <c r="L80" s="5"/>
      <c r="M80" s="5"/>
      <c r="N80" s="5"/>
      <c r="O80" s="25"/>
      <c r="P80" s="5"/>
      <c r="Q80" s="5"/>
      <c r="R80" s="5"/>
      <c r="S80" s="5"/>
      <c r="T80" s="5"/>
      <c r="U80" s="45"/>
      <c r="V80" s="45"/>
      <c r="X80" s="32"/>
      <c r="Y80" s="32"/>
      <c r="Z80" s="32"/>
      <c r="AA80" s="32"/>
      <c r="AB80" s="32"/>
      <c r="AC80" s="32"/>
      <c r="AE80" s="53"/>
      <c r="AF80" s="53"/>
      <c r="AG80" s="54"/>
      <c r="AH80"/>
      <c r="AI80" s="53"/>
      <c r="AJ80" s="53"/>
      <c r="AK80" s="55"/>
    </row>
    <row r="81" spans="1:37" s="18" customFormat="1" ht="25.15" customHeight="1" x14ac:dyDescent="0.25">
      <c r="A81" s="17"/>
      <c r="B81" s="81"/>
      <c r="C81" s="7"/>
      <c r="D81" s="7"/>
      <c r="E81" s="3"/>
      <c r="F81" s="5"/>
      <c r="G81" s="5"/>
      <c r="H81" s="5"/>
      <c r="I81" s="25"/>
      <c r="J81" s="5"/>
      <c r="K81" s="5"/>
      <c r="L81" s="5"/>
      <c r="M81" s="5"/>
      <c r="N81" s="5"/>
      <c r="O81" s="25"/>
      <c r="P81" s="5"/>
      <c r="Q81" s="5"/>
      <c r="R81" s="5"/>
      <c r="S81" s="5"/>
      <c r="T81" s="5"/>
      <c r="U81" s="45"/>
      <c r="V81" s="45"/>
      <c r="X81" s="32"/>
      <c r="Y81" s="32"/>
      <c r="Z81" s="32"/>
      <c r="AA81" s="32"/>
      <c r="AB81" s="32"/>
      <c r="AC81" s="32"/>
      <c r="AE81" s="53"/>
      <c r="AF81" s="53"/>
      <c r="AG81" s="54"/>
      <c r="AH81"/>
      <c r="AI81" s="53"/>
      <c r="AJ81" s="53"/>
      <c r="AK81" s="55"/>
    </row>
    <row r="82" spans="1:37" s="18" customFormat="1" ht="25.15" customHeight="1" x14ac:dyDescent="0.25">
      <c r="A82" s="17"/>
      <c r="B82" s="81"/>
      <c r="C82" s="7"/>
      <c r="D82" s="7"/>
      <c r="E82" s="3"/>
      <c r="F82" s="5"/>
      <c r="G82" s="5"/>
      <c r="H82" s="5"/>
      <c r="I82" s="25"/>
      <c r="J82" s="5"/>
      <c r="K82" s="5"/>
      <c r="L82" s="5"/>
      <c r="M82" s="5"/>
      <c r="N82" s="5"/>
      <c r="O82" s="25"/>
      <c r="P82" s="5"/>
      <c r="Q82" s="5"/>
      <c r="R82" s="5"/>
      <c r="S82" s="5"/>
      <c r="T82" s="5"/>
      <c r="U82" s="45"/>
      <c r="V82" s="45"/>
      <c r="X82" s="32"/>
      <c r="Y82" s="32"/>
      <c r="Z82" s="32"/>
      <c r="AA82" s="32"/>
      <c r="AB82" s="32"/>
      <c r="AC82" s="32"/>
      <c r="AE82" s="53"/>
      <c r="AF82" s="53"/>
      <c r="AG82" s="54"/>
      <c r="AH82"/>
      <c r="AI82" s="53"/>
      <c r="AJ82" s="53"/>
      <c r="AK82" s="55"/>
    </row>
    <row r="83" spans="1:37" s="18" customFormat="1" ht="25.15" customHeight="1" x14ac:dyDescent="0.25">
      <c r="A83" s="17"/>
      <c r="B83" s="81"/>
      <c r="C83" s="7"/>
      <c r="D83" s="7"/>
      <c r="E83" s="3"/>
      <c r="F83" s="5"/>
      <c r="G83" s="5"/>
      <c r="H83" s="5"/>
      <c r="I83" s="25"/>
      <c r="J83" s="5"/>
      <c r="K83" s="5"/>
      <c r="L83" s="5"/>
      <c r="M83" s="5"/>
      <c r="N83" s="5"/>
      <c r="O83" s="25"/>
      <c r="P83" s="5"/>
      <c r="Q83" s="5"/>
      <c r="R83" s="5"/>
      <c r="S83" s="5"/>
      <c r="T83" s="5"/>
      <c r="U83" s="45"/>
      <c r="V83" s="45"/>
      <c r="X83" s="32"/>
      <c r="Y83" s="32"/>
      <c r="Z83" s="32"/>
      <c r="AA83" s="32"/>
      <c r="AB83" s="32"/>
      <c r="AC83" s="32"/>
      <c r="AE83" s="53"/>
      <c r="AF83" s="53"/>
      <c r="AG83" s="54"/>
      <c r="AH83"/>
      <c r="AI83" s="53"/>
      <c r="AJ83" s="53"/>
      <c r="AK83" s="55"/>
    </row>
    <row r="84" spans="1:37" s="18" customFormat="1" ht="25.15" customHeight="1" x14ac:dyDescent="0.25">
      <c r="A84" s="17"/>
      <c r="B84" s="81"/>
      <c r="C84" s="7"/>
      <c r="D84" s="7"/>
      <c r="E84" s="3"/>
      <c r="F84" s="5"/>
      <c r="G84" s="5"/>
      <c r="H84" s="5"/>
      <c r="I84" s="25"/>
      <c r="J84" s="5"/>
      <c r="K84" s="5"/>
      <c r="L84" s="5"/>
      <c r="M84" s="5"/>
      <c r="N84" s="5"/>
      <c r="O84" s="25"/>
      <c r="P84" s="5"/>
      <c r="Q84" s="5"/>
      <c r="R84" s="5"/>
      <c r="S84" s="5"/>
      <c r="T84" s="5"/>
      <c r="U84" s="45"/>
      <c r="V84" s="45"/>
      <c r="X84" s="32"/>
      <c r="Y84" s="32"/>
      <c r="Z84" s="32"/>
      <c r="AA84" s="32"/>
      <c r="AB84" s="32"/>
      <c r="AC84" s="32"/>
      <c r="AE84" s="53"/>
      <c r="AF84" s="53"/>
      <c r="AG84" s="54"/>
      <c r="AH84"/>
      <c r="AI84" s="53"/>
      <c r="AJ84" s="53"/>
      <c r="AK84" s="55"/>
    </row>
    <row r="85" spans="1:37" s="18" customFormat="1" ht="25.15" customHeight="1" x14ac:dyDescent="0.25">
      <c r="A85" s="17"/>
      <c r="B85" s="81"/>
      <c r="C85" s="7"/>
      <c r="D85" s="7"/>
      <c r="E85" s="3"/>
      <c r="F85" s="5"/>
      <c r="G85" s="5"/>
      <c r="H85" s="5"/>
      <c r="I85" s="25"/>
      <c r="J85" s="5"/>
      <c r="K85" s="5"/>
      <c r="L85" s="5"/>
      <c r="M85" s="5"/>
      <c r="N85" s="5"/>
      <c r="O85" s="25"/>
      <c r="P85" s="5"/>
      <c r="Q85" s="5"/>
      <c r="R85" s="5"/>
      <c r="S85" s="5"/>
      <c r="T85" s="5"/>
      <c r="U85" s="45"/>
      <c r="V85" s="45"/>
      <c r="X85" s="32"/>
      <c r="Y85" s="32"/>
      <c r="Z85" s="32"/>
      <c r="AA85" s="32"/>
      <c r="AB85" s="32"/>
      <c r="AC85" s="32"/>
      <c r="AE85" s="53"/>
      <c r="AF85" s="53"/>
      <c r="AG85" s="54"/>
      <c r="AH85"/>
      <c r="AI85" s="53"/>
      <c r="AJ85" s="53"/>
      <c r="AK85" s="55"/>
    </row>
    <row r="86" spans="1:37" s="18" customFormat="1" ht="25.15" customHeight="1" x14ac:dyDescent="0.25">
      <c r="A86" s="17"/>
      <c r="B86" s="81"/>
      <c r="C86" s="7"/>
      <c r="D86" s="7"/>
      <c r="E86" s="3"/>
      <c r="F86" s="5"/>
      <c r="G86" s="5"/>
      <c r="H86" s="5"/>
      <c r="I86" s="25"/>
      <c r="J86" s="5"/>
      <c r="K86" s="5"/>
      <c r="L86" s="5"/>
      <c r="M86" s="5"/>
      <c r="N86" s="5"/>
      <c r="O86" s="25"/>
      <c r="P86" s="5"/>
      <c r="Q86" s="5"/>
      <c r="R86" s="5"/>
      <c r="S86" s="5"/>
      <c r="T86" s="5"/>
      <c r="U86" s="45"/>
      <c r="V86" s="45"/>
      <c r="X86" s="32"/>
      <c r="Y86" s="32"/>
      <c r="Z86" s="32"/>
      <c r="AA86" s="32"/>
      <c r="AB86" s="32"/>
      <c r="AC86" s="32"/>
      <c r="AE86" s="53"/>
      <c r="AF86" s="53"/>
      <c r="AG86" s="54"/>
      <c r="AH86"/>
      <c r="AI86" s="53"/>
      <c r="AJ86" s="53"/>
      <c r="AK86" s="55"/>
    </row>
    <row r="87" spans="1:37" s="18" customFormat="1" ht="25.15" customHeight="1" x14ac:dyDescent="0.25">
      <c r="A87" s="17"/>
      <c r="B87" s="81"/>
      <c r="C87" s="7"/>
      <c r="D87" s="7"/>
      <c r="E87" s="3"/>
      <c r="F87" s="5"/>
      <c r="G87" s="5"/>
      <c r="H87" s="5"/>
      <c r="I87" s="25"/>
      <c r="J87" s="5"/>
      <c r="K87" s="5"/>
      <c r="L87" s="5"/>
      <c r="M87" s="5"/>
      <c r="N87" s="5"/>
      <c r="O87" s="25"/>
      <c r="P87" s="5"/>
      <c r="Q87" s="5"/>
      <c r="R87" s="5"/>
      <c r="S87" s="5"/>
      <c r="T87" s="5"/>
      <c r="U87" s="45"/>
      <c r="V87" s="45"/>
      <c r="X87" s="32"/>
      <c r="Y87" s="32"/>
      <c r="Z87" s="32"/>
      <c r="AA87" s="32"/>
      <c r="AB87" s="32"/>
      <c r="AC87" s="32"/>
      <c r="AE87" s="53"/>
      <c r="AF87" s="53"/>
      <c r="AG87" s="54"/>
      <c r="AH87"/>
      <c r="AI87" s="53"/>
      <c r="AJ87" s="53"/>
      <c r="AK87" s="55"/>
    </row>
    <row r="88" spans="1:37" ht="25.15" customHeight="1" x14ac:dyDescent="0.25">
      <c r="A88" s="17"/>
      <c r="T88" s="5"/>
      <c r="X88" s="32"/>
      <c r="Y88" s="32"/>
      <c r="AA88" s="32"/>
      <c r="AC88" s="32"/>
    </row>
    <row r="89" spans="1:37" ht="25.15" customHeight="1" x14ac:dyDescent="0.25">
      <c r="A89" s="17"/>
      <c r="T89" s="5"/>
      <c r="X89" s="32"/>
      <c r="Y89" s="32"/>
      <c r="AA89" s="32"/>
      <c r="AC89" s="32"/>
    </row>
    <row r="90" spans="1:37" ht="25.15" customHeight="1" x14ac:dyDescent="0.25">
      <c r="A90" s="17"/>
      <c r="T90" s="5"/>
      <c r="X90" s="32"/>
      <c r="Y90" s="32"/>
      <c r="AA90" s="32"/>
      <c r="AC90" s="32"/>
    </row>
    <row r="91" spans="1:37" ht="25.15" customHeight="1" x14ac:dyDescent="0.25">
      <c r="A91" s="17"/>
      <c r="T91" s="5"/>
      <c r="X91" s="32"/>
      <c r="Y91" s="32"/>
      <c r="AA91" s="32"/>
      <c r="AC91" s="32"/>
    </row>
    <row r="92" spans="1:37" ht="25.15" customHeight="1" x14ac:dyDescent="0.25">
      <c r="A92" s="17"/>
      <c r="T92" s="5"/>
      <c r="X92" s="32"/>
      <c r="Y92" s="32"/>
      <c r="AA92" s="32"/>
      <c r="AC92" s="32"/>
    </row>
    <row r="93" spans="1:37" ht="25.15" customHeight="1" x14ac:dyDescent="0.25">
      <c r="A93" s="17"/>
      <c r="T93" s="5"/>
      <c r="X93" s="32"/>
      <c r="Y93" s="32"/>
      <c r="AA93" s="32"/>
      <c r="AC93" s="32"/>
    </row>
    <row r="94" spans="1:37" ht="25.15" customHeight="1" x14ac:dyDescent="0.25">
      <c r="A94" s="17"/>
      <c r="G94"/>
      <c r="J94"/>
      <c r="K94"/>
      <c r="L94"/>
      <c r="M94"/>
      <c r="N94"/>
      <c r="P94"/>
      <c r="Q94"/>
      <c r="R94"/>
      <c r="S94"/>
      <c r="T94"/>
      <c r="X94" s="32"/>
      <c r="Y94" s="32"/>
      <c r="AA94" s="32"/>
      <c r="AC94" s="32"/>
    </row>
    <row r="95" spans="1:37" ht="25.15" customHeight="1" x14ac:dyDescent="0.25">
      <c r="A95" s="17"/>
      <c r="G95"/>
      <c r="H95"/>
      <c r="J95"/>
      <c r="K95"/>
      <c r="L95"/>
      <c r="M95"/>
      <c r="N95"/>
      <c r="P95"/>
      <c r="Q95"/>
      <c r="R95"/>
      <c r="S95"/>
      <c r="T95"/>
      <c r="X95" s="32"/>
      <c r="Y95" s="32"/>
      <c r="AA95" s="32"/>
      <c r="AC95" s="32"/>
    </row>
    <row r="96" spans="1:37" ht="25.15" customHeight="1" x14ac:dyDescent="0.25">
      <c r="A96" s="17"/>
      <c r="G96"/>
      <c r="H96"/>
      <c r="J96"/>
      <c r="K96"/>
      <c r="L96"/>
      <c r="M96"/>
      <c r="N96"/>
      <c r="P96"/>
      <c r="Q96"/>
      <c r="R96"/>
      <c r="S96"/>
      <c r="T96"/>
      <c r="X96" s="32"/>
      <c r="Y96" s="32"/>
      <c r="AA96" s="32"/>
      <c r="AC96" s="32"/>
    </row>
    <row r="97" spans="1:29" ht="25.15" customHeight="1" x14ac:dyDescent="0.25">
      <c r="A97" s="17"/>
      <c r="G97"/>
      <c r="H97"/>
      <c r="J97"/>
      <c r="K97"/>
      <c r="L97"/>
      <c r="M97"/>
      <c r="N97"/>
      <c r="P97"/>
      <c r="Q97"/>
      <c r="R97"/>
      <c r="S97"/>
      <c r="T97"/>
      <c r="X97" s="32"/>
      <c r="Y97" s="32"/>
      <c r="AA97" s="32"/>
      <c r="AC97" s="32"/>
    </row>
    <row r="98" spans="1:29" ht="25.15" customHeight="1" x14ac:dyDescent="0.25">
      <c r="A98" s="17"/>
      <c r="G98"/>
      <c r="H98"/>
      <c r="J98"/>
      <c r="K98"/>
      <c r="L98"/>
      <c r="M98"/>
      <c r="N98"/>
      <c r="P98"/>
      <c r="Q98"/>
      <c r="R98"/>
      <c r="S98"/>
      <c r="T98"/>
      <c r="U98" s="46"/>
      <c r="V98" s="46"/>
      <c r="X98" s="32"/>
      <c r="Y98" s="32"/>
      <c r="AA98" s="32"/>
      <c r="AC98" s="32"/>
    </row>
    <row r="99" spans="1:29" ht="25.15" customHeight="1" x14ac:dyDescent="0.25">
      <c r="A99" s="17"/>
      <c r="G99"/>
      <c r="H99"/>
      <c r="J99"/>
      <c r="K99"/>
      <c r="L99"/>
      <c r="M99"/>
      <c r="N99"/>
      <c r="P99"/>
      <c r="Q99"/>
      <c r="R99"/>
      <c r="S99"/>
      <c r="T99"/>
      <c r="U99" s="46"/>
      <c r="V99" s="46"/>
      <c r="X99" s="32"/>
      <c r="Y99" s="32"/>
      <c r="AA99" s="32"/>
      <c r="AC99" s="32"/>
    </row>
    <row r="100" spans="1:29" ht="25.15" customHeight="1" x14ac:dyDescent="0.25">
      <c r="A100" s="17"/>
      <c r="G100"/>
      <c r="H100"/>
      <c r="J100"/>
      <c r="K100"/>
      <c r="L100"/>
      <c r="M100"/>
      <c r="N100"/>
      <c r="P100"/>
      <c r="Q100"/>
      <c r="R100"/>
      <c r="S100"/>
      <c r="T100"/>
      <c r="U100" s="46"/>
      <c r="V100" s="46"/>
      <c r="X100" s="32"/>
      <c r="Y100" s="32"/>
      <c r="AA100" s="32"/>
      <c r="AC100" s="32"/>
    </row>
    <row r="101" spans="1:29" ht="25.15" customHeight="1" x14ac:dyDescent="0.25">
      <c r="A101" s="17"/>
      <c r="G101"/>
      <c r="H101"/>
      <c r="J101"/>
      <c r="K101"/>
      <c r="L101"/>
      <c r="M101"/>
      <c r="N101"/>
      <c r="P101"/>
      <c r="Q101"/>
      <c r="R101"/>
      <c r="S101"/>
      <c r="T101"/>
      <c r="U101" s="46"/>
      <c r="V101" s="46"/>
      <c r="X101" s="32"/>
      <c r="Y101" s="32"/>
      <c r="AA101" s="32"/>
      <c r="AC101" s="32"/>
    </row>
    <row r="102" spans="1:29" ht="25.15" customHeight="1" x14ac:dyDescent="0.25">
      <c r="A102" s="17"/>
      <c r="G102"/>
      <c r="H102"/>
      <c r="J102"/>
      <c r="K102"/>
      <c r="L102"/>
      <c r="M102"/>
      <c r="N102"/>
      <c r="P102"/>
      <c r="Q102"/>
      <c r="R102"/>
      <c r="S102"/>
      <c r="T102"/>
      <c r="U102" s="46"/>
      <c r="V102" s="46"/>
      <c r="X102" s="32"/>
      <c r="Y102" s="32"/>
      <c r="AA102" s="32"/>
      <c r="AC102" s="32"/>
    </row>
    <row r="103" spans="1:29" ht="25.15" customHeight="1" x14ac:dyDescent="0.25">
      <c r="A103" s="17"/>
      <c r="G103"/>
      <c r="H103"/>
      <c r="J103"/>
      <c r="K103"/>
      <c r="L103"/>
      <c r="M103"/>
      <c r="N103"/>
      <c r="P103"/>
      <c r="Q103"/>
      <c r="R103"/>
      <c r="S103"/>
      <c r="T103"/>
      <c r="U103" s="46"/>
      <c r="V103" s="46"/>
      <c r="X103" s="32"/>
      <c r="Y103" s="32"/>
      <c r="AA103" s="32"/>
      <c r="AC103" s="32"/>
    </row>
    <row r="104" spans="1:29" ht="25.15" customHeight="1" x14ac:dyDescent="0.25">
      <c r="A104" s="17"/>
      <c r="G104"/>
      <c r="H104"/>
      <c r="J104"/>
      <c r="K104"/>
      <c r="L104"/>
      <c r="M104"/>
      <c r="N104"/>
      <c r="P104"/>
      <c r="Q104"/>
      <c r="R104"/>
      <c r="S104"/>
      <c r="T104"/>
      <c r="U104" s="46"/>
      <c r="V104" s="46"/>
      <c r="X104" s="32"/>
      <c r="Y104" s="32"/>
      <c r="AA104" s="32"/>
      <c r="AC104" s="32"/>
    </row>
    <row r="105" spans="1:29" ht="25.15" customHeight="1" x14ac:dyDescent="0.25">
      <c r="A105" s="17"/>
      <c r="G105"/>
      <c r="H105"/>
      <c r="J105"/>
      <c r="K105"/>
      <c r="L105"/>
      <c r="M105"/>
      <c r="N105"/>
      <c r="P105"/>
      <c r="Q105"/>
      <c r="R105"/>
      <c r="S105"/>
      <c r="T105"/>
      <c r="U105" s="46"/>
      <c r="V105" s="46"/>
      <c r="X105" s="32"/>
      <c r="Y105" s="32"/>
      <c r="AA105" s="32"/>
      <c r="AC105" s="32"/>
    </row>
    <row r="106" spans="1:29" ht="25.15" customHeight="1" x14ac:dyDescent="0.25">
      <c r="A106" s="17"/>
      <c r="G106"/>
      <c r="H106"/>
      <c r="J106"/>
      <c r="K106"/>
      <c r="L106"/>
      <c r="M106"/>
      <c r="N106"/>
      <c r="P106"/>
      <c r="Q106"/>
      <c r="R106"/>
      <c r="S106"/>
      <c r="T106"/>
      <c r="U106" s="46"/>
      <c r="V106" s="46"/>
      <c r="X106" s="32"/>
      <c r="Y106" s="32"/>
      <c r="AA106" s="32"/>
      <c r="AC106" s="32"/>
    </row>
    <row r="107" spans="1:29" ht="25.15" customHeight="1" x14ac:dyDescent="0.25">
      <c r="A107" s="17"/>
      <c r="G107"/>
      <c r="H107"/>
      <c r="J107"/>
      <c r="K107"/>
      <c r="L107"/>
      <c r="M107"/>
      <c r="N107"/>
      <c r="P107"/>
      <c r="Q107"/>
      <c r="R107"/>
      <c r="S107"/>
      <c r="T107"/>
      <c r="U107" s="46"/>
      <c r="V107" s="46"/>
      <c r="X107" s="32"/>
      <c r="Y107" s="32"/>
      <c r="AA107" s="32"/>
      <c r="AC107" s="32"/>
    </row>
    <row r="108" spans="1:29" ht="25.15" customHeight="1" x14ac:dyDescent="0.25">
      <c r="A108" s="17"/>
      <c r="G108"/>
      <c r="H108"/>
      <c r="J108"/>
      <c r="K108"/>
      <c r="L108"/>
      <c r="M108"/>
      <c r="N108"/>
      <c r="P108"/>
      <c r="Q108"/>
      <c r="R108"/>
      <c r="S108"/>
      <c r="T108"/>
      <c r="U108" s="46"/>
      <c r="V108" s="46"/>
      <c r="X108" s="32"/>
      <c r="Y108" s="32"/>
      <c r="AA108" s="32"/>
      <c r="AC108" s="32"/>
    </row>
    <row r="109" spans="1:29" ht="25.15" customHeight="1" x14ac:dyDescent="0.25">
      <c r="A109" s="17"/>
      <c r="G109"/>
      <c r="H109"/>
      <c r="J109"/>
      <c r="K109"/>
      <c r="L109"/>
      <c r="M109"/>
      <c r="N109"/>
      <c r="P109"/>
      <c r="Q109"/>
      <c r="R109"/>
      <c r="S109"/>
      <c r="T109"/>
      <c r="U109" s="46"/>
      <c r="V109" s="46"/>
      <c r="X109" s="32"/>
      <c r="Y109" s="32"/>
      <c r="AA109" s="32"/>
      <c r="AC109" s="32"/>
    </row>
    <row r="110" spans="1:29" ht="25.15" customHeight="1" x14ac:dyDescent="0.25">
      <c r="A110" s="17"/>
      <c r="G110"/>
      <c r="H110"/>
      <c r="J110"/>
      <c r="K110"/>
      <c r="L110"/>
      <c r="M110"/>
      <c r="N110"/>
      <c r="P110"/>
      <c r="Q110"/>
      <c r="R110"/>
      <c r="S110"/>
      <c r="T110"/>
      <c r="U110" s="46"/>
      <c r="V110" s="46"/>
      <c r="X110" s="32"/>
      <c r="Y110" s="32"/>
      <c r="AA110" s="32"/>
      <c r="AC110" s="32"/>
    </row>
    <row r="111" spans="1:29" ht="25.15" customHeight="1" x14ac:dyDescent="0.25">
      <c r="A111" s="17"/>
      <c r="G111"/>
      <c r="H111"/>
      <c r="J111"/>
      <c r="K111"/>
      <c r="L111"/>
      <c r="M111"/>
      <c r="N111"/>
      <c r="P111"/>
      <c r="Q111"/>
      <c r="R111"/>
      <c r="S111"/>
      <c r="T111"/>
      <c r="U111" s="46"/>
      <c r="V111" s="46"/>
      <c r="X111" s="32"/>
      <c r="Y111" s="32"/>
      <c r="AA111" s="32"/>
      <c r="AC111" s="32"/>
    </row>
    <row r="112" spans="1:29" ht="25.15" customHeight="1" x14ac:dyDescent="0.25">
      <c r="A112" s="17"/>
      <c r="G112"/>
      <c r="H112"/>
      <c r="J112"/>
      <c r="K112"/>
      <c r="L112"/>
      <c r="M112"/>
      <c r="N112"/>
      <c r="P112"/>
      <c r="Q112"/>
      <c r="R112"/>
      <c r="S112"/>
      <c r="T112"/>
      <c r="U112" s="46"/>
      <c r="V112" s="46"/>
      <c r="X112" s="32"/>
      <c r="Y112" s="32"/>
      <c r="AA112" s="32"/>
      <c r="AC112" s="32"/>
    </row>
    <row r="113" spans="1:29" ht="25.15" customHeight="1" x14ac:dyDescent="0.25">
      <c r="A113" s="17"/>
      <c r="G113"/>
      <c r="H113"/>
      <c r="J113"/>
      <c r="K113"/>
      <c r="L113"/>
      <c r="M113"/>
      <c r="N113"/>
      <c r="P113"/>
      <c r="Q113"/>
      <c r="R113"/>
      <c r="S113"/>
      <c r="T113"/>
      <c r="U113" s="46"/>
      <c r="V113" s="46"/>
      <c r="X113" s="32"/>
      <c r="Y113" s="32"/>
      <c r="AA113" s="32"/>
      <c r="AC113" s="32"/>
    </row>
    <row r="114" spans="1:29" ht="25.15" customHeight="1" x14ac:dyDescent="0.25">
      <c r="A114" s="17"/>
      <c r="G114"/>
      <c r="H114"/>
      <c r="J114"/>
      <c r="K114"/>
      <c r="L114"/>
      <c r="M114"/>
      <c r="N114"/>
      <c r="P114"/>
      <c r="Q114"/>
      <c r="R114"/>
      <c r="S114"/>
      <c r="T114"/>
      <c r="U114" s="46"/>
      <c r="V114" s="46"/>
      <c r="X114" s="32"/>
      <c r="Y114" s="32"/>
      <c r="AA114" s="32"/>
      <c r="AC114" s="32"/>
    </row>
    <row r="115" spans="1:29" ht="25.15" customHeight="1" x14ac:dyDescent="0.25">
      <c r="A115" s="17"/>
      <c r="G115"/>
      <c r="H115"/>
      <c r="J115"/>
      <c r="K115"/>
      <c r="L115"/>
      <c r="M115"/>
      <c r="N115"/>
      <c r="P115"/>
      <c r="Q115"/>
      <c r="R115"/>
      <c r="S115"/>
      <c r="T115"/>
      <c r="U115" s="46"/>
      <c r="V115" s="46"/>
      <c r="X115" s="32"/>
      <c r="Y115" s="32"/>
      <c r="AA115" s="32"/>
      <c r="AC115" s="32"/>
    </row>
    <row r="116" spans="1:29" ht="25.15" customHeight="1" x14ac:dyDescent="0.25">
      <c r="A116" s="17"/>
      <c r="G116"/>
      <c r="H116"/>
      <c r="J116"/>
      <c r="K116"/>
      <c r="L116"/>
      <c r="M116"/>
      <c r="N116"/>
      <c r="P116"/>
      <c r="Q116"/>
      <c r="R116"/>
      <c r="S116"/>
      <c r="T116"/>
      <c r="U116" s="46"/>
      <c r="V116" s="46"/>
      <c r="X116" s="32"/>
      <c r="Y116" s="32"/>
      <c r="AA116" s="32"/>
      <c r="AC116" s="32"/>
    </row>
    <row r="117" spans="1:29" ht="25.15" customHeight="1" x14ac:dyDescent="0.25">
      <c r="A117" s="17"/>
      <c r="G117"/>
      <c r="H117"/>
      <c r="J117"/>
      <c r="K117"/>
      <c r="L117"/>
      <c r="M117"/>
      <c r="N117"/>
      <c r="P117"/>
      <c r="Q117"/>
      <c r="R117"/>
      <c r="S117"/>
      <c r="T117"/>
      <c r="U117" s="46"/>
      <c r="V117" s="46"/>
      <c r="X117" s="32"/>
      <c r="Y117" s="32"/>
      <c r="AA117" s="32"/>
      <c r="AC117" s="32"/>
    </row>
    <row r="118" spans="1:29" ht="25.15" customHeight="1" x14ac:dyDescent="0.25">
      <c r="A118" s="17"/>
      <c r="G118"/>
      <c r="H118"/>
      <c r="J118"/>
      <c r="K118"/>
      <c r="L118"/>
      <c r="M118"/>
      <c r="N118"/>
      <c r="P118"/>
      <c r="Q118"/>
      <c r="R118"/>
      <c r="S118"/>
      <c r="T118"/>
      <c r="U118" s="46"/>
      <c r="V118" s="46"/>
      <c r="X118" s="32"/>
      <c r="Y118" s="32"/>
      <c r="AA118" s="32"/>
      <c r="AC118" s="32"/>
    </row>
    <row r="119" spans="1:29" ht="25.15" customHeight="1" x14ac:dyDescent="0.25">
      <c r="A119" s="17"/>
      <c r="G119"/>
      <c r="H119"/>
      <c r="J119"/>
      <c r="K119"/>
      <c r="L119"/>
      <c r="M119"/>
      <c r="N119"/>
      <c r="P119"/>
      <c r="Q119"/>
      <c r="R119"/>
      <c r="S119"/>
      <c r="T119"/>
      <c r="U119" s="46"/>
      <c r="V119" s="46"/>
      <c r="X119" s="32"/>
      <c r="Y119" s="32"/>
      <c r="AA119" s="32"/>
      <c r="AC119" s="32"/>
    </row>
    <row r="120" spans="1:29" ht="25.15" customHeight="1" x14ac:dyDescent="0.25">
      <c r="A120" s="17"/>
      <c r="G120"/>
      <c r="H120"/>
      <c r="J120"/>
      <c r="K120"/>
      <c r="L120"/>
      <c r="M120"/>
      <c r="N120"/>
      <c r="P120"/>
      <c r="Q120"/>
      <c r="R120"/>
      <c r="S120"/>
      <c r="T120"/>
      <c r="U120" s="46"/>
      <c r="V120" s="46"/>
      <c r="X120" s="32"/>
      <c r="Y120" s="32"/>
      <c r="AA120" s="32"/>
      <c r="AC120" s="32"/>
    </row>
    <row r="121" spans="1:29" ht="25.15" customHeight="1" x14ac:dyDescent="0.25">
      <c r="A121" s="17"/>
      <c r="G121"/>
      <c r="H121"/>
      <c r="J121"/>
      <c r="K121"/>
      <c r="L121"/>
      <c r="M121"/>
      <c r="N121"/>
      <c r="P121"/>
      <c r="Q121"/>
      <c r="R121"/>
      <c r="S121"/>
      <c r="T121"/>
      <c r="U121" s="46"/>
      <c r="V121" s="46"/>
      <c r="X121" s="32"/>
      <c r="Y121" s="32"/>
      <c r="AA121" s="32"/>
      <c r="AC121" s="32"/>
    </row>
    <row r="122" spans="1:29" ht="25.15" customHeight="1" x14ac:dyDescent="0.25">
      <c r="A122" s="17"/>
      <c r="G122"/>
      <c r="H122"/>
      <c r="J122"/>
      <c r="K122"/>
      <c r="L122"/>
      <c r="M122"/>
      <c r="N122"/>
      <c r="P122"/>
      <c r="Q122"/>
      <c r="R122"/>
      <c r="S122"/>
      <c r="T122"/>
      <c r="U122" s="46"/>
      <c r="V122" s="46"/>
      <c r="X122" s="32"/>
      <c r="Y122" s="32"/>
      <c r="AA122" s="32"/>
      <c r="AC122" s="32"/>
    </row>
    <row r="123" spans="1:29" ht="25.15" customHeight="1" x14ac:dyDescent="0.25">
      <c r="A123" s="17"/>
      <c r="G123"/>
      <c r="H123"/>
      <c r="J123"/>
      <c r="K123"/>
      <c r="L123"/>
      <c r="M123"/>
      <c r="N123"/>
      <c r="P123"/>
      <c r="Q123"/>
      <c r="R123"/>
      <c r="S123"/>
      <c r="T123"/>
      <c r="U123" s="46"/>
      <c r="V123" s="46"/>
      <c r="X123" s="32"/>
      <c r="Y123" s="32"/>
      <c r="AA123" s="32"/>
      <c r="AC123" s="32"/>
    </row>
    <row r="124" spans="1:29" ht="25.15" customHeight="1" x14ac:dyDescent="0.25">
      <c r="A124" s="17"/>
      <c r="G124"/>
      <c r="H124"/>
      <c r="J124"/>
      <c r="K124"/>
      <c r="L124"/>
      <c r="M124"/>
      <c r="N124"/>
      <c r="P124"/>
      <c r="Q124"/>
      <c r="R124"/>
      <c r="S124"/>
      <c r="T124"/>
      <c r="U124" s="46"/>
      <c r="V124" s="46"/>
      <c r="X124" s="32"/>
      <c r="Y124" s="32"/>
      <c r="AA124" s="32"/>
      <c r="AC124" s="32"/>
    </row>
    <row r="125" spans="1:29" ht="25.15" customHeight="1" x14ac:dyDescent="0.25">
      <c r="A125" s="17"/>
      <c r="G125"/>
      <c r="H125"/>
      <c r="J125"/>
      <c r="K125"/>
      <c r="L125"/>
      <c r="M125"/>
      <c r="N125"/>
      <c r="P125"/>
      <c r="Q125"/>
      <c r="R125"/>
      <c r="S125"/>
      <c r="T125"/>
      <c r="U125" s="46"/>
      <c r="V125" s="46"/>
      <c r="X125" s="32"/>
      <c r="Y125" s="32"/>
      <c r="AA125" s="32"/>
      <c r="AC125" s="32"/>
    </row>
    <row r="126" spans="1:29" ht="25.15" customHeight="1" x14ac:dyDescent="0.25">
      <c r="A126" s="17"/>
      <c r="G126"/>
      <c r="H126"/>
      <c r="J126"/>
      <c r="K126"/>
      <c r="L126"/>
      <c r="M126"/>
      <c r="N126"/>
      <c r="P126"/>
      <c r="Q126"/>
      <c r="R126"/>
      <c r="S126"/>
      <c r="T126"/>
      <c r="U126" s="46"/>
      <c r="V126" s="46"/>
      <c r="X126" s="32"/>
      <c r="Y126" s="32"/>
      <c r="AA126" s="32"/>
      <c r="AC126" s="32"/>
    </row>
    <row r="127" spans="1:29" ht="25.15" customHeight="1" x14ac:dyDescent="0.25">
      <c r="A127" s="17"/>
      <c r="G127"/>
      <c r="H127"/>
      <c r="J127"/>
      <c r="K127"/>
      <c r="L127"/>
      <c r="M127"/>
      <c r="N127"/>
      <c r="P127"/>
      <c r="Q127"/>
      <c r="R127"/>
      <c r="S127"/>
      <c r="T127"/>
      <c r="U127" s="46"/>
      <c r="V127" s="46"/>
      <c r="X127" s="32"/>
      <c r="Y127" s="32"/>
      <c r="AA127" s="32"/>
      <c r="AC127" s="32"/>
    </row>
    <row r="128" spans="1:29" ht="25.15" customHeight="1" x14ac:dyDescent="0.25">
      <c r="A128" s="17"/>
      <c r="G128"/>
      <c r="H128"/>
      <c r="J128"/>
      <c r="K128"/>
      <c r="L128"/>
      <c r="M128"/>
      <c r="N128"/>
      <c r="P128"/>
      <c r="Q128"/>
      <c r="R128"/>
      <c r="S128"/>
      <c r="T128"/>
      <c r="U128" s="46"/>
      <c r="V128" s="46"/>
      <c r="X128" s="32"/>
      <c r="Y128" s="32"/>
      <c r="AA128" s="32"/>
      <c r="AC128" s="32"/>
    </row>
    <row r="129" spans="1:29" ht="25.15" customHeight="1" x14ac:dyDescent="0.25">
      <c r="A129" s="17"/>
      <c r="G129"/>
      <c r="H129"/>
      <c r="J129"/>
      <c r="K129"/>
      <c r="L129"/>
      <c r="M129"/>
      <c r="N129"/>
      <c r="P129"/>
      <c r="Q129"/>
      <c r="R129"/>
      <c r="S129"/>
      <c r="T129"/>
      <c r="U129" s="46"/>
      <c r="V129" s="46"/>
      <c r="X129" s="32"/>
      <c r="Y129" s="32"/>
      <c r="AA129" s="32"/>
      <c r="AC129" s="32"/>
    </row>
    <row r="130" spans="1:29" ht="25.15" customHeight="1" x14ac:dyDescent="0.25">
      <c r="A130" s="17"/>
      <c r="G130"/>
      <c r="H130"/>
      <c r="J130"/>
      <c r="K130"/>
      <c r="L130"/>
      <c r="M130"/>
      <c r="N130"/>
      <c r="P130"/>
      <c r="Q130"/>
      <c r="R130"/>
      <c r="S130"/>
      <c r="T130"/>
      <c r="U130" s="46"/>
      <c r="V130" s="46"/>
      <c r="X130" s="32"/>
      <c r="Y130" s="32"/>
      <c r="AA130" s="32"/>
      <c r="AC130" s="32"/>
    </row>
    <row r="131" spans="1:29" ht="25.15" customHeight="1" x14ac:dyDescent="0.25">
      <c r="A131" s="17"/>
      <c r="G131"/>
      <c r="H131"/>
      <c r="J131"/>
      <c r="K131"/>
      <c r="L131"/>
      <c r="M131"/>
      <c r="N131"/>
      <c r="P131"/>
      <c r="Q131"/>
      <c r="R131"/>
      <c r="S131"/>
      <c r="T131"/>
      <c r="U131" s="46"/>
      <c r="V131" s="46"/>
      <c r="X131" s="32"/>
      <c r="Y131" s="32"/>
      <c r="AA131" s="32"/>
      <c r="AC131" s="32"/>
    </row>
    <row r="132" spans="1:29" ht="25.15" customHeight="1" x14ac:dyDescent="0.25">
      <c r="A132" s="17"/>
      <c r="G132"/>
      <c r="H132"/>
      <c r="J132"/>
      <c r="K132"/>
      <c r="L132"/>
      <c r="M132"/>
      <c r="N132"/>
      <c r="P132"/>
      <c r="Q132"/>
      <c r="R132"/>
      <c r="S132"/>
      <c r="T132"/>
      <c r="U132" s="46"/>
      <c r="V132" s="46"/>
      <c r="X132" s="32"/>
      <c r="Y132" s="32"/>
      <c r="AA132" s="32"/>
      <c r="AC132" s="32"/>
    </row>
    <row r="133" spans="1:29" ht="25.15" customHeight="1" x14ac:dyDescent="0.25">
      <c r="A133" s="17"/>
      <c r="G133"/>
      <c r="H133"/>
      <c r="J133"/>
      <c r="K133"/>
      <c r="L133"/>
      <c r="M133"/>
      <c r="N133"/>
      <c r="P133"/>
      <c r="Q133"/>
      <c r="R133"/>
      <c r="S133"/>
      <c r="T133"/>
      <c r="U133" s="46"/>
      <c r="V133" s="46"/>
      <c r="X133" s="32"/>
      <c r="Y133" s="32"/>
      <c r="AA133" s="32"/>
      <c r="AC133" s="32"/>
    </row>
    <row r="134" spans="1:29" ht="25.15" customHeight="1" x14ac:dyDescent="0.25">
      <c r="A134" s="17"/>
      <c r="G134"/>
      <c r="H134"/>
      <c r="J134"/>
      <c r="K134"/>
      <c r="L134"/>
      <c r="M134"/>
      <c r="N134"/>
      <c r="P134"/>
      <c r="Q134"/>
      <c r="R134"/>
      <c r="S134"/>
      <c r="T134"/>
      <c r="U134" s="46"/>
      <c r="V134" s="46"/>
      <c r="X134" s="32"/>
      <c r="Y134" s="32"/>
      <c r="AA134" s="32"/>
      <c r="AC134" s="32"/>
    </row>
    <row r="135" spans="1:29" ht="25.15" customHeight="1" x14ac:dyDescent="0.25">
      <c r="A135" s="17"/>
      <c r="G135"/>
      <c r="H135"/>
      <c r="J135"/>
      <c r="K135"/>
      <c r="L135"/>
      <c r="M135"/>
      <c r="N135"/>
      <c r="P135"/>
      <c r="Q135"/>
      <c r="R135"/>
      <c r="S135"/>
      <c r="T135"/>
      <c r="U135" s="46"/>
      <c r="V135" s="46"/>
      <c r="X135" s="32"/>
      <c r="Y135" s="32"/>
      <c r="AA135" s="32"/>
      <c r="AC135" s="32"/>
    </row>
    <row r="136" spans="1:29" ht="25.15" customHeight="1" x14ac:dyDescent="0.25">
      <c r="A136" s="17"/>
      <c r="G136"/>
      <c r="H136"/>
      <c r="J136"/>
      <c r="K136"/>
      <c r="L136"/>
      <c r="M136"/>
      <c r="N136"/>
      <c r="P136"/>
      <c r="Q136"/>
      <c r="R136"/>
      <c r="S136"/>
      <c r="T136"/>
      <c r="U136" s="46"/>
      <c r="V136" s="46"/>
      <c r="X136" s="32"/>
      <c r="Y136" s="32"/>
      <c r="AA136" s="32"/>
      <c r="AC136" s="32"/>
    </row>
    <row r="137" spans="1:29" ht="25.15" customHeight="1" x14ac:dyDescent="0.25">
      <c r="A137" s="17"/>
      <c r="G137"/>
      <c r="H137"/>
      <c r="J137"/>
      <c r="K137"/>
      <c r="L137"/>
      <c r="M137"/>
      <c r="N137"/>
      <c r="P137"/>
      <c r="Q137"/>
      <c r="R137"/>
      <c r="S137"/>
      <c r="T137"/>
      <c r="U137" s="46"/>
      <c r="V137" s="46"/>
      <c r="X137" s="32"/>
      <c r="Y137" s="32"/>
      <c r="AA137" s="32"/>
      <c r="AC137" s="32"/>
    </row>
    <row r="138" spans="1:29" ht="25.15" customHeight="1" x14ac:dyDescent="0.25">
      <c r="A138" s="17"/>
      <c r="G138"/>
      <c r="H138"/>
      <c r="J138"/>
      <c r="K138"/>
      <c r="L138"/>
      <c r="M138"/>
      <c r="N138"/>
      <c r="P138"/>
      <c r="Q138"/>
      <c r="R138"/>
      <c r="S138"/>
      <c r="T138"/>
      <c r="U138" s="46"/>
      <c r="V138" s="46"/>
      <c r="X138" s="32"/>
      <c r="Y138" s="32"/>
      <c r="AA138" s="32"/>
      <c r="AC138" s="32"/>
    </row>
    <row r="139" spans="1:29" ht="25.15" customHeight="1" x14ac:dyDescent="0.25">
      <c r="A139" s="17"/>
      <c r="G139"/>
      <c r="H139"/>
      <c r="J139"/>
      <c r="K139"/>
      <c r="L139"/>
      <c r="M139"/>
      <c r="N139"/>
      <c r="P139"/>
      <c r="Q139"/>
      <c r="R139"/>
      <c r="S139"/>
      <c r="T139"/>
      <c r="U139" s="46"/>
      <c r="V139" s="46"/>
      <c r="X139" s="32"/>
      <c r="Y139" s="32"/>
      <c r="AA139" s="32"/>
      <c r="AC139" s="32"/>
    </row>
    <row r="140" spans="1:29" ht="25.15" customHeight="1" x14ac:dyDescent="0.25">
      <c r="A140" s="17"/>
      <c r="G140"/>
      <c r="H140"/>
      <c r="J140"/>
      <c r="K140"/>
      <c r="L140"/>
      <c r="M140"/>
      <c r="N140"/>
      <c r="P140"/>
      <c r="Q140"/>
      <c r="R140"/>
      <c r="S140"/>
      <c r="T140"/>
      <c r="U140" s="46"/>
      <c r="V140" s="46"/>
      <c r="X140" s="32"/>
      <c r="Y140" s="32"/>
      <c r="AA140" s="32"/>
      <c r="AC140" s="32"/>
    </row>
    <row r="141" spans="1:29" ht="25.15" customHeight="1" x14ac:dyDescent="0.25">
      <c r="A141" s="17"/>
      <c r="G141"/>
      <c r="H141"/>
      <c r="J141"/>
      <c r="K141"/>
      <c r="L141"/>
      <c r="M141"/>
      <c r="N141"/>
      <c r="P141"/>
      <c r="Q141"/>
      <c r="R141"/>
      <c r="S141"/>
      <c r="T141"/>
      <c r="U141" s="46"/>
      <c r="V141" s="46"/>
      <c r="X141" s="32"/>
      <c r="Y141" s="32"/>
      <c r="AA141" s="32"/>
      <c r="AC141" s="32"/>
    </row>
    <row r="142" spans="1:29" ht="25.15" customHeight="1" x14ac:dyDescent="0.25">
      <c r="A142" s="17"/>
      <c r="G142"/>
      <c r="H142"/>
      <c r="J142"/>
      <c r="K142"/>
      <c r="L142"/>
      <c r="M142"/>
      <c r="N142"/>
      <c r="P142"/>
      <c r="Q142"/>
      <c r="R142"/>
      <c r="S142"/>
      <c r="T142"/>
      <c r="U142" s="46"/>
      <c r="V142" s="46"/>
      <c r="X142" s="32"/>
      <c r="Y142" s="32"/>
      <c r="AA142" s="32"/>
      <c r="AC142" s="32"/>
    </row>
    <row r="143" spans="1:29" ht="25.15" customHeight="1" x14ac:dyDescent="0.25">
      <c r="A143" s="17"/>
      <c r="G143"/>
      <c r="H143"/>
      <c r="J143"/>
      <c r="K143"/>
      <c r="L143"/>
      <c r="M143"/>
      <c r="N143"/>
      <c r="P143"/>
      <c r="Q143"/>
      <c r="R143"/>
      <c r="S143"/>
      <c r="T143"/>
      <c r="U143" s="46"/>
      <c r="V143" s="46"/>
      <c r="X143" s="32"/>
      <c r="Y143" s="32"/>
      <c r="AA143" s="32"/>
      <c r="AC143" s="32"/>
    </row>
    <row r="144" spans="1:29" ht="25.15" customHeight="1" x14ac:dyDescent="0.25">
      <c r="A144" s="17"/>
      <c r="G144"/>
      <c r="H144"/>
      <c r="J144"/>
      <c r="K144"/>
      <c r="L144"/>
      <c r="M144"/>
      <c r="N144"/>
      <c r="P144"/>
      <c r="Q144"/>
      <c r="R144"/>
      <c r="S144"/>
      <c r="T144"/>
      <c r="U144" s="46"/>
      <c r="V144" s="46"/>
      <c r="X144" s="32"/>
      <c r="Y144" s="32"/>
      <c r="AA144" s="32"/>
      <c r="AC144" s="32"/>
    </row>
    <row r="145" spans="1:29" ht="25.15" customHeight="1" x14ac:dyDescent="0.25">
      <c r="A145" s="17"/>
      <c r="G145"/>
      <c r="H145"/>
      <c r="J145"/>
      <c r="K145"/>
      <c r="L145"/>
      <c r="M145"/>
      <c r="N145"/>
      <c r="P145"/>
      <c r="Q145"/>
      <c r="R145"/>
      <c r="S145"/>
      <c r="T145"/>
      <c r="U145" s="46"/>
      <c r="V145" s="46"/>
      <c r="X145" s="32"/>
      <c r="Y145" s="32"/>
      <c r="AA145" s="32"/>
      <c r="AC145" s="32"/>
    </row>
    <row r="146" spans="1:29" ht="25.15" customHeight="1" x14ac:dyDescent="0.25">
      <c r="A146" s="17"/>
      <c r="G146"/>
      <c r="H146"/>
      <c r="J146"/>
      <c r="K146"/>
      <c r="L146"/>
      <c r="M146"/>
      <c r="N146"/>
      <c r="P146"/>
      <c r="Q146"/>
      <c r="R146"/>
      <c r="S146"/>
      <c r="T146"/>
      <c r="U146" s="46"/>
      <c r="V146" s="46"/>
    </row>
    <row r="147" spans="1:29" ht="25.15" customHeight="1" x14ac:dyDescent="0.25">
      <c r="A147" s="17"/>
      <c r="G147"/>
      <c r="H147"/>
      <c r="J147"/>
      <c r="K147"/>
      <c r="L147"/>
      <c r="M147"/>
      <c r="N147"/>
      <c r="P147"/>
      <c r="Q147"/>
      <c r="R147"/>
      <c r="S147"/>
      <c r="T147"/>
      <c r="U147" s="46"/>
      <c r="V147" s="46"/>
    </row>
    <row r="148" spans="1:29" ht="25.15" customHeight="1" x14ac:dyDescent="0.25">
      <c r="A148" s="17"/>
      <c r="G148"/>
      <c r="H148"/>
      <c r="J148"/>
      <c r="K148"/>
      <c r="L148"/>
      <c r="M148"/>
      <c r="N148"/>
      <c r="P148"/>
      <c r="Q148"/>
      <c r="R148"/>
      <c r="S148"/>
      <c r="T148"/>
      <c r="U148" s="46"/>
      <c r="V148" s="46"/>
    </row>
    <row r="149" spans="1:29" ht="25.15" customHeight="1" x14ac:dyDescent="0.25">
      <c r="A149" s="17"/>
      <c r="G149"/>
      <c r="H149"/>
      <c r="J149"/>
      <c r="K149"/>
      <c r="L149"/>
      <c r="M149"/>
      <c r="N149"/>
      <c r="P149"/>
      <c r="Q149"/>
      <c r="R149"/>
      <c r="S149"/>
      <c r="T149"/>
      <c r="U149" s="46"/>
      <c r="V149" s="46"/>
    </row>
    <row r="150" spans="1:29" ht="25.15" customHeight="1" x14ac:dyDescent="0.25">
      <c r="A150" s="17"/>
      <c r="G150"/>
      <c r="H150"/>
      <c r="J150"/>
      <c r="K150"/>
      <c r="L150"/>
      <c r="M150"/>
      <c r="N150"/>
      <c r="P150"/>
      <c r="Q150"/>
      <c r="R150"/>
      <c r="S150"/>
      <c r="T150"/>
      <c r="U150" s="46"/>
      <c r="V150" s="46"/>
    </row>
    <row r="151" spans="1:29" ht="25.15" customHeight="1" x14ac:dyDescent="0.25">
      <c r="A151" s="17"/>
      <c r="G151"/>
      <c r="H151"/>
      <c r="J151"/>
      <c r="K151"/>
      <c r="L151"/>
      <c r="M151"/>
      <c r="N151"/>
      <c r="P151"/>
      <c r="Q151"/>
      <c r="R151"/>
      <c r="S151"/>
      <c r="T151"/>
      <c r="U151" s="46"/>
      <c r="V151" s="46"/>
    </row>
    <row r="152" spans="1:29" ht="25.15" customHeight="1" x14ac:dyDescent="0.25">
      <c r="A152" s="17"/>
      <c r="G152"/>
      <c r="H152"/>
      <c r="J152"/>
      <c r="K152"/>
      <c r="L152"/>
      <c r="M152"/>
      <c r="N152"/>
      <c r="P152"/>
      <c r="Q152"/>
      <c r="R152"/>
      <c r="S152"/>
      <c r="T152"/>
      <c r="U152" s="46"/>
      <c r="V152" s="46"/>
    </row>
    <row r="153" spans="1:29" ht="25.15" customHeight="1" x14ac:dyDescent="0.25">
      <c r="A153" s="17"/>
      <c r="G153"/>
      <c r="H153"/>
      <c r="J153"/>
      <c r="K153"/>
      <c r="L153"/>
      <c r="M153"/>
      <c r="N153"/>
      <c r="P153"/>
      <c r="Q153"/>
      <c r="R153"/>
      <c r="S153"/>
      <c r="T153"/>
      <c r="U153" s="46"/>
      <c r="V153" s="46"/>
    </row>
    <row r="154" spans="1:29" ht="25.15" customHeight="1" x14ac:dyDescent="0.25">
      <c r="A154" s="17"/>
      <c r="G154"/>
      <c r="H154"/>
      <c r="J154"/>
      <c r="K154"/>
      <c r="L154"/>
      <c r="M154"/>
      <c r="N154"/>
      <c r="P154"/>
      <c r="Q154"/>
      <c r="R154"/>
      <c r="S154"/>
      <c r="T154"/>
      <c r="U154" s="46"/>
      <c r="V154" s="46"/>
    </row>
    <row r="155" spans="1:29" ht="25.15" customHeight="1" x14ac:dyDescent="0.25">
      <c r="A155" s="17"/>
      <c r="G155"/>
      <c r="H155"/>
      <c r="J155"/>
      <c r="K155"/>
      <c r="L155"/>
      <c r="M155"/>
      <c r="N155"/>
      <c r="P155"/>
      <c r="Q155"/>
      <c r="R155"/>
      <c r="S155"/>
      <c r="T155"/>
      <c r="U155" s="46"/>
      <c r="V155" s="46"/>
    </row>
    <row r="156" spans="1:29" ht="25.15" customHeight="1" x14ac:dyDescent="0.25">
      <c r="A156" s="17"/>
      <c r="G156"/>
      <c r="H156"/>
      <c r="J156"/>
      <c r="K156"/>
      <c r="L156"/>
      <c r="M156"/>
      <c r="N156"/>
      <c r="P156"/>
      <c r="Q156"/>
      <c r="R156"/>
      <c r="S156"/>
      <c r="T156"/>
      <c r="U156" s="46"/>
      <c r="V156" s="46"/>
    </row>
    <row r="157" spans="1:29" ht="25.15" customHeight="1" x14ac:dyDescent="0.25">
      <c r="A157" s="17"/>
      <c r="G157"/>
      <c r="H157"/>
      <c r="J157"/>
      <c r="K157"/>
      <c r="L157"/>
      <c r="M157"/>
      <c r="N157"/>
      <c r="P157"/>
      <c r="Q157"/>
      <c r="R157"/>
      <c r="S157"/>
      <c r="T157"/>
      <c r="U157" s="46"/>
      <c r="V157" s="46"/>
    </row>
    <row r="158" spans="1:29" ht="25.15" customHeight="1" x14ac:dyDescent="0.25">
      <c r="A158" s="17"/>
      <c r="G158"/>
      <c r="H158"/>
      <c r="J158"/>
      <c r="K158"/>
      <c r="L158"/>
      <c r="M158"/>
      <c r="N158"/>
      <c r="P158"/>
      <c r="Q158"/>
      <c r="R158"/>
      <c r="S158"/>
      <c r="T158"/>
      <c r="U158" s="46"/>
      <c r="V158" s="46"/>
    </row>
    <row r="159" spans="1:29" ht="25.15" customHeight="1" x14ac:dyDescent="0.25">
      <c r="A159" s="17"/>
      <c r="G159"/>
      <c r="H159"/>
      <c r="J159"/>
      <c r="K159"/>
      <c r="L159"/>
      <c r="M159"/>
      <c r="N159"/>
      <c r="P159"/>
      <c r="Q159"/>
      <c r="R159"/>
      <c r="S159"/>
      <c r="T159"/>
      <c r="U159" s="46"/>
      <c r="V159" s="46"/>
    </row>
    <row r="160" spans="1:29" ht="25.15" customHeight="1" x14ac:dyDescent="0.25">
      <c r="A160" s="17"/>
      <c r="G160"/>
      <c r="H160"/>
      <c r="J160"/>
      <c r="K160"/>
      <c r="L160"/>
      <c r="M160"/>
      <c r="N160"/>
      <c r="P160"/>
      <c r="Q160"/>
      <c r="R160"/>
      <c r="S160"/>
      <c r="T160"/>
      <c r="U160" s="46"/>
      <c r="V160" s="46"/>
    </row>
    <row r="161" spans="1:22" ht="25.15" customHeight="1" x14ac:dyDescent="0.25">
      <c r="A161" s="17"/>
      <c r="G161"/>
      <c r="H161"/>
      <c r="J161"/>
      <c r="K161"/>
      <c r="L161"/>
      <c r="M161"/>
      <c r="N161"/>
      <c r="P161"/>
      <c r="Q161"/>
      <c r="R161"/>
      <c r="S161"/>
      <c r="T161"/>
      <c r="U161" s="46"/>
      <c r="V161" s="46"/>
    </row>
    <row r="162" spans="1:22" ht="25.15" customHeight="1" x14ac:dyDescent="0.25">
      <c r="A162" s="17"/>
      <c r="G162"/>
      <c r="H162"/>
      <c r="J162"/>
      <c r="K162"/>
      <c r="L162"/>
      <c r="M162"/>
      <c r="N162"/>
      <c r="P162"/>
      <c r="Q162"/>
      <c r="R162"/>
      <c r="S162"/>
      <c r="T162"/>
      <c r="U162" s="46"/>
      <c r="V162" s="46"/>
    </row>
    <row r="163" spans="1:22" ht="25.15" customHeight="1" x14ac:dyDescent="0.25">
      <c r="A163" s="17"/>
      <c r="G163"/>
      <c r="H163"/>
      <c r="J163"/>
      <c r="K163"/>
      <c r="L163"/>
      <c r="M163"/>
      <c r="N163"/>
      <c r="P163"/>
      <c r="Q163"/>
      <c r="R163"/>
      <c r="S163"/>
      <c r="T163"/>
      <c r="U163" s="46"/>
      <c r="V163" s="46"/>
    </row>
    <row r="164" spans="1:22" ht="25.15" customHeight="1" x14ac:dyDescent="0.25">
      <c r="A164" s="17"/>
      <c r="G164"/>
      <c r="H164"/>
      <c r="J164"/>
      <c r="K164"/>
      <c r="L164"/>
      <c r="M164"/>
      <c r="N164"/>
      <c r="P164"/>
      <c r="Q164"/>
      <c r="R164"/>
      <c r="S164"/>
      <c r="T164"/>
      <c r="U164" s="46"/>
      <c r="V164" s="46"/>
    </row>
    <row r="165" spans="1:22" ht="25.15" customHeight="1" x14ac:dyDescent="0.25">
      <c r="A165" s="17"/>
      <c r="G165"/>
      <c r="H165"/>
      <c r="J165"/>
      <c r="K165"/>
      <c r="L165"/>
      <c r="M165"/>
      <c r="N165"/>
      <c r="P165"/>
      <c r="Q165"/>
      <c r="R165"/>
      <c r="S165"/>
      <c r="T165"/>
      <c r="U165" s="46"/>
      <c r="V165" s="46"/>
    </row>
    <row r="166" spans="1:22" ht="25.15" customHeight="1" x14ac:dyDescent="0.25">
      <c r="A166" s="17"/>
      <c r="G166"/>
      <c r="H166"/>
      <c r="J166"/>
      <c r="K166"/>
      <c r="L166"/>
      <c r="M166"/>
      <c r="N166"/>
      <c r="P166"/>
      <c r="Q166"/>
      <c r="R166"/>
      <c r="S166"/>
      <c r="T166"/>
      <c r="U166" s="46"/>
      <c r="V166" s="46"/>
    </row>
    <row r="167" spans="1:22" ht="25.15" customHeight="1" x14ac:dyDescent="0.25">
      <c r="A167" s="17"/>
      <c r="G167"/>
      <c r="H167"/>
      <c r="J167"/>
      <c r="K167"/>
      <c r="L167"/>
      <c r="M167"/>
      <c r="N167"/>
      <c r="P167"/>
      <c r="Q167"/>
      <c r="R167"/>
      <c r="S167"/>
      <c r="T167"/>
      <c r="U167" s="46"/>
      <c r="V167" s="46"/>
    </row>
    <row r="168" spans="1:22" ht="25.15" customHeight="1" x14ac:dyDescent="0.25">
      <c r="A168" s="17"/>
      <c r="G168"/>
      <c r="H168"/>
      <c r="J168"/>
      <c r="K168"/>
      <c r="L168"/>
      <c r="M168"/>
      <c r="N168"/>
      <c r="P168"/>
      <c r="Q168"/>
      <c r="R168"/>
      <c r="S168"/>
      <c r="T168"/>
      <c r="U168" s="46"/>
      <c r="V168" s="46"/>
    </row>
    <row r="169" spans="1:22" ht="25.15" customHeight="1" x14ac:dyDescent="0.25">
      <c r="A169" s="17"/>
      <c r="G169"/>
      <c r="H169"/>
      <c r="J169"/>
      <c r="K169"/>
      <c r="L169"/>
      <c r="M169"/>
      <c r="N169"/>
      <c r="P169"/>
      <c r="Q169"/>
      <c r="R169"/>
      <c r="S169"/>
      <c r="T169"/>
      <c r="U169" s="46"/>
      <c r="V169" s="46"/>
    </row>
    <row r="170" spans="1:22" ht="25.15" customHeight="1" x14ac:dyDescent="0.25">
      <c r="A170" s="17"/>
      <c r="G170"/>
      <c r="H170"/>
      <c r="J170"/>
      <c r="K170"/>
      <c r="L170"/>
      <c r="M170"/>
      <c r="N170"/>
      <c r="P170"/>
      <c r="Q170"/>
      <c r="R170"/>
      <c r="S170"/>
      <c r="T170"/>
      <c r="U170" s="46"/>
      <c r="V170" s="46"/>
    </row>
    <row r="171" spans="1:22" ht="25.15" customHeight="1" x14ac:dyDescent="0.25">
      <c r="A171" s="17"/>
      <c r="G171"/>
      <c r="H171"/>
      <c r="J171"/>
      <c r="K171"/>
      <c r="L171"/>
      <c r="M171"/>
      <c r="N171"/>
      <c r="P171"/>
      <c r="Q171"/>
      <c r="R171"/>
      <c r="S171"/>
      <c r="T171"/>
      <c r="U171" s="46"/>
      <c r="V171" s="46"/>
    </row>
    <row r="172" spans="1:22" ht="25.15" customHeight="1" x14ac:dyDescent="0.25">
      <c r="A172" s="17"/>
      <c r="G172"/>
      <c r="H172"/>
      <c r="J172"/>
      <c r="K172"/>
      <c r="L172"/>
      <c r="M172"/>
      <c r="N172"/>
      <c r="P172"/>
      <c r="Q172"/>
      <c r="R172"/>
      <c r="S172"/>
      <c r="T172"/>
      <c r="U172" s="46"/>
      <c r="V172" s="46"/>
    </row>
    <row r="173" spans="1:22" ht="25.15" customHeight="1" x14ac:dyDescent="0.25">
      <c r="A173" s="17"/>
      <c r="G173"/>
      <c r="H173"/>
      <c r="J173"/>
      <c r="K173"/>
      <c r="L173"/>
      <c r="M173"/>
      <c r="N173"/>
      <c r="P173"/>
      <c r="Q173"/>
      <c r="R173"/>
      <c r="S173"/>
      <c r="T173"/>
      <c r="U173" s="46"/>
      <c r="V173" s="46"/>
    </row>
    <row r="174" spans="1:22" ht="25.15" customHeight="1" x14ac:dyDescent="0.25">
      <c r="A174" s="17"/>
      <c r="G174"/>
      <c r="H174"/>
      <c r="J174"/>
      <c r="K174"/>
      <c r="L174"/>
      <c r="M174"/>
      <c r="N174"/>
      <c r="P174"/>
      <c r="Q174"/>
      <c r="R174"/>
      <c r="S174"/>
      <c r="T174"/>
      <c r="U174" s="46"/>
      <c r="V174" s="46"/>
    </row>
    <row r="175" spans="1:22" ht="25.15" customHeight="1" x14ac:dyDescent="0.25">
      <c r="A175" s="17"/>
      <c r="G175"/>
      <c r="H175"/>
      <c r="J175"/>
      <c r="K175"/>
      <c r="L175"/>
      <c r="M175"/>
      <c r="N175"/>
      <c r="P175"/>
      <c r="Q175"/>
      <c r="R175"/>
      <c r="S175"/>
      <c r="T175"/>
      <c r="U175" s="46"/>
      <c r="V175" s="46"/>
    </row>
    <row r="176" spans="1:22" ht="25.15" customHeight="1" x14ac:dyDescent="0.25">
      <c r="A176" s="17"/>
      <c r="G176"/>
      <c r="H176"/>
      <c r="J176"/>
      <c r="K176"/>
      <c r="L176"/>
      <c r="M176"/>
      <c r="N176"/>
      <c r="P176"/>
      <c r="Q176"/>
      <c r="R176"/>
      <c r="S176"/>
      <c r="T176"/>
      <c r="U176" s="46"/>
      <c r="V176" s="46"/>
    </row>
    <row r="177" spans="1:22" ht="25.15" customHeight="1" x14ac:dyDescent="0.25">
      <c r="A177" s="17"/>
      <c r="G177"/>
      <c r="H177"/>
      <c r="J177"/>
      <c r="K177"/>
      <c r="L177"/>
      <c r="M177"/>
      <c r="N177"/>
      <c r="P177"/>
      <c r="Q177"/>
      <c r="R177"/>
      <c r="S177"/>
      <c r="T177"/>
      <c r="U177" s="46"/>
      <c r="V177" s="46"/>
    </row>
    <row r="178" spans="1:22" ht="25.15" customHeight="1" x14ac:dyDescent="0.25">
      <c r="A178" s="17"/>
      <c r="G178"/>
      <c r="H178"/>
      <c r="J178"/>
      <c r="K178"/>
      <c r="L178"/>
      <c r="M178"/>
      <c r="N178"/>
      <c r="P178"/>
      <c r="Q178"/>
      <c r="R178"/>
      <c r="S178"/>
      <c r="T178"/>
      <c r="U178" s="46"/>
      <c r="V178" s="46"/>
    </row>
    <row r="179" spans="1:22" ht="25.15" customHeight="1" x14ac:dyDescent="0.25">
      <c r="A179" s="17"/>
      <c r="G179"/>
      <c r="H179"/>
      <c r="J179"/>
      <c r="K179"/>
      <c r="L179"/>
      <c r="M179"/>
      <c r="N179"/>
      <c r="P179"/>
      <c r="Q179"/>
      <c r="R179"/>
      <c r="S179"/>
      <c r="T179"/>
      <c r="U179" s="46"/>
      <c r="V179" s="46"/>
    </row>
    <row r="180" spans="1:22" ht="25.15" customHeight="1" x14ac:dyDescent="0.25">
      <c r="A180" s="17"/>
      <c r="G180"/>
      <c r="H180"/>
      <c r="J180"/>
      <c r="K180"/>
      <c r="L180"/>
      <c r="M180"/>
      <c r="N180"/>
      <c r="P180"/>
      <c r="Q180"/>
      <c r="R180"/>
      <c r="S180"/>
      <c r="T180"/>
      <c r="U180" s="46"/>
      <c r="V180" s="46"/>
    </row>
    <row r="181" spans="1:22" ht="25.15" customHeight="1" x14ac:dyDescent="0.25">
      <c r="A181" s="17"/>
      <c r="G181"/>
      <c r="H181"/>
      <c r="J181"/>
      <c r="K181"/>
      <c r="L181"/>
      <c r="M181"/>
      <c r="N181"/>
      <c r="P181"/>
      <c r="Q181"/>
      <c r="R181"/>
      <c r="S181"/>
      <c r="T181"/>
      <c r="U181" s="46"/>
      <c r="V181" s="46"/>
    </row>
    <row r="182" spans="1:22" ht="25.15" customHeight="1" x14ac:dyDescent="0.25">
      <c r="A182" s="17"/>
      <c r="G182"/>
      <c r="H182"/>
      <c r="J182"/>
      <c r="K182"/>
      <c r="L182"/>
      <c r="M182"/>
      <c r="N182"/>
      <c r="P182"/>
      <c r="Q182"/>
      <c r="R182"/>
      <c r="S182"/>
      <c r="T182"/>
      <c r="U182" s="46"/>
      <c r="V182" s="46"/>
    </row>
    <row r="183" spans="1:22" ht="25.15" customHeight="1" x14ac:dyDescent="0.25">
      <c r="A183" s="17"/>
      <c r="G183"/>
      <c r="H183"/>
      <c r="J183"/>
      <c r="K183"/>
      <c r="L183"/>
      <c r="M183"/>
      <c r="N183"/>
      <c r="P183"/>
      <c r="Q183"/>
      <c r="R183"/>
      <c r="S183"/>
      <c r="T183"/>
      <c r="U183" s="46"/>
      <c r="V183" s="46"/>
    </row>
    <row r="184" spans="1:22" ht="25.15" customHeight="1" x14ac:dyDescent="0.25">
      <c r="A184" s="17"/>
      <c r="G184"/>
      <c r="H184"/>
      <c r="J184"/>
      <c r="K184"/>
      <c r="L184"/>
      <c r="M184"/>
      <c r="N184"/>
      <c r="P184"/>
      <c r="Q184"/>
      <c r="R184"/>
      <c r="S184"/>
      <c r="T184"/>
      <c r="U184" s="46"/>
      <c r="V184" s="46"/>
    </row>
    <row r="185" spans="1:22" ht="25.15" customHeight="1" x14ac:dyDescent="0.25">
      <c r="A185" s="17"/>
      <c r="G185"/>
      <c r="H185"/>
      <c r="J185"/>
      <c r="K185"/>
      <c r="L185"/>
      <c r="M185"/>
      <c r="N185"/>
      <c r="P185"/>
      <c r="Q185"/>
      <c r="R185"/>
      <c r="S185"/>
      <c r="T185"/>
      <c r="U185" s="46"/>
      <c r="V185" s="46"/>
    </row>
    <row r="186" spans="1:22" ht="25.15" customHeight="1" x14ac:dyDescent="0.25">
      <c r="A186" s="17"/>
      <c r="G186"/>
      <c r="H186"/>
      <c r="J186"/>
      <c r="K186"/>
      <c r="L186"/>
      <c r="M186"/>
      <c r="N186"/>
      <c r="P186"/>
      <c r="Q186"/>
      <c r="R186"/>
      <c r="S186"/>
      <c r="T186"/>
      <c r="U186" s="46"/>
      <c r="V186" s="46"/>
    </row>
    <row r="187" spans="1:22" ht="25.15" customHeight="1" x14ac:dyDescent="0.25">
      <c r="A187" s="17"/>
      <c r="G187"/>
      <c r="H187"/>
      <c r="J187"/>
      <c r="K187"/>
      <c r="L187"/>
      <c r="M187"/>
      <c r="N187"/>
      <c r="P187"/>
      <c r="Q187"/>
      <c r="R187"/>
      <c r="S187"/>
      <c r="T187"/>
      <c r="U187" s="46"/>
      <c r="V187" s="46"/>
    </row>
    <row r="188" spans="1:22" ht="25.15" customHeight="1" x14ac:dyDescent="0.25">
      <c r="A188" s="17"/>
      <c r="G188"/>
      <c r="H188"/>
      <c r="J188"/>
      <c r="K188"/>
      <c r="L188"/>
      <c r="M188"/>
      <c r="N188"/>
      <c r="P188"/>
      <c r="Q188"/>
      <c r="R188"/>
      <c r="S188"/>
      <c r="T188"/>
      <c r="U188" s="46"/>
      <c r="V188" s="46"/>
    </row>
    <row r="189" spans="1:22" ht="25.15" customHeight="1" x14ac:dyDescent="0.25">
      <c r="A189" s="17"/>
      <c r="G189"/>
      <c r="H189"/>
      <c r="J189"/>
      <c r="K189"/>
      <c r="L189"/>
      <c r="M189"/>
      <c r="N189"/>
      <c r="P189"/>
      <c r="Q189"/>
      <c r="R189"/>
      <c r="S189"/>
      <c r="T189"/>
      <c r="U189" s="46"/>
      <c r="V189" s="46"/>
    </row>
    <row r="190" spans="1:22" ht="25.15" customHeight="1" x14ac:dyDescent="0.25">
      <c r="A190" s="17"/>
      <c r="G190"/>
      <c r="H190"/>
      <c r="J190"/>
      <c r="K190"/>
      <c r="L190"/>
      <c r="M190"/>
      <c r="N190"/>
      <c r="P190"/>
      <c r="Q190"/>
      <c r="R190"/>
      <c r="S190"/>
      <c r="T190"/>
      <c r="U190" s="46"/>
      <c r="V190" s="46"/>
    </row>
    <row r="191" spans="1:22" ht="25.15" customHeight="1" x14ac:dyDescent="0.25">
      <c r="A191" s="17"/>
      <c r="G191"/>
      <c r="H191"/>
      <c r="J191"/>
      <c r="K191"/>
      <c r="L191"/>
      <c r="M191"/>
      <c r="N191"/>
      <c r="P191"/>
      <c r="Q191"/>
      <c r="R191"/>
      <c r="S191"/>
      <c r="T191"/>
      <c r="U191" s="46"/>
      <c r="V191" s="46"/>
    </row>
    <row r="192" spans="1:22" ht="25.15" customHeight="1" x14ac:dyDescent="0.25">
      <c r="A192" s="17"/>
      <c r="G192"/>
      <c r="H192"/>
      <c r="J192"/>
      <c r="K192"/>
      <c r="L192"/>
      <c r="M192"/>
      <c r="N192"/>
      <c r="P192"/>
      <c r="Q192"/>
      <c r="R192"/>
      <c r="S192"/>
      <c r="T192"/>
      <c r="U192" s="46"/>
      <c r="V192" s="46"/>
    </row>
    <row r="193" spans="1:22" ht="25.15" customHeight="1" x14ac:dyDescent="0.25">
      <c r="A193" s="17"/>
      <c r="G193"/>
      <c r="H193"/>
      <c r="J193"/>
      <c r="K193"/>
      <c r="L193"/>
      <c r="M193"/>
      <c r="N193"/>
      <c r="P193"/>
      <c r="Q193"/>
      <c r="R193"/>
      <c r="S193"/>
      <c r="T193"/>
      <c r="U193" s="46"/>
      <c r="V193" s="46"/>
    </row>
    <row r="194" spans="1:22" ht="25.15" customHeight="1" x14ac:dyDescent="0.25">
      <c r="A194" s="17"/>
      <c r="G194"/>
      <c r="H194"/>
      <c r="J194"/>
      <c r="K194"/>
      <c r="L194"/>
      <c r="M194"/>
      <c r="N194"/>
      <c r="P194"/>
      <c r="Q194"/>
      <c r="R194"/>
      <c r="S194"/>
      <c r="T194"/>
      <c r="U194" s="46"/>
      <c r="V194" s="46"/>
    </row>
    <row r="195" spans="1:22" ht="25.15" customHeight="1" x14ac:dyDescent="0.25">
      <c r="A195" s="17"/>
      <c r="G195"/>
      <c r="H195"/>
      <c r="J195"/>
      <c r="K195"/>
      <c r="L195"/>
      <c r="M195"/>
      <c r="N195"/>
      <c r="P195"/>
      <c r="Q195"/>
      <c r="R195"/>
      <c r="S195"/>
      <c r="T195"/>
      <c r="U195" s="46"/>
      <c r="V195" s="46"/>
    </row>
    <row r="196" spans="1:22" ht="25.15" customHeight="1" x14ac:dyDescent="0.25">
      <c r="A196" s="17"/>
      <c r="G196"/>
      <c r="H196"/>
      <c r="J196"/>
      <c r="K196"/>
      <c r="L196"/>
      <c r="M196"/>
      <c r="N196"/>
      <c r="P196"/>
      <c r="Q196"/>
      <c r="R196"/>
      <c r="S196"/>
      <c r="T196"/>
      <c r="U196" s="46"/>
      <c r="V196" s="46"/>
    </row>
    <row r="197" spans="1:22" ht="25.15" customHeight="1" x14ac:dyDescent="0.25">
      <c r="A197" s="17"/>
      <c r="G197"/>
      <c r="H197"/>
      <c r="J197"/>
      <c r="K197"/>
      <c r="L197"/>
      <c r="M197"/>
      <c r="N197"/>
      <c r="P197"/>
      <c r="Q197"/>
      <c r="R197"/>
      <c r="S197"/>
      <c r="T197"/>
      <c r="U197" s="46"/>
      <c r="V197" s="46"/>
    </row>
    <row r="198" spans="1:22" ht="25.15" customHeight="1" x14ac:dyDescent="0.25">
      <c r="A198" s="17"/>
      <c r="G198"/>
      <c r="H198"/>
      <c r="J198"/>
      <c r="K198"/>
      <c r="L198"/>
      <c r="M198"/>
      <c r="N198"/>
      <c r="P198"/>
      <c r="Q198"/>
      <c r="R198"/>
      <c r="S198"/>
      <c r="T198"/>
      <c r="U198" s="46"/>
      <c r="V198" s="46"/>
    </row>
    <row r="199" spans="1:22" ht="25.15" customHeight="1" x14ac:dyDescent="0.25">
      <c r="A199" s="17"/>
      <c r="G199"/>
      <c r="H199"/>
      <c r="J199"/>
      <c r="K199"/>
      <c r="L199"/>
      <c r="M199"/>
      <c r="N199"/>
      <c r="P199"/>
      <c r="Q199"/>
      <c r="R199"/>
      <c r="S199"/>
      <c r="T199"/>
      <c r="U199" s="46"/>
      <c r="V199" s="46"/>
    </row>
    <row r="200" spans="1:22" ht="25.15" customHeight="1" x14ac:dyDescent="0.25">
      <c r="A200" s="17"/>
      <c r="G200"/>
      <c r="H200"/>
      <c r="J200"/>
      <c r="K200"/>
      <c r="L200"/>
      <c r="M200"/>
      <c r="N200"/>
      <c r="P200"/>
      <c r="Q200"/>
      <c r="R200"/>
      <c r="S200"/>
      <c r="T200"/>
      <c r="U200" s="46"/>
      <c r="V200" s="46"/>
    </row>
    <row r="201" spans="1:22" ht="25.15" customHeight="1" x14ac:dyDescent="0.25">
      <c r="A201" s="17"/>
      <c r="G201"/>
      <c r="H201"/>
      <c r="J201"/>
      <c r="K201"/>
      <c r="L201"/>
      <c r="M201"/>
      <c r="N201"/>
      <c r="P201"/>
      <c r="Q201"/>
      <c r="R201"/>
      <c r="S201"/>
      <c r="T201"/>
      <c r="U201" s="46"/>
      <c r="V201" s="46"/>
    </row>
    <row r="202" spans="1:22" ht="25.15" customHeight="1" x14ac:dyDescent="0.25">
      <c r="A202" s="17"/>
      <c r="G202"/>
      <c r="H202"/>
      <c r="J202"/>
      <c r="K202"/>
      <c r="L202"/>
      <c r="M202"/>
      <c r="N202"/>
      <c r="P202"/>
      <c r="Q202"/>
      <c r="R202"/>
      <c r="S202"/>
      <c r="T202"/>
      <c r="U202" s="46"/>
      <c r="V202" s="46"/>
    </row>
    <row r="203" spans="1:22" ht="25.15" customHeight="1" x14ac:dyDescent="0.25">
      <c r="A203" s="17"/>
      <c r="G203"/>
      <c r="H203"/>
      <c r="J203"/>
      <c r="K203"/>
      <c r="L203"/>
      <c r="M203"/>
      <c r="N203"/>
      <c r="P203"/>
      <c r="Q203"/>
      <c r="R203"/>
      <c r="S203"/>
      <c r="T203"/>
      <c r="U203" s="46"/>
      <c r="V203" s="46"/>
    </row>
    <row r="204" spans="1:22" ht="25.15" customHeight="1" x14ac:dyDescent="0.25">
      <c r="A204" s="17"/>
      <c r="G204"/>
      <c r="H204"/>
      <c r="J204"/>
      <c r="K204"/>
      <c r="L204"/>
      <c r="M204"/>
      <c r="N204"/>
      <c r="P204"/>
      <c r="Q204"/>
      <c r="R204"/>
      <c r="S204"/>
      <c r="T204"/>
      <c r="U204" s="46"/>
      <c r="V204" s="46"/>
    </row>
    <row r="205" spans="1:22" ht="25.15" customHeight="1" x14ac:dyDescent="0.25">
      <c r="A205" s="17"/>
      <c r="G205"/>
      <c r="H205"/>
      <c r="J205"/>
      <c r="K205"/>
      <c r="L205"/>
      <c r="M205"/>
      <c r="N205"/>
      <c r="P205"/>
      <c r="Q205"/>
      <c r="R205"/>
      <c r="S205"/>
      <c r="T205"/>
      <c r="U205" s="46"/>
      <c r="V205" s="46"/>
    </row>
    <row r="206" spans="1:22" ht="25.15" customHeight="1" x14ac:dyDescent="0.25">
      <c r="A206" s="17"/>
      <c r="G206"/>
      <c r="H206"/>
      <c r="J206"/>
      <c r="K206"/>
      <c r="L206"/>
      <c r="M206"/>
      <c r="N206"/>
      <c r="P206"/>
      <c r="Q206"/>
      <c r="R206"/>
      <c r="S206"/>
      <c r="T206"/>
      <c r="U206" s="46"/>
      <c r="V206" s="46"/>
    </row>
    <row r="207" spans="1:22" ht="25.15" customHeight="1" x14ac:dyDescent="0.25">
      <c r="A207" s="17"/>
      <c r="G207"/>
      <c r="H207"/>
      <c r="J207"/>
      <c r="K207"/>
      <c r="L207"/>
      <c r="M207"/>
      <c r="N207"/>
      <c r="P207"/>
      <c r="Q207"/>
      <c r="R207"/>
      <c r="S207"/>
      <c r="T207"/>
      <c r="U207" s="46"/>
      <c r="V207" s="46"/>
    </row>
    <row r="208" spans="1:22" ht="25.15" customHeight="1" x14ac:dyDescent="0.25">
      <c r="A208" s="17"/>
      <c r="G208"/>
      <c r="H208"/>
      <c r="J208"/>
      <c r="K208"/>
      <c r="L208"/>
      <c r="M208"/>
      <c r="N208"/>
      <c r="P208"/>
      <c r="Q208"/>
      <c r="R208"/>
      <c r="S208"/>
      <c r="T208"/>
      <c r="U208" s="46"/>
      <c r="V208" s="46"/>
    </row>
    <row r="209" spans="1:22" ht="25.15" customHeight="1" x14ac:dyDescent="0.25">
      <c r="A209" s="17"/>
      <c r="G209"/>
      <c r="H209"/>
      <c r="J209"/>
      <c r="K209"/>
      <c r="L209"/>
      <c r="M209"/>
      <c r="N209"/>
      <c r="P209"/>
      <c r="Q209"/>
      <c r="R209"/>
      <c r="S209"/>
      <c r="T209"/>
      <c r="U209" s="46"/>
      <c r="V209" s="46"/>
    </row>
    <row r="210" spans="1:22" ht="25.15" customHeight="1" x14ac:dyDescent="0.25">
      <c r="A210" s="17"/>
      <c r="G210"/>
      <c r="H210"/>
      <c r="J210"/>
      <c r="K210"/>
      <c r="L210"/>
      <c r="M210"/>
      <c r="N210"/>
      <c r="P210"/>
      <c r="Q210"/>
      <c r="R210"/>
      <c r="S210"/>
      <c r="T210"/>
      <c r="U210" s="46"/>
      <c r="V210" s="46"/>
    </row>
    <row r="211" spans="1:22" ht="25.15" customHeight="1" x14ac:dyDescent="0.25">
      <c r="A211" s="17"/>
      <c r="G211"/>
      <c r="H211"/>
      <c r="J211"/>
      <c r="K211"/>
      <c r="L211"/>
      <c r="M211"/>
      <c r="N211"/>
      <c r="P211"/>
      <c r="Q211"/>
      <c r="R211"/>
      <c r="S211"/>
      <c r="T211"/>
      <c r="U211" s="46"/>
      <c r="V211" s="46"/>
    </row>
    <row r="212" spans="1:22" ht="25.15" customHeight="1" x14ac:dyDescent="0.25">
      <c r="A212" s="17"/>
      <c r="G212"/>
      <c r="H212"/>
      <c r="J212"/>
      <c r="K212"/>
      <c r="L212"/>
      <c r="M212"/>
      <c r="N212"/>
      <c r="P212"/>
      <c r="Q212"/>
      <c r="R212"/>
      <c r="S212"/>
      <c r="T212"/>
      <c r="U212" s="46"/>
      <c r="V212" s="46"/>
    </row>
    <row r="213" spans="1:22" ht="25.15" customHeight="1" x14ac:dyDescent="0.25">
      <c r="A213" s="17"/>
      <c r="G213"/>
      <c r="H213"/>
      <c r="J213"/>
      <c r="K213"/>
      <c r="L213"/>
      <c r="M213"/>
      <c r="N213"/>
      <c r="P213"/>
      <c r="Q213"/>
      <c r="R213"/>
      <c r="S213"/>
      <c r="T213"/>
      <c r="U213" s="46"/>
      <c r="V213" s="46"/>
    </row>
    <row r="214" spans="1:22" ht="25.15" customHeight="1" x14ac:dyDescent="0.25">
      <c r="A214" s="17"/>
      <c r="G214"/>
      <c r="H214"/>
      <c r="J214"/>
      <c r="K214"/>
      <c r="L214"/>
      <c r="M214"/>
      <c r="N214"/>
      <c r="P214"/>
      <c r="Q214"/>
      <c r="R214"/>
      <c r="S214"/>
      <c r="T214"/>
      <c r="U214" s="46"/>
      <c r="V214" s="46"/>
    </row>
    <row r="215" spans="1:22" ht="25.15" customHeight="1" x14ac:dyDescent="0.25">
      <c r="A215" s="17"/>
      <c r="G215"/>
      <c r="H215"/>
      <c r="J215"/>
      <c r="K215"/>
      <c r="L215"/>
      <c r="M215"/>
      <c r="N215"/>
      <c r="P215"/>
      <c r="Q215"/>
      <c r="R215"/>
      <c r="S215"/>
      <c r="T215"/>
      <c r="U215" s="46"/>
      <c r="V215" s="46"/>
    </row>
    <row r="216" spans="1:22" ht="25.15" customHeight="1" x14ac:dyDescent="0.25">
      <c r="A216" s="17"/>
      <c r="G216"/>
      <c r="H216"/>
      <c r="J216"/>
      <c r="K216"/>
      <c r="L216"/>
      <c r="M216"/>
      <c r="N216"/>
      <c r="P216"/>
      <c r="Q216"/>
      <c r="R216"/>
      <c r="S216"/>
      <c r="T216"/>
      <c r="U216" s="46"/>
      <c r="V216" s="46"/>
    </row>
    <row r="217" spans="1:22" ht="25.15" customHeight="1" x14ac:dyDescent="0.25">
      <c r="A217" s="17"/>
      <c r="G217"/>
      <c r="H217"/>
      <c r="J217"/>
      <c r="K217"/>
      <c r="L217"/>
      <c r="M217"/>
      <c r="N217"/>
      <c r="P217"/>
      <c r="Q217"/>
      <c r="R217"/>
      <c r="S217"/>
      <c r="T217"/>
      <c r="U217" s="46"/>
      <c r="V217" s="46"/>
    </row>
    <row r="218" spans="1:22" ht="25.15" customHeight="1" x14ac:dyDescent="0.25">
      <c r="A218" s="17"/>
      <c r="G218"/>
      <c r="H218"/>
      <c r="J218"/>
      <c r="K218"/>
      <c r="L218"/>
      <c r="M218"/>
      <c r="N218"/>
      <c r="P218"/>
      <c r="Q218"/>
      <c r="R218"/>
      <c r="S218"/>
      <c r="T218"/>
      <c r="U218" s="46"/>
      <c r="V218" s="46"/>
    </row>
    <row r="219" spans="1:22" ht="25.15" customHeight="1" x14ac:dyDescent="0.25">
      <c r="A219" s="17"/>
      <c r="G219"/>
      <c r="H219"/>
      <c r="J219"/>
      <c r="K219"/>
      <c r="L219"/>
      <c r="M219"/>
      <c r="N219"/>
      <c r="P219"/>
      <c r="Q219"/>
      <c r="R219"/>
      <c r="S219"/>
      <c r="T219"/>
      <c r="U219" s="46"/>
      <c r="V219" s="46"/>
    </row>
    <row r="220" spans="1:22" ht="25.15" customHeight="1" x14ac:dyDescent="0.25">
      <c r="A220" s="17"/>
      <c r="G220"/>
      <c r="H220"/>
      <c r="J220"/>
      <c r="K220"/>
      <c r="L220"/>
      <c r="M220"/>
      <c r="N220"/>
      <c r="P220"/>
      <c r="Q220"/>
      <c r="R220"/>
      <c r="S220"/>
      <c r="T220"/>
      <c r="U220" s="46"/>
      <c r="V220" s="46"/>
    </row>
    <row r="221" spans="1:22" ht="25.15" customHeight="1" x14ac:dyDescent="0.25">
      <c r="A221" s="17"/>
      <c r="G221"/>
      <c r="H221"/>
      <c r="J221"/>
      <c r="K221"/>
      <c r="L221"/>
      <c r="M221"/>
      <c r="N221"/>
      <c r="P221"/>
      <c r="Q221"/>
      <c r="R221"/>
      <c r="S221"/>
      <c r="T221"/>
      <c r="U221" s="46"/>
      <c r="V221" s="46"/>
    </row>
    <row r="222" spans="1:22" ht="25.15" customHeight="1" x14ac:dyDescent="0.25">
      <c r="A222" s="17"/>
      <c r="G222"/>
      <c r="H222"/>
      <c r="J222"/>
      <c r="K222"/>
      <c r="L222"/>
      <c r="M222"/>
      <c r="N222"/>
      <c r="P222"/>
      <c r="Q222"/>
      <c r="R222"/>
      <c r="S222"/>
      <c r="T222"/>
      <c r="U222" s="46"/>
      <c r="V222" s="46"/>
    </row>
    <row r="223" spans="1:22" ht="25.15" customHeight="1" x14ac:dyDescent="0.25">
      <c r="A223" s="17"/>
      <c r="G223"/>
      <c r="H223"/>
      <c r="J223"/>
      <c r="K223"/>
      <c r="L223"/>
      <c r="M223"/>
      <c r="N223"/>
      <c r="P223"/>
      <c r="Q223"/>
      <c r="R223"/>
      <c r="S223"/>
      <c r="T223"/>
      <c r="U223" s="46"/>
      <c r="V223" s="46"/>
    </row>
    <row r="224" spans="1:22" ht="25.15" customHeight="1" x14ac:dyDescent="0.25">
      <c r="A224" s="17"/>
      <c r="G224"/>
      <c r="H224"/>
      <c r="J224"/>
      <c r="K224"/>
      <c r="L224"/>
      <c r="M224"/>
      <c r="N224"/>
      <c r="P224"/>
      <c r="Q224"/>
      <c r="R224"/>
      <c r="S224"/>
      <c r="T224"/>
      <c r="U224" s="46"/>
      <c r="V224" s="46"/>
    </row>
    <row r="225" spans="1:22" ht="25.15" customHeight="1" x14ac:dyDescent="0.25">
      <c r="A225" s="17"/>
      <c r="G225"/>
      <c r="H225"/>
      <c r="J225"/>
      <c r="K225"/>
      <c r="L225"/>
      <c r="M225"/>
      <c r="N225"/>
      <c r="P225"/>
      <c r="Q225"/>
      <c r="R225"/>
      <c r="S225"/>
      <c r="T225"/>
      <c r="U225" s="46"/>
      <c r="V225" s="46"/>
    </row>
    <row r="226" spans="1:22" ht="25.15" customHeight="1" x14ac:dyDescent="0.25">
      <c r="A226" s="17"/>
      <c r="G226"/>
      <c r="H226"/>
      <c r="J226"/>
      <c r="K226"/>
      <c r="L226"/>
      <c r="M226"/>
      <c r="N226"/>
      <c r="P226"/>
      <c r="Q226"/>
      <c r="R226"/>
      <c r="S226"/>
      <c r="T226"/>
      <c r="U226" s="46"/>
      <c r="V226" s="46"/>
    </row>
    <row r="227" spans="1:22" ht="25.15" customHeight="1" x14ac:dyDescent="0.25">
      <c r="A227" s="17"/>
      <c r="G227"/>
      <c r="H227"/>
      <c r="J227"/>
      <c r="K227"/>
      <c r="L227"/>
      <c r="M227"/>
      <c r="N227"/>
      <c r="P227"/>
      <c r="Q227"/>
      <c r="R227"/>
      <c r="S227"/>
      <c r="T227"/>
      <c r="U227" s="46"/>
      <c r="V227" s="46"/>
    </row>
    <row r="228" spans="1:22" ht="25.15" customHeight="1" x14ac:dyDescent="0.25">
      <c r="A228" s="17"/>
      <c r="G228"/>
      <c r="H228"/>
      <c r="J228"/>
      <c r="K228"/>
      <c r="L228"/>
      <c r="M228"/>
      <c r="N228"/>
      <c r="P228"/>
      <c r="Q228"/>
      <c r="R228"/>
      <c r="S228"/>
      <c r="T228"/>
      <c r="U228" s="46"/>
      <c r="V228" s="46"/>
    </row>
    <row r="229" spans="1:22" ht="25.15" customHeight="1" x14ac:dyDescent="0.25">
      <c r="A229" s="17"/>
      <c r="G229"/>
      <c r="H229"/>
      <c r="J229"/>
      <c r="K229"/>
      <c r="L229"/>
      <c r="M229"/>
      <c r="N229"/>
      <c r="P229"/>
      <c r="Q229"/>
      <c r="R229"/>
      <c r="S229"/>
      <c r="T229"/>
      <c r="U229" s="46"/>
      <c r="V229" s="46"/>
    </row>
    <row r="230" spans="1:22" ht="25.15" customHeight="1" x14ac:dyDescent="0.25">
      <c r="A230" s="17"/>
      <c r="G230"/>
      <c r="H230"/>
      <c r="J230"/>
      <c r="K230"/>
      <c r="L230"/>
      <c r="M230"/>
      <c r="N230"/>
      <c r="P230"/>
      <c r="Q230"/>
      <c r="R230"/>
      <c r="S230"/>
      <c r="T230"/>
      <c r="U230" s="46"/>
      <c r="V230" s="46"/>
    </row>
    <row r="231" spans="1:22" ht="25.15" customHeight="1" x14ac:dyDescent="0.25">
      <c r="A231" s="17"/>
      <c r="G231"/>
      <c r="H231"/>
      <c r="J231"/>
      <c r="K231"/>
      <c r="L231"/>
      <c r="M231"/>
      <c r="N231"/>
      <c r="P231"/>
      <c r="Q231"/>
      <c r="R231"/>
      <c r="S231"/>
      <c r="T231"/>
      <c r="U231" s="46"/>
      <c r="V231" s="46"/>
    </row>
    <row r="232" spans="1:22" ht="25.15" customHeight="1" x14ac:dyDescent="0.25">
      <c r="A232" s="17"/>
      <c r="G232"/>
      <c r="H232"/>
      <c r="J232"/>
      <c r="K232"/>
      <c r="L232"/>
      <c r="M232"/>
      <c r="N232"/>
      <c r="P232"/>
      <c r="Q232"/>
      <c r="R232"/>
      <c r="S232"/>
      <c r="T232"/>
      <c r="U232" s="46"/>
      <c r="V232" s="46"/>
    </row>
    <row r="233" spans="1:22" ht="25.15" customHeight="1" x14ac:dyDescent="0.25">
      <c r="A233" s="17"/>
      <c r="G233"/>
      <c r="H233"/>
      <c r="J233"/>
      <c r="K233"/>
      <c r="L233"/>
      <c r="M233"/>
      <c r="N233"/>
      <c r="P233"/>
      <c r="Q233"/>
      <c r="R233"/>
      <c r="S233"/>
      <c r="T233"/>
      <c r="U233" s="46"/>
      <c r="V233" s="46"/>
    </row>
    <row r="234" spans="1:22" ht="25.15" customHeight="1" x14ac:dyDescent="0.25">
      <c r="A234" s="17"/>
      <c r="G234"/>
      <c r="H234"/>
      <c r="J234"/>
      <c r="K234"/>
      <c r="L234"/>
      <c r="M234"/>
      <c r="N234"/>
      <c r="P234"/>
      <c r="Q234"/>
      <c r="R234"/>
      <c r="S234"/>
      <c r="T234"/>
      <c r="U234" s="46"/>
      <c r="V234" s="46"/>
    </row>
    <row r="235" spans="1:22" ht="25.15" customHeight="1" x14ac:dyDescent="0.25">
      <c r="A235" s="17"/>
      <c r="G235"/>
      <c r="H235"/>
      <c r="J235"/>
      <c r="K235"/>
      <c r="L235"/>
      <c r="M235"/>
      <c r="N235"/>
      <c r="P235"/>
      <c r="Q235"/>
      <c r="R235"/>
      <c r="S235"/>
      <c r="T235"/>
      <c r="U235" s="46"/>
      <c r="V235" s="46"/>
    </row>
    <row r="236" spans="1:22" ht="25.15" customHeight="1" x14ac:dyDescent="0.25">
      <c r="A236" s="17"/>
      <c r="G236"/>
      <c r="H236"/>
      <c r="J236"/>
      <c r="K236"/>
      <c r="L236"/>
      <c r="M236"/>
      <c r="N236"/>
      <c r="P236"/>
      <c r="Q236"/>
      <c r="R236"/>
      <c r="S236"/>
      <c r="T236"/>
      <c r="U236" s="46"/>
      <c r="V236" s="46"/>
    </row>
    <row r="237" spans="1:22" ht="25.15" customHeight="1" x14ac:dyDescent="0.25">
      <c r="A237" s="17"/>
      <c r="G237"/>
      <c r="H237"/>
      <c r="J237"/>
      <c r="K237"/>
      <c r="L237"/>
      <c r="M237"/>
      <c r="N237"/>
      <c r="P237"/>
      <c r="Q237"/>
      <c r="R237"/>
      <c r="S237"/>
      <c r="T237"/>
      <c r="U237" s="46"/>
      <c r="V237" s="46"/>
    </row>
    <row r="238" spans="1:22" ht="25.15" customHeight="1" x14ac:dyDescent="0.25">
      <c r="A238" s="17"/>
      <c r="G238"/>
      <c r="H238"/>
      <c r="J238"/>
      <c r="K238"/>
      <c r="L238"/>
      <c r="M238"/>
      <c r="N238"/>
      <c r="P238"/>
      <c r="Q238"/>
      <c r="R238"/>
      <c r="S238"/>
      <c r="T238"/>
      <c r="U238" s="46"/>
      <c r="V238" s="46"/>
    </row>
    <row r="239" spans="1:22" ht="25.15" customHeight="1" x14ac:dyDescent="0.25">
      <c r="A239" s="17"/>
      <c r="G239"/>
      <c r="H239"/>
      <c r="J239"/>
      <c r="K239"/>
      <c r="L239"/>
      <c r="M239"/>
      <c r="N239"/>
      <c r="P239"/>
      <c r="Q239"/>
      <c r="R239"/>
      <c r="S239"/>
      <c r="T239"/>
      <c r="U239" s="46"/>
      <c r="V239" s="46"/>
    </row>
    <row r="240" spans="1:22" ht="25.15" customHeight="1" x14ac:dyDescent="0.25">
      <c r="A240" s="17"/>
      <c r="G240"/>
      <c r="H240"/>
      <c r="J240"/>
      <c r="K240"/>
      <c r="L240"/>
      <c r="M240"/>
      <c r="N240"/>
      <c r="P240"/>
      <c r="Q240"/>
      <c r="R240"/>
      <c r="S240"/>
      <c r="T240"/>
      <c r="U240" s="46"/>
      <c r="V240" s="46"/>
    </row>
    <row r="241" spans="1:22" ht="25.15" customHeight="1" x14ac:dyDescent="0.25">
      <c r="A241" s="17"/>
      <c r="G241"/>
      <c r="H241"/>
      <c r="J241"/>
      <c r="K241"/>
      <c r="L241"/>
      <c r="M241"/>
      <c r="N241"/>
      <c r="P241"/>
      <c r="Q241"/>
      <c r="R241"/>
      <c r="S241"/>
      <c r="T241"/>
      <c r="U241" s="46"/>
      <c r="V241" s="46"/>
    </row>
    <row r="242" spans="1:22" ht="25.15" customHeight="1" x14ac:dyDescent="0.25">
      <c r="A242" s="17"/>
      <c r="G242"/>
      <c r="H242"/>
      <c r="J242"/>
      <c r="K242"/>
      <c r="L242"/>
      <c r="M242"/>
      <c r="N242"/>
      <c r="P242"/>
      <c r="Q242"/>
      <c r="R242"/>
      <c r="S242"/>
      <c r="T242"/>
      <c r="U242" s="46"/>
      <c r="V242" s="46"/>
    </row>
    <row r="243" spans="1:22" ht="25.15" customHeight="1" x14ac:dyDescent="0.25">
      <c r="A243" s="17"/>
      <c r="G243"/>
      <c r="H243"/>
      <c r="J243"/>
      <c r="K243"/>
      <c r="L243"/>
      <c r="M243"/>
      <c r="N243"/>
      <c r="P243"/>
      <c r="Q243"/>
      <c r="R243"/>
      <c r="S243"/>
      <c r="T243"/>
      <c r="U243" s="46"/>
      <c r="V243" s="46"/>
    </row>
    <row r="244" spans="1:22" ht="25.15" customHeight="1" x14ac:dyDescent="0.25">
      <c r="A244" s="17"/>
      <c r="G244"/>
      <c r="H244"/>
      <c r="J244"/>
      <c r="K244"/>
      <c r="L244"/>
      <c r="M244"/>
      <c r="N244"/>
      <c r="P244"/>
      <c r="Q244"/>
      <c r="R244"/>
      <c r="S244"/>
      <c r="T244"/>
      <c r="U244" s="46"/>
      <c r="V244" s="46"/>
    </row>
    <row r="245" spans="1:22" ht="25.15" customHeight="1" x14ac:dyDescent="0.25">
      <c r="A245" s="17"/>
      <c r="G245"/>
      <c r="H245"/>
      <c r="J245"/>
      <c r="K245"/>
      <c r="L245"/>
      <c r="M245"/>
      <c r="N245"/>
      <c r="P245"/>
      <c r="Q245"/>
      <c r="R245"/>
      <c r="S245"/>
      <c r="T245"/>
      <c r="U245" s="46"/>
      <c r="V245" s="46"/>
    </row>
    <row r="246" spans="1:22" ht="25.15" customHeight="1" x14ac:dyDescent="0.25">
      <c r="A246" s="17"/>
      <c r="G246"/>
      <c r="H246"/>
      <c r="J246"/>
      <c r="K246"/>
      <c r="L246"/>
      <c r="M246"/>
      <c r="N246"/>
      <c r="P246"/>
      <c r="Q246"/>
      <c r="R246"/>
      <c r="S246"/>
      <c r="T246"/>
      <c r="U246" s="46"/>
      <c r="V246" s="46"/>
    </row>
    <row r="247" spans="1:22" ht="25.15" customHeight="1" x14ac:dyDescent="0.25">
      <c r="A247" s="17"/>
      <c r="G247"/>
      <c r="H247"/>
      <c r="J247"/>
      <c r="K247"/>
      <c r="L247"/>
      <c r="M247"/>
      <c r="N247"/>
      <c r="P247"/>
      <c r="Q247"/>
      <c r="R247"/>
      <c r="S247"/>
      <c r="T247"/>
      <c r="U247" s="46"/>
      <c r="V247" s="46"/>
    </row>
    <row r="248" spans="1:22" ht="25.15" customHeight="1" x14ac:dyDescent="0.25">
      <c r="A248" s="17"/>
      <c r="G248"/>
      <c r="H248"/>
      <c r="J248"/>
      <c r="K248"/>
      <c r="L248"/>
      <c r="M248"/>
      <c r="N248"/>
      <c r="P248"/>
      <c r="Q248"/>
      <c r="R248"/>
      <c r="S248"/>
      <c r="T248"/>
      <c r="U248" s="46"/>
      <c r="V248" s="46"/>
    </row>
    <row r="249" spans="1:22" ht="25.15" customHeight="1" x14ac:dyDescent="0.25">
      <c r="A249" s="17"/>
      <c r="G249"/>
      <c r="H249"/>
      <c r="J249"/>
      <c r="K249"/>
      <c r="L249"/>
      <c r="M249"/>
      <c r="N249"/>
      <c r="P249"/>
      <c r="Q249"/>
      <c r="R249"/>
      <c r="S249"/>
      <c r="T249"/>
      <c r="U249" s="46"/>
      <c r="V249" s="46"/>
    </row>
    <row r="250" spans="1:22" ht="25.15" customHeight="1" x14ac:dyDescent="0.25">
      <c r="A250" s="17"/>
      <c r="G250"/>
      <c r="H250"/>
      <c r="J250"/>
      <c r="K250"/>
      <c r="L250"/>
      <c r="M250"/>
      <c r="N250"/>
      <c r="P250"/>
      <c r="Q250"/>
      <c r="R250"/>
      <c r="S250"/>
      <c r="T250"/>
      <c r="U250" s="46"/>
      <c r="V250" s="46"/>
    </row>
    <row r="251" spans="1:22" ht="25.15" customHeight="1" x14ac:dyDescent="0.25">
      <c r="A251" s="17"/>
      <c r="G251"/>
      <c r="H251"/>
      <c r="J251"/>
      <c r="K251"/>
      <c r="L251"/>
      <c r="M251"/>
      <c r="N251"/>
      <c r="P251"/>
      <c r="Q251"/>
      <c r="R251"/>
      <c r="S251"/>
      <c r="T251"/>
      <c r="U251" s="46"/>
      <c r="V251" s="46"/>
    </row>
    <row r="252" spans="1:22" ht="25.15" customHeight="1" x14ac:dyDescent="0.25">
      <c r="A252" s="17"/>
      <c r="G252"/>
      <c r="H252"/>
      <c r="J252"/>
      <c r="K252"/>
      <c r="L252"/>
      <c r="M252"/>
      <c r="N252"/>
      <c r="P252"/>
      <c r="Q252"/>
      <c r="R252"/>
      <c r="S252"/>
      <c r="T252"/>
      <c r="U252" s="46"/>
      <c r="V252" s="46"/>
    </row>
    <row r="253" spans="1:22" ht="25.15" customHeight="1" x14ac:dyDescent="0.25">
      <c r="A253" s="17"/>
      <c r="G253"/>
      <c r="H253"/>
      <c r="J253"/>
      <c r="K253"/>
      <c r="L253"/>
      <c r="M253"/>
      <c r="N253"/>
      <c r="P253"/>
      <c r="Q253"/>
      <c r="R253"/>
      <c r="S253"/>
      <c r="T253"/>
      <c r="U253" s="46"/>
      <c r="V253" s="46"/>
    </row>
    <row r="254" spans="1:22" ht="25.15" customHeight="1" x14ac:dyDescent="0.25">
      <c r="A254" s="17"/>
      <c r="G254"/>
      <c r="H254"/>
      <c r="J254"/>
      <c r="K254"/>
      <c r="L254"/>
      <c r="M254"/>
      <c r="N254"/>
      <c r="P254"/>
      <c r="Q254"/>
      <c r="R254"/>
      <c r="S254"/>
      <c r="T254"/>
      <c r="U254" s="46"/>
      <c r="V254" s="46"/>
    </row>
    <row r="255" spans="1:22" ht="25.15" customHeight="1" x14ac:dyDescent="0.25">
      <c r="A255" s="17"/>
      <c r="G255"/>
      <c r="H255"/>
      <c r="J255"/>
      <c r="K255"/>
      <c r="L255"/>
      <c r="M255"/>
      <c r="N255"/>
      <c r="P255"/>
      <c r="Q255"/>
      <c r="R255"/>
      <c r="S255"/>
      <c r="T255"/>
      <c r="U255" s="46"/>
      <c r="V255" s="46"/>
    </row>
    <row r="256" spans="1:22" ht="25.15" customHeight="1" x14ac:dyDescent="0.25">
      <c r="A256" s="17"/>
      <c r="G256"/>
      <c r="H256"/>
      <c r="J256"/>
      <c r="K256"/>
      <c r="L256"/>
      <c r="M256"/>
      <c r="N256"/>
      <c r="P256"/>
      <c r="Q256"/>
      <c r="R256"/>
      <c r="S256"/>
      <c r="T256"/>
      <c r="U256" s="46"/>
      <c r="V256" s="46"/>
    </row>
    <row r="257" spans="1:22" ht="25.15" customHeight="1" x14ac:dyDescent="0.25">
      <c r="A257" s="17"/>
      <c r="G257"/>
      <c r="H257"/>
      <c r="J257"/>
      <c r="K257"/>
      <c r="L257"/>
      <c r="M257"/>
      <c r="N257"/>
      <c r="P257"/>
      <c r="Q257"/>
      <c r="R257"/>
      <c r="S257"/>
      <c r="T257"/>
      <c r="U257" s="46"/>
      <c r="V257" s="46"/>
    </row>
    <row r="258" spans="1:22" ht="25.15" customHeight="1" x14ac:dyDescent="0.25">
      <c r="A258" s="17"/>
      <c r="G258"/>
      <c r="H258"/>
      <c r="J258"/>
      <c r="K258"/>
      <c r="L258"/>
      <c r="M258"/>
      <c r="N258"/>
      <c r="P258"/>
      <c r="Q258"/>
      <c r="R258"/>
      <c r="S258"/>
      <c r="T258"/>
      <c r="U258" s="46"/>
      <c r="V258" s="46"/>
    </row>
    <row r="259" spans="1:22" ht="25.15" customHeight="1" x14ac:dyDescent="0.25">
      <c r="A259" s="17"/>
      <c r="G259"/>
      <c r="H259"/>
      <c r="J259"/>
      <c r="K259"/>
      <c r="L259"/>
      <c r="M259"/>
      <c r="N259"/>
      <c r="P259"/>
      <c r="Q259"/>
      <c r="R259"/>
      <c r="S259"/>
      <c r="T259"/>
      <c r="U259" s="46"/>
      <c r="V259" s="46"/>
    </row>
    <row r="260" spans="1:22" ht="25.15" customHeight="1" x14ac:dyDescent="0.25">
      <c r="A260" s="17"/>
      <c r="G260"/>
      <c r="H260"/>
      <c r="J260"/>
      <c r="K260"/>
      <c r="L260"/>
      <c r="M260"/>
      <c r="N260"/>
      <c r="P260"/>
      <c r="Q260"/>
      <c r="R260"/>
      <c r="S260"/>
      <c r="T260"/>
      <c r="U260" s="46"/>
      <c r="V260" s="46"/>
    </row>
    <row r="261" spans="1:22" ht="25.15" customHeight="1" x14ac:dyDescent="0.25">
      <c r="A261" s="17"/>
      <c r="G261"/>
      <c r="H261"/>
      <c r="J261"/>
      <c r="K261"/>
      <c r="L261"/>
      <c r="M261"/>
      <c r="N261"/>
      <c r="P261"/>
      <c r="Q261"/>
      <c r="R261"/>
      <c r="S261"/>
      <c r="T261"/>
      <c r="U261" s="46"/>
      <c r="V261" s="46"/>
    </row>
    <row r="262" spans="1:22" ht="25.15" customHeight="1" x14ac:dyDescent="0.25">
      <c r="A262" s="17"/>
      <c r="G262"/>
      <c r="H262"/>
      <c r="J262"/>
      <c r="K262"/>
      <c r="L262"/>
      <c r="M262"/>
      <c r="N262"/>
      <c r="P262"/>
      <c r="Q262"/>
      <c r="R262"/>
      <c r="S262"/>
      <c r="T262"/>
      <c r="U262" s="46"/>
      <c r="V262" s="46"/>
    </row>
    <row r="263" spans="1:22" ht="25.15" customHeight="1" x14ac:dyDescent="0.25">
      <c r="A263" s="17"/>
      <c r="G263"/>
      <c r="H263"/>
      <c r="J263"/>
      <c r="K263"/>
      <c r="L263"/>
      <c r="M263"/>
      <c r="N263"/>
      <c r="P263"/>
      <c r="Q263"/>
      <c r="R263"/>
      <c r="S263"/>
      <c r="T263"/>
      <c r="U263" s="46"/>
      <c r="V263" s="46"/>
    </row>
    <row r="264" spans="1:22" ht="25.15" customHeight="1" x14ac:dyDescent="0.25">
      <c r="A264" s="17"/>
      <c r="G264"/>
      <c r="H264"/>
      <c r="J264"/>
      <c r="K264"/>
      <c r="L264"/>
      <c r="M264"/>
      <c r="N264"/>
      <c r="P264"/>
      <c r="Q264"/>
      <c r="R264"/>
      <c r="S264"/>
      <c r="T264"/>
      <c r="U264" s="46"/>
      <c r="V264" s="46"/>
    </row>
    <row r="265" spans="1:22" ht="25.15" customHeight="1" x14ac:dyDescent="0.25">
      <c r="A265" s="17"/>
      <c r="G265"/>
      <c r="H265"/>
      <c r="J265"/>
      <c r="K265"/>
      <c r="L265"/>
      <c r="M265"/>
      <c r="N265"/>
      <c r="P265"/>
      <c r="Q265"/>
      <c r="R265"/>
      <c r="S265"/>
      <c r="T265"/>
      <c r="U265" s="46"/>
      <c r="V265" s="46"/>
    </row>
    <row r="266" spans="1:22" ht="25.15" customHeight="1" x14ac:dyDescent="0.25">
      <c r="A266" s="17"/>
      <c r="G266"/>
      <c r="H266"/>
      <c r="J266"/>
      <c r="K266"/>
      <c r="L266"/>
      <c r="M266"/>
      <c r="N266"/>
      <c r="P266"/>
      <c r="Q266"/>
      <c r="R266"/>
      <c r="S266"/>
      <c r="T266"/>
      <c r="U266" s="46"/>
      <c r="V266" s="46"/>
    </row>
    <row r="267" spans="1:22" ht="25.15" customHeight="1" x14ac:dyDescent="0.25">
      <c r="A267" s="17"/>
      <c r="G267"/>
      <c r="H267"/>
      <c r="J267"/>
      <c r="K267"/>
      <c r="L267"/>
      <c r="M267"/>
      <c r="N267"/>
      <c r="P267"/>
      <c r="Q267"/>
      <c r="R267"/>
      <c r="S267"/>
      <c r="T267"/>
      <c r="U267" s="46"/>
      <c r="V267" s="46"/>
    </row>
    <row r="268" spans="1:22" ht="25.15" customHeight="1" x14ac:dyDescent="0.25">
      <c r="A268" s="17"/>
      <c r="G268"/>
      <c r="H268"/>
      <c r="J268"/>
      <c r="K268"/>
      <c r="L268"/>
      <c r="M268"/>
      <c r="N268"/>
      <c r="P268"/>
      <c r="Q268"/>
      <c r="R268"/>
      <c r="S268"/>
      <c r="T268"/>
      <c r="U268" s="46"/>
      <c r="V268" s="46"/>
    </row>
    <row r="269" spans="1:22" ht="25.15" customHeight="1" x14ac:dyDescent="0.25">
      <c r="A269" s="17"/>
      <c r="G269"/>
      <c r="H269"/>
      <c r="J269"/>
      <c r="K269"/>
      <c r="L269"/>
      <c r="M269"/>
      <c r="N269"/>
      <c r="P269"/>
      <c r="Q269"/>
      <c r="R269"/>
      <c r="S269"/>
      <c r="T269"/>
      <c r="U269" s="46"/>
      <c r="V269" s="46"/>
    </row>
    <row r="270" spans="1:22" ht="25.15" customHeight="1" x14ac:dyDescent="0.25">
      <c r="A270" s="17"/>
      <c r="G270"/>
      <c r="H270"/>
      <c r="J270"/>
      <c r="K270"/>
      <c r="L270"/>
      <c r="M270"/>
      <c r="N270"/>
      <c r="P270"/>
      <c r="Q270"/>
      <c r="R270"/>
      <c r="S270"/>
      <c r="T270"/>
      <c r="U270" s="46"/>
      <c r="V270" s="46"/>
    </row>
    <row r="271" spans="1:22" ht="25.15" customHeight="1" x14ac:dyDescent="0.25">
      <c r="A271" s="17"/>
      <c r="G271"/>
      <c r="H271"/>
      <c r="J271"/>
      <c r="K271"/>
      <c r="L271"/>
      <c r="M271"/>
      <c r="N271"/>
      <c r="P271"/>
      <c r="Q271"/>
      <c r="R271"/>
      <c r="S271"/>
      <c r="T271"/>
      <c r="U271" s="46"/>
      <c r="V271" s="46"/>
    </row>
    <row r="272" spans="1:22" ht="25.15" customHeight="1" x14ac:dyDescent="0.25">
      <c r="A272" s="17"/>
      <c r="G272"/>
      <c r="H272"/>
      <c r="J272"/>
      <c r="K272"/>
      <c r="L272"/>
      <c r="M272"/>
      <c r="N272"/>
      <c r="P272"/>
      <c r="Q272"/>
      <c r="R272"/>
      <c r="S272"/>
      <c r="T272"/>
      <c r="U272" s="46"/>
      <c r="V272" s="46"/>
    </row>
    <row r="273" spans="1:22" ht="25.15" customHeight="1" x14ac:dyDescent="0.25">
      <c r="A273" s="17"/>
      <c r="G273"/>
      <c r="H273"/>
      <c r="J273"/>
      <c r="K273"/>
      <c r="L273"/>
      <c r="M273"/>
      <c r="N273"/>
      <c r="P273"/>
      <c r="Q273"/>
      <c r="R273"/>
      <c r="S273"/>
      <c r="T273"/>
      <c r="U273" s="46"/>
      <c r="V273" s="46"/>
    </row>
    <row r="274" spans="1:22" ht="25.15" customHeight="1" x14ac:dyDescent="0.25">
      <c r="A274" s="17"/>
      <c r="G274"/>
      <c r="H274"/>
      <c r="J274"/>
      <c r="K274"/>
      <c r="L274"/>
      <c r="M274"/>
      <c r="N274"/>
      <c r="P274"/>
      <c r="Q274"/>
      <c r="R274"/>
      <c r="S274"/>
      <c r="T274"/>
      <c r="U274" s="46"/>
      <c r="V274" s="46"/>
    </row>
    <row r="275" spans="1:22" ht="25.15" customHeight="1" x14ac:dyDescent="0.25">
      <c r="A275" s="17"/>
      <c r="G275"/>
      <c r="H275"/>
      <c r="J275"/>
      <c r="K275"/>
      <c r="L275"/>
      <c r="M275"/>
      <c r="N275"/>
      <c r="P275"/>
      <c r="Q275"/>
      <c r="R275"/>
      <c r="S275"/>
      <c r="T275"/>
      <c r="U275" s="46"/>
      <c r="V275" s="46"/>
    </row>
    <row r="276" spans="1:22" ht="25.15" customHeight="1" x14ac:dyDescent="0.25">
      <c r="A276" s="17"/>
      <c r="G276"/>
      <c r="H276"/>
      <c r="J276"/>
      <c r="K276"/>
      <c r="L276"/>
      <c r="M276"/>
      <c r="N276"/>
      <c r="P276"/>
      <c r="Q276"/>
      <c r="R276"/>
      <c r="S276"/>
      <c r="T276"/>
      <c r="U276" s="46"/>
      <c r="V276" s="46"/>
    </row>
    <row r="277" spans="1:22" ht="25.15" customHeight="1" x14ac:dyDescent="0.25">
      <c r="A277" s="17"/>
      <c r="G277"/>
      <c r="H277"/>
      <c r="J277"/>
      <c r="K277"/>
      <c r="L277"/>
      <c r="M277"/>
      <c r="N277"/>
      <c r="P277"/>
      <c r="Q277"/>
      <c r="R277"/>
      <c r="S277"/>
      <c r="T277"/>
      <c r="U277" s="46"/>
      <c r="V277" s="46"/>
    </row>
    <row r="278" spans="1:22" ht="25.15" customHeight="1" x14ac:dyDescent="0.25">
      <c r="A278" s="17"/>
      <c r="G278"/>
      <c r="H278"/>
      <c r="J278"/>
      <c r="K278"/>
      <c r="L278"/>
      <c r="M278"/>
      <c r="N278"/>
      <c r="P278"/>
      <c r="Q278"/>
      <c r="R278"/>
      <c r="S278"/>
      <c r="T278"/>
      <c r="U278" s="46"/>
      <c r="V278" s="46"/>
    </row>
    <row r="279" spans="1:22" ht="25.15" customHeight="1" x14ac:dyDescent="0.25">
      <c r="A279" s="17"/>
      <c r="G279"/>
      <c r="H279"/>
      <c r="J279"/>
      <c r="K279"/>
      <c r="L279"/>
      <c r="M279"/>
      <c r="N279"/>
      <c r="P279"/>
      <c r="Q279"/>
      <c r="R279"/>
      <c r="S279"/>
      <c r="T279"/>
      <c r="U279" s="46"/>
      <c r="V279" s="46"/>
    </row>
    <row r="280" spans="1:22" ht="25.15" customHeight="1" x14ac:dyDescent="0.25">
      <c r="A280" s="17"/>
      <c r="G280"/>
      <c r="H280"/>
      <c r="J280"/>
      <c r="K280"/>
      <c r="L280"/>
      <c r="M280"/>
      <c r="N280"/>
      <c r="P280"/>
      <c r="Q280"/>
      <c r="R280"/>
      <c r="S280"/>
      <c r="T280"/>
      <c r="U280" s="46"/>
      <c r="V280" s="46"/>
    </row>
    <row r="281" spans="1:22" ht="25.15" customHeight="1" x14ac:dyDescent="0.25">
      <c r="A281" s="17"/>
      <c r="G281"/>
      <c r="H281"/>
      <c r="J281"/>
      <c r="K281"/>
      <c r="L281"/>
      <c r="M281"/>
      <c r="N281"/>
      <c r="P281"/>
      <c r="Q281"/>
      <c r="R281"/>
      <c r="S281"/>
      <c r="T281"/>
      <c r="U281" s="46"/>
      <c r="V281" s="46"/>
    </row>
    <row r="282" spans="1:22" ht="25.15" customHeight="1" x14ac:dyDescent="0.25">
      <c r="A282" s="17"/>
      <c r="G282"/>
      <c r="H282"/>
      <c r="J282"/>
      <c r="K282"/>
      <c r="L282"/>
      <c r="M282"/>
      <c r="N282"/>
      <c r="P282"/>
      <c r="Q282"/>
      <c r="R282"/>
      <c r="S282"/>
      <c r="T282"/>
      <c r="U282" s="46"/>
      <c r="V282" s="46"/>
    </row>
    <row r="283" spans="1:22" ht="25.15" customHeight="1" x14ac:dyDescent="0.25">
      <c r="A283" s="17"/>
      <c r="G283"/>
      <c r="H283"/>
      <c r="J283"/>
      <c r="K283"/>
      <c r="L283"/>
      <c r="M283"/>
      <c r="N283"/>
      <c r="P283"/>
      <c r="Q283"/>
      <c r="R283"/>
      <c r="S283"/>
      <c r="T283"/>
      <c r="U283" s="46"/>
      <c r="V283" s="46"/>
    </row>
    <row r="284" spans="1:22" ht="25.15" customHeight="1" x14ac:dyDescent="0.25">
      <c r="A284" s="17"/>
      <c r="G284"/>
      <c r="H284"/>
      <c r="J284"/>
      <c r="K284"/>
      <c r="L284"/>
      <c r="M284"/>
      <c r="N284"/>
      <c r="P284"/>
      <c r="Q284"/>
      <c r="R284"/>
      <c r="S284"/>
      <c r="T284"/>
      <c r="U284" s="46"/>
      <c r="V284" s="46"/>
    </row>
    <row r="285" spans="1:22" ht="25.15" customHeight="1" x14ac:dyDescent="0.25">
      <c r="A285" s="17"/>
      <c r="G285"/>
      <c r="H285"/>
      <c r="J285"/>
      <c r="K285"/>
      <c r="L285"/>
      <c r="M285"/>
      <c r="N285"/>
      <c r="P285"/>
      <c r="Q285"/>
      <c r="R285"/>
      <c r="S285"/>
      <c r="T285"/>
      <c r="U285" s="46"/>
      <c r="V285" s="46"/>
    </row>
    <row r="286" spans="1:22" ht="25.15" customHeight="1" x14ac:dyDescent="0.25">
      <c r="A286" s="17"/>
      <c r="G286"/>
      <c r="H286"/>
      <c r="J286"/>
      <c r="K286"/>
      <c r="L286"/>
      <c r="M286"/>
      <c r="N286"/>
      <c r="P286"/>
      <c r="Q286"/>
      <c r="R286"/>
      <c r="S286"/>
      <c r="T286"/>
      <c r="U286" s="46"/>
      <c r="V286" s="46"/>
    </row>
    <row r="287" spans="1:22" ht="25.15" customHeight="1" x14ac:dyDescent="0.25">
      <c r="A287" s="17"/>
      <c r="G287"/>
      <c r="H287"/>
      <c r="J287"/>
      <c r="K287"/>
      <c r="L287"/>
      <c r="M287"/>
      <c r="N287"/>
      <c r="P287"/>
      <c r="Q287"/>
      <c r="R287"/>
      <c r="S287"/>
      <c r="T287"/>
      <c r="U287" s="46"/>
      <c r="V287" s="46"/>
    </row>
    <row r="288" spans="1:22" ht="25.15" customHeight="1" x14ac:dyDescent="0.25">
      <c r="A288" s="17"/>
      <c r="G288"/>
      <c r="H288"/>
      <c r="J288"/>
      <c r="K288"/>
      <c r="L288"/>
      <c r="M288"/>
      <c r="N288"/>
      <c r="P288"/>
      <c r="Q288"/>
      <c r="R288"/>
      <c r="S288"/>
      <c r="T288"/>
      <c r="U288" s="46"/>
      <c r="V288" s="46"/>
    </row>
    <row r="289" spans="1:22" ht="25.15" customHeight="1" x14ac:dyDescent="0.25">
      <c r="A289" s="17"/>
      <c r="G289"/>
      <c r="H289"/>
      <c r="J289"/>
      <c r="K289"/>
      <c r="L289"/>
      <c r="M289"/>
      <c r="N289"/>
      <c r="P289"/>
      <c r="Q289"/>
      <c r="R289"/>
      <c r="S289"/>
      <c r="T289"/>
      <c r="U289" s="46"/>
      <c r="V289" s="46"/>
    </row>
    <row r="290" spans="1:22" ht="25.15" customHeight="1" x14ac:dyDescent="0.25">
      <c r="A290" s="17"/>
      <c r="G290"/>
      <c r="H290"/>
      <c r="J290"/>
      <c r="K290"/>
      <c r="L290"/>
      <c r="M290"/>
      <c r="N290"/>
      <c r="P290"/>
      <c r="Q290"/>
      <c r="R290"/>
      <c r="S290"/>
      <c r="T290"/>
      <c r="U290" s="46"/>
      <c r="V290" s="46"/>
    </row>
    <row r="291" spans="1:22" ht="25.15" customHeight="1" x14ac:dyDescent="0.25">
      <c r="A291" s="17"/>
      <c r="G291"/>
      <c r="H291"/>
      <c r="J291"/>
      <c r="K291"/>
      <c r="L291"/>
      <c r="M291"/>
      <c r="N291"/>
      <c r="P291"/>
      <c r="Q291"/>
      <c r="R291"/>
      <c r="S291"/>
      <c r="T291"/>
      <c r="U291" s="46"/>
      <c r="V291" s="46"/>
    </row>
    <row r="292" spans="1:22" ht="25.15" customHeight="1" x14ac:dyDescent="0.25">
      <c r="A292" s="17"/>
      <c r="G292"/>
      <c r="H292"/>
      <c r="J292"/>
      <c r="K292"/>
      <c r="L292"/>
      <c r="M292"/>
      <c r="N292"/>
      <c r="P292"/>
      <c r="Q292"/>
      <c r="R292"/>
      <c r="S292"/>
      <c r="T292"/>
      <c r="U292" s="46"/>
      <c r="V292" s="46"/>
    </row>
    <row r="293" spans="1:22" ht="25.15" customHeight="1" x14ac:dyDescent="0.25">
      <c r="A293" s="17"/>
      <c r="G293"/>
      <c r="H293"/>
      <c r="J293"/>
      <c r="K293"/>
      <c r="L293"/>
      <c r="M293"/>
      <c r="N293"/>
      <c r="P293"/>
      <c r="Q293"/>
      <c r="R293"/>
      <c r="S293"/>
      <c r="T293"/>
      <c r="U293" s="46"/>
      <c r="V293" s="46"/>
    </row>
    <row r="294" spans="1:22" ht="25.15" customHeight="1" x14ac:dyDescent="0.25">
      <c r="A294" s="17"/>
      <c r="G294"/>
      <c r="H294"/>
      <c r="J294"/>
      <c r="K294"/>
      <c r="L294"/>
      <c r="M294"/>
      <c r="N294"/>
      <c r="P294"/>
      <c r="Q294"/>
      <c r="R294"/>
      <c r="S294"/>
      <c r="T294"/>
      <c r="U294" s="46"/>
      <c r="V294" s="46"/>
    </row>
    <row r="295" spans="1:22" ht="25.15" customHeight="1" x14ac:dyDescent="0.25">
      <c r="A295" s="17"/>
      <c r="G295"/>
      <c r="H295"/>
      <c r="J295"/>
      <c r="K295"/>
      <c r="L295"/>
      <c r="M295"/>
      <c r="N295"/>
      <c r="P295"/>
      <c r="Q295"/>
      <c r="R295"/>
      <c r="S295"/>
      <c r="T295"/>
      <c r="U295" s="46"/>
      <c r="V295" s="46"/>
    </row>
    <row r="296" spans="1:22" ht="25.15" customHeight="1" x14ac:dyDescent="0.25">
      <c r="A296" s="17"/>
      <c r="G296"/>
      <c r="H296"/>
      <c r="J296"/>
      <c r="K296"/>
      <c r="L296"/>
      <c r="M296"/>
      <c r="N296"/>
      <c r="P296"/>
      <c r="Q296"/>
      <c r="R296"/>
      <c r="S296"/>
      <c r="T296"/>
      <c r="U296" s="46"/>
      <c r="V296" s="46"/>
    </row>
    <row r="297" spans="1:22" ht="25.15" customHeight="1" x14ac:dyDescent="0.25">
      <c r="A297" s="17"/>
      <c r="G297"/>
      <c r="H297"/>
      <c r="J297"/>
      <c r="K297"/>
      <c r="L297"/>
      <c r="M297"/>
      <c r="N297"/>
      <c r="P297"/>
      <c r="Q297"/>
      <c r="R297"/>
      <c r="S297"/>
      <c r="T297"/>
      <c r="U297" s="46"/>
      <c r="V297" s="46"/>
    </row>
    <row r="298" spans="1:22" ht="25.15" customHeight="1" x14ac:dyDescent="0.25">
      <c r="A298" s="17"/>
      <c r="G298"/>
      <c r="H298"/>
      <c r="J298"/>
      <c r="K298"/>
      <c r="L298"/>
      <c r="M298"/>
      <c r="N298"/>
      <c r="P298"/>
      <c r="Q298"/>
      <c r="R298"/>
      <c r="S298"/>
      <c r="T298"/>
      <c r="U298" s="46"/>
      <c r="V298" s="46"/>
    </row>
    <row r="299" spans="1:22" ht="25.15" customHeight="1" x14ac:dyDescent="0.25">
      <c r="A299" s="17"/>
      <c r="G299"/>
      <c r="H299"/>
      <c r="J299"/>
      <c r="K299"/>
      <c r="L299"/>
      <c r="M299"/>
      <c r="N299"/>
      <c r="P299"/>
      <c r="Q299"/>
      <c r="R299"/>
      <c r="S299"/>
      <c r="T299"/>
      <c r="U299" s="46"/>
      <c r="V299" s="46"/>
    </row>
    <row r="300" spans="1:22" ht="25.15" customHeight="1" x14ac:dyDescent="0.25">
      <c r="A300" s="17"/>
      <c r="G300"/>
      <c r="H300"/>
      <c r="J300"/>
      <c r="K300"/>
      <c r="L300"/>
      <c r="M300"/>
      <c r="N300"/>
      <c r="P300"/>
      <c r="Q300"/>
      <c r="R300"/>
      <c r="S300"/>
      <c r="T300"/>
      <c r="U300" s="46"/>
      <c r="V300" s="46"/>
    </row>
    <row r="301" spans="1:22" ht="25.15" customHeight="1" x14ac:dyDescent="0.25">
      <c r="A301" s="17"/>
      <c r="G301"/>
      <c r="H301"/>
      <c r="J301"/>
      <c r="K301"/>
      <c r="L301"/>
      <c r="M301"/>
      <c r="N301"/>
      <c r="P301"/>
      <c r="Q301"/>
      <c r="R301"/>
      <c r="S301"/>
      <c r="T301"/>
      <c r="U301" s="46"/>
      <c r="V301" s="46"/>
    </row>
    <row r="302" spans="1:22" ht="25.15" customHeight="1" x14ac:dyDescent="0.25">
      <c r="A302" s="17"/>
      <c r="G302"/>
      <c r="H302"/>
      <c r="J302"/>
      <c r="K302"/>
      <c r="L302"/>
      <c r="M302"/>
      <c r="N302"/>
      <c r="P302"/>
      <c r="Q302"/>
      <c r="R302"/>
      <c r="S302"/>
      <c r="T302"/>
      <c r="U302" s="46"/>
      <c r="V302" s="46"/>
    </row>
    <row r="303" spans="1:22" ht="25.15" customHeight="1" x14ac:dyDescent="0.25">
      <c r="A303" s="17"/>
      <c r="G303"/>
      <c r="H303"/>
      <c r="J303"/>
      <c r="K303"/>
      <c r="L303"/>
      <c r="M303"/>
      <c r="N303"/>
      <c r="P303"/>
      <c r="Q303"/>
      <c r="R303"/>
      <c r="S303"/>
      <c r="T303"/>
      <c r="U303" s="46"/>
      <c r="V303" s="46"/>
    </row>
    <row r="304" spans="1:22" ht="25.15" customHeight="1" x14ac:dyDescent="0.25">
      <c r="A304" s="17"/>
      <c r="G304"/>
      <c r="H304"/>
      <c r="J304"/>
      <c r="K304"/>
      <c r="L304"/>
      <c r="M304"/>
      <c r="N304"/>
      <c r="P304"/>
      <c r="Q304"/>
      <c r="R304"/>
      <c r="S304"/>
      <c r="T304"/>
      <c r="U304" s="46"/>
      <c r="V304" s="46"/>
    </row>
    <row r="305" spans="1:22" ht="25.15" customHeight="1" x14ac:dyDescent="0.25">
      <c r="A305" s="17"/>
      <c r="G305"/>
      <c r="H305"/>
      <c r="J305"/>
      <c r="K305"/>
      <c r="L305"/>
      <c r="M305"/>
      <c r="N305"/>
      <c r="P305"/>
      <c r="Q305"/>
      <c r="R305"/>
      <c r="S305"/>
      <c r="T305"/>
      <c r="U305" s="46"/>
      <c r="V305" s="46"/>
    </row>
    <row r="306" spans="1:22" ht="25.15" customHeight="1" x14ac:dyDescent="0.25">
      <c r="A306" s="17"/>
      <c r="G306"/>
      <c r="H306"/>
      <c r="J306"/>
      <c r="K306"/>
      <c r="L306"/>
      <c r="M306"/>
      <c r="N306"/>
      <c r="P306"/>
      <c r="Q306"/>
      <c r="R306"/>
      <c r="S306"/>
      <c r="T306"/>
      <c r="U306" s="46"/>
      <c r="V306" s="46"/>
    </row>
    <row r="307" spans="1:22" ht="25.15" customHeight="1" x14ac:dyDescent="0.25">
      <c r="A307" s="17"/>
      <c r="G307"/>
      <c r="H307"/>
      <c r="J307"/>
      <c r="K307"/>
      <c r="L307"/>
      <c r="M307"/>
      <c r="N307"/>
      <c r="P307"/>
      <c r="Q307"/>
      <c r="R307"/>
      <c r="S307"/>
      <c r="T307"/>
      <c r="U307" s="46"/>
      <c r="V307" s="46"/>
    </row>
    <row r="308" spans="1:22" ht="25.15" customHeight="1" x14ac:dyDescent="0.25">
      <c r="A308" s="17"/>
      <c r="G308"/>
      <c r="H308"/>
      <c r="J308"/>
      <c r="K308"/>
      <c r="L308"/>
      <c r="M308"/>
      <c r="N308"/>
      <c r="P308"/>
      <c r="Q308"/>
      <c r="R308"/>
      <c r="S308"/>
      <c r="T308"/>
      <c r="U308" s="46"/>
      <c r="V308" s="46"/>
    </row>
    <row r="309" spans="1:22" ht="25.15" customHeight="1" x14ac:dyDescent="0.25">
      <c r="A309" s="17"/>
      <c r="G309"/>
      <c r="H309"/>
      <c r="J309"/>
      <c r="K309"/>
      <c r="L309"/>
      <c r="M309"/>
      <c r="N309"/>
      <c r="P309"/>
      <c r="Q309"/>
      <c r="R309"/>
      <c r="S309"/>
      <c r="T309"/>
      <c r="U309" s="46"/>
      <c r="V309" s="46"/>
    </row>
    <row r="310" spans="1:22" ht="25.15" customHeight="1" x14ac:dyDescent="0.25">
      <c r="A310" s="17"/>
      <c r="G310"/>
      <c r="H310"/>
      <c r="J310"/>
      <c r="K310"/>
      <c r="L310"/>
      <c r="M310"/>
      <c r="N310"/>
      <c r="P310"/>
      <c r="Q310"/>
      <c r="R310"/>
      <c r="S310"/>
      <c r="T310"/>
      <c r="U310" s="46"/>
      <c r="V310" s="46"/>
    </row>
    <row r="311" spans="1:22" ht="25.15" customHeight="1" x14ac:dyDescent="0.25">
      <c r="A311" s="17"/>
      <c r="G311"/>
      <c r="H311"/>
      <c r="J311"/>
      <c r="K311"/>
      <c r="L311"/>
      <c r="M311"/>
      <c r="N311"/>
      <c r="P311"/>
      <c r="Q311"/>
      <c r="R311"/>
      <c r="S311"/>
      <c r="T311"/>
      <c r="U311" s="46"/>
      <c r="V311" s="46"/>
    </row>
    <row r="312" spans="1:22" ht="25.15" customHeight="1" x14ac:dyDescent="0.25">
      <c r="A312" s="17"/>
      <c r="G312"/>
      <c r="H312"/>
      <c r="J312"/>
      <c r="K312"/>
      <c r="L312"/>
      <c r="M312"/>
      <c r="N312"/>
      <c r="P312"/>
      <c r="Q312"/>
      <c r="R312"/>
      <c r="S312"/>
      <c r="T312"/>
      <c r="U312" s="46"/>
      <c r="V312" s="46"/>
    </row>
    <row r="313" spans="1:22" ht="25.15" customHeight="1" x14ac:dyDescent="0.25">
      <c r="A313" s="17"/>
      <c r="G313"/>
      <c r="H313"/>
      <c r="J313"/>
      <c r="K313"/>
      <c r="L313"/>
      <c r="M313"/>
      <c r="N313"/>
      <c r="P313"/>
      <c r="Q313"/>
      <c r="R313"/>
      <c r="S313"/>
      <c r="T313"/>
      <c r="U313" s="46"/>
      <c r="V313" s="46"/>
    </row>
    <row r="314" spans="1:22" ht="25.15" customHeight="1" x14ac:dyDescent="0.25">
      <c r="A314" s="17"/>
      <c r="G314"/>
      <c r="H314"/>
      <c r="J314"/>
      <c r="K314"/>
      <c r="L314"/>
      <c r="M314"/>
      <c r="N314"/>
      <c r="P314"/>
      <c r="Q314"/>
      <c r="R314"/>
      <c r="S314"/>
      <c r="T314"/>
      <c r="U314" s="46"/>
      <c r="V314" s="46"/>
    </row>
    <row r="315" spans="1:22" ht="25.15" customHeight="1" x14ac:dyDescent="0.25">
      <c r="A315" s="17"/>
      <c r="G315"/>
      <c r="H315"/>
      <c r="J315"/>
      <c r="K315"/>
      <c r="L315"/>
      <c r="M315"/>
      <c r="N315"/>
      <c r="P315"/>
      <c r="Q315"/>
      <c r="R315"/>
      <c r="S315"/>
      <c r="T315"/>
      <c r="U315" s="46"/>
      <c r="V315" s="46"/>
    </row>
    <row r="316" spans="1:22" ht="25.15" customHeight="1" x14ac:dyDescent="0.25">
      <c r="A316" s="17"/>
      <c r="G316"/>
      <c r="H316"/>
      <c r="J316"/>
      <c r="K316"/>
      <c r="L316"/>
      <c r="M316"/>
      <c r="N316"/>
      <c r="P316"/>
      <c r="Q316"/>
      <c r="R316"/>
      <c r="S316"/>
      <c r="T316"/>
      <c r="U316" s="46"/>
      <c r="V316" s="46"/>
    </row>
    <row r="317" spans="1:22" ht="25.15" customHeight="1" x14ac:dyDescent="0.25">
      <c r="A317" s="17"/>
      <c r="G317"/>
      <c r="H317"/>
      <c r="J317"/>
      <c r="K317"/>
      <c r="L317"/>
      <c r="M317"/>
      <c r="N317"/>
      <c r="P317"/>
      <c r="Q317"/>
      <c r="R317"/>
      <c r="S317"/>
      <c r="T317"/>
      <c r="U317" s="46"/>
      <c r="V317" s="46"/>
    </row>
    <row r="318" spans="1:22" ht="25.15" customHeight="1" x14ac:dyDescent="0.25">
      <c r="A318" s="17"/>
      <c r="G318"/>
      <c r="H318"/>
      <c r="J318"/>
      <c r="K318"/>
      <c r="L318"/>
      <c r="M318"/>
      <c r="N318"/>
      <c r="P318"/>
      <c r="Q318"/>
      <c r="R318"/>
      <c r="S318"/>
      <c r="T318"/>
      <c r="U318" s="46"/>
      <c r="V318" s="46"/>
    </row>
    <row r="319" spans="1:22" ht="25.15" customHeight="1" x14ac:dyDescent="0.25">
      <c r="A319" s="17"/>
      <c r="G319"/>
      <c r="H319"/>
      <c r="J319"/>
      <c r="K319"/>
      <c r="L319"/>
      <c r="M319"/>
      <c r="N319"/>
      <c r="P319"/>
      <c r="Q319"/>
      <c r="R319"/>
      <c r="S319"/>
      <c r="T319"/>
      <c r="U319" s="46"/>
      <c r="V319" s="46"/>
    </row>
    <row r="320" spans="1:22" ht="25.15" customHeight="1" x14ac:dyDescent="0.25">
      <c r="A320" s="17"/>
      <c r="G320"/>
      <c r="H320"/>
      <c r="J320"/>
      <c r="K320"/>
      <c r="L320"/>
      <c r="M320"/>
      <c r="N320"/>
      <c r="P320"/>
      <c r="Q320"/>
      <c r="R320"/>
      <c r="S320"/>
      <c r="T320"/>
      <c r="U320" s="46"/>
      <c r="V320" s="46"/>
    </row>
    <row r="321" spans="1:22" ht="25.15" customHeight="1" x14ac:dyDescent="0.25">
      <c r="A321" s="17"/>
      <c r="G321"/>
      <c r="H321"/>
      <c r="J321"/>
      <c r="K321"/>
      <c r="L321"/>
      <c r="M321"/>
      <c r="N321"/>
      <c r="P321"/>
      <c r="Q321"/>
      <c r="R321"/>
      <c r="S321"/>
      <c r="T321"/>
      <c r="U321" s="46"/>
      <c r="V321" s="46"/>
    </row>
    <row r="322" spans="1:22" ht="25.15" customHeight="1" x14ac:dyDescent="0.25">
      <c r="A322" s="17"/>
      <c r="G322"/>
      <c r="H322"/>
      <c r="J322"/>
      <c r="K322"/>
      <c r="L322"/>
      <c r="M322"/>
      <c r="N322"/>
      <c r="P322"/>
      <c r="Q322"/>
      <c r="R322"/>
      <c r="S322"/>
      <c r="T322"/>
      <c r="U322" s="46"/>
      <c r="V322" s="46"/>
    </row>
    <row r="323" spans="1:22" ht="25.15" customHeight="1" x14ac:dyDescent="0.25">
      <c r="A323" s="17"/>
      <c r="G323"/>
      <c r="H323"/>
      <c r="J323"/>
      <c r="K323"/>
      <c r="L323"/>
      <c r="M323"/>
      <c r="N323"/>
      <c r="P323"/>
      <c r="Q323"/>
      <c r="R323"/>
      <c r="S323"/>
      <c r="T323"/>
      <c r="U323" s="46"/>
      <c r="V323" s="46"/>
    </row>
    <row r="324" spans="1:22" ht="25.15" customHeight="1" x14ac:dyDescent="0.25">
      <c r="A324" s="17"/>
      <c r="G324"/>
      <c r="H324"/>
      <c r="J324"/>
      <c r="K324"/>
      <c r="L324"/>
      <c r="M324"/>
      <c r="N324"/>
      <c r="P324"/>
      <c r="Q324"/>
      <c r="R324"/>
      <c r="S324"/>
      <c r="T324"/>
      <c r="U324" s="46"/>
      <c r="V324" s="46"/>
    </row>
    <row r="325" spans="1:22" ht="25.15" customHeight="1" x14ac:dyDescent="0.25">
      <c r="A325" s="17"/>
      <c r="G325"/>
      <c r="H325"/>
      <c r="J325"/>
      <c r="K325"/>
      <c r="L325"/>
      <c r="M325"/>
      <c r="N325"/>
      <c r="P325"/>
      <c r="Q325"/>
      <c r="R325"/>
      <c r="S325"/>
      <c r="T325"/>
      <c r="U325" s="46"/>
      <c r="V325" s="46"/>
    </row>
    <row r="326" spans="1:22" ht="25.15" customHeight="1" x14ac:dyDescent="0.25">
      <c r="A326" s="17"/>
      <c r="G326"/>
      <c r="H326"/>
      <c r="J326"/>
      <c r="K326"/>
      <c r="L326"/>
      <c r="M326"/>
      <c r="N326"/>
      <c r="P326"/>
      <c r="Q326"/>
      <c r="R326"/>
      <c r="S326"/>
      <c r="T326"/>
      <c r="U326" s="46"/>
      <c r="V326" s="46"/>
    </row>
    <row r="327" spans="1:22" ht="25.15" customHeight="1" x14ac:dyDescent="0.25">
      <c r="A327" s="17"/>
      <c r="G327"/>
      <c r="H327"/>
      <c r="J327"/>
      <c r="K327"/>
      <c r="L327"/>
      <c r="M327"/>
      <c r="N327"/>
      <c r="P327"/>
      <c r="Q327"/>
      <c r="R327"/>
      <c r="S327"/>
      <c r="T327"/>
      <c r="U327" s="46"/>
      <c r="V327" s="46"/>
    </row>
    <row r="328" spans="1:22" ht="25.15" customHeight="1" x14ac:dyDescent="0.25">
      <c r="A328" s="17"/>
      <c r="G328"/>
      <c r="H328"/>
      <c r="J328"/>
      <c r="K328"/>
      <c r="L328"/>
      <c r="M328"/>
      <c r="N328"/>
      <c r="P328"/>
      <c r="Q328"/>
      <c r="R328"/>
      <c r="S328"/>
      <c r="T328"/>
      <c r="U328" s="46"/>
      <c r="V328" s="46"/>
    </row>
    <row r="329" spans="1:22" ht="25.15" customHeight="1" x14ac:dyDescent="0.25">
      <c r="A329" s="17"/>
      <c r="G329"/>
      <c r="H329"/>
      <c r="J329"/>
      <c r="K329"/>
      <c r="L329"/>
      <c r="M329"/>
      <c r="N329"/>
      <c r="P329"/>
      <c r="Q329"/>
      <c r="R329"/>
      <c r="S329"/>
      <c r="T329"/>
      <c r="U329" s="46"/>
      <c r="V329" s="46"/>
    </row>
    <row r="330" spans="1:22" ht="25.15" customHeight="1" x14ac:dyDescent="0.25">
      <c r="A330" s="17"/>
      <c r="G330"/>
      <c r="H330"/>
      <c r="J330"/>
      <c r="K330"/>
      <c r="L330"/>
      <c r="M330"/>
      <c r="N330"/>
      <c r="P330"/>
      <c r="Q330"/>
      <c r="R330"/>
      <c r="S330"/>
      <c r="T330"/>
      <c r="U330" s="46"/>
      <c r="V330" s="46"/>
    </row>
    <row r="331" spans="1:22" ht="25.15" customHeight="1" x14ac:dyDescent="0.25">
      <c r="A331" s="17"/>
      <c r="G331"/>
      <c r="H331"/>
      <c r="J331"/>
      <c r="K331"/>
      <c r="L331"/>
      <c r="M331"/>
      <c r="N331"/>
      <c r="P331"/>
      <c r="Q331"/>
      <c r="R331"/>
      <c r="S331"/>
      <c r="T331"/>
      <c r="U331" s="46"/>
      <c r="V331" s="46"/>
    </row>
    <row r="332" spans="1:22" ht="25.15" customHeight="1" x14ac:dyDescent="0.25">
      <c r="A332" s="17"/>
      <c r="G332"/>
      <c r="H332"/>
      <c r="J332"/>
      <c r="K332"/>
      <c r="L332"/>
      <c r="M332"/>
      <c r="N332"/>
      <c r="P332"/>
      <c r="Q332"/>
      <c r="R332"/>
      <c r="S332"/>
      <c r="T332"/>
      <c r="U332" s="46"/>
      <c r="V332" s="46"/>
    </row>
    <row r="333" spans="1:22" ht="25.15" customHeight="1" x14ac:dyDescent="0.25">
      <c r="A333" s="17"/>
      <c r="G333"/>
      <c r="H333"/>
      <c r="J333"/>
      <c r="K333"/>
      <c r="L333"/>
      <c r="M333"/>
      <c r="N333"/>
      <c r="P333"/>
      <c r="Q333"/>
      <c r="R333"/>
      <c r="S333"/>
      <c r="T333"/>
      <c r="U333" s="46"/>
      <c r="V333" s="46"/>
    </row>
    <row r="334" spans="1:22" ht="25.15" customHeight="1" x14ac:dyDescent="0.25">
      <c r="A334" s="17"/>
      <c r="G334"/>
      <c r="H334"/>
      <c r="J334"/>
      <c r="K334"/>
      <c r="L334"/>
      <c r="M334"/>
      <c r="N334"/>
      <c r="P334"/>
      <c r="Q334"/>
      <c r="R334"/>
      <c r="S334"/>
      <c r="T334"/>
      <c r="U334" s="46"/>
      <c r="V334" s="46"/>
    </row>
    <row r="335" spans="1:22" ht="25.15" customHeight="1" x14ac:dyDescent="0.25">
      <c r="A335" s="17"/>
      <c r="G335"/>
      <c r="H335"/>
      <c r="J335"/>
      <c r="K335"/>
      <c r="L335"/>
      <c r="M335"/>
      <c r="N335"/>
      <c r="P335"/>
      <c r="Q335"/>
      <c r="R335"/>
      <c r="S335"/>
      <c r="T335"/>
      <c r="U335" s="46"/>
      <c r="V335" s="46"/>
    </row>
    <row r="336" spans="1:22" ht="25.15" customHeight="1" x14ac:dyDescent="0.25">
      <c r="A336" s="17"/>
      <c r="G336"/>
      <c r="H336"/>
      <c r="J336"/>
      <c r="K336"/>
      <c r="L336"/>
      <c r="M336"/>
      <c r="N336"/>
      <c r="P336"/>
      <c r="Q336"/>
      <c r="R336"/>
      <c r="S336"/>
      <c r="T336"/>
      <c r="U336" s="46"/>
      <c r="V336" s="46"/>
    </row>
    <row r="337" spans="1:22" ht="25.15" customHeight="1" x14ac:dyDescent="0.25">
      <c r="A337" s="17"/>
      <c r="G337"/>
      <c r="H337"/>
      <c r="J337"/>
      <c r="K337"/>
      <c r="L337"/>
      <c r="M337"/>
      <c r="N337"/>
      <c r="P337"/>
      <c r="Q337"/>
      <c r="R337"/>
      <c r="S337"/>
      <c r="T337"/>
      <c r="U337" s="46"/>
      <c r="V337" s="46"/>
    </row>
    <row r="338" spans="1:22" ht="25.15" customHeight="1" x14ac:dyDescent="0.25">
      <c r="A338" s="17"/>
      <c r="G338"/>
      <c r="H338"/>
      <c r="J338"/>
      <c r="K338"/>
      <c r="L338"/>
      <c r="M338"/>
      <c r="N338"/>
      <c r="P338"/>
      <c r="Q338"/>
      <c r="R338"/>
      <c r="S338"/>
      <c r="T338"/>
      <c r="U338" s="46"/>
      <c r="V338" s="46"/>
    </row>
    <row r="339" spans="1:22" ht="25.15" customHeight="1" x14ac:dyDescent="0.25">
      <c r="A339" s="17"/>
      <c r="G339"/>
      <c r="H339"/>
      <c r="J339"/>
      <c r="K339"/>
      <c r="L339"/>
      <c r="M339"/>
      <c r="N339"/>
      <c r="P339"/>
      <c r="Q339"/>
      <c r="R339"/>
      <c r="S339"/>
      <c r="T339"/>
      <c r="U339" s="46"/>
      <c r="V339" s="46"/>
    </row>
    <row r="340" spans="1:22" ht="25.15" customHeight="1" x14ac:dyDescent="0.25">
      <c r="A340" s="17"/>
      <c r="G340"/>
      <c r="H340"/>
      <c r="J340"/>
      <c r="K340"/>
      <c r="L340"/>
      <c r="M340"/>
      <c r="N340"/>
      <c r="P340"/>
      <c r="Q340"/>
      <c r="R340"/>
      <c r="S340"/>
      <c r="T340"/>
      <c r="U340" s="46"/>
      <c r="V340" s="46"/>
    </row>
    <row r="341" spans="1:22" ht="25.15" customHeight="1" x14ac:dyDescent="0.25">
      <c r="A341" s="17"/>
      <c r="G341"/>
      <c r="H341"/>
      <c r="J341"/>
      <c r="K341"/>
      <c r="L341"/>
      <c r="M341"/>
      <c r="N341"/>
      <c r="P341"/>
      <c r="Q341"/>
      <c r="R341"/>
      <c r="S341"/>
      <c r="T341"/>
      <c r="U341" s="46"/>
      <c r="V341" s="46"/>
    </row>
    <row r="342" spans="1:22" ht="25.15" customHeight="1" x14ac:dyDescent="0.25">
      <c r="A342" s="17"/>
      <c r="G342"/>
      <c r="H342"/>
      <c r="J342"/>
      <c r="K342"/>
      <c r="L342"/>
      <c r="M342"/>
      <c r="N342"/>
      <c r="P342"/>
      <c r="Q342"/>
      <c r="R342"/>
      <c r="S342"/>
      <c r="T342"/>
      <c r="U342" s="46"/>
      <c r="V342" s="46"/>
    </row>
    <row r="343" spans="1:22" ht="25.15" customHeight="1" x14ac:dyDescent="0.25">
      <c r="A343" s="17"/>
      <c r="G343"/>
      <c r="H343"/>
      <c r="J343"/>
      <c r="K343"/>
      <c r="L343"/>
      <c r="M343"/>
      <c r="N343"/>
      <c r="P343"/>
      <c r="Q343"/>
      <c r="R343"/>
      <c r="S343"/>
      <c r="T343"/>
      <c r="U343" s="46"/>
      <c r="V343" s="46"/>
    </row>
    <row r="344" spans="1:22" ht="25.15" customHeight="1" x14ac:dyDescent="0.25">
      <c r="A344" s="17"/>
      <c r="G344"/>
      <c r="H344"/>
      <c r="J344"/>
      <c r="K344"/>
      <c r="L344"/>
      <c r="M344"/>
      <c r="N344"/>
      <c r="P344"/>
      <c r="Q344"/>
      <c r="R344"/>
      <c r="S344"/>
      <c r="T344"/>
      <c r="U344" s="46"/>
      <c r="V344" s="46"/>
    </row>
    <row r="345" spans="1:22" ht="25.15" customHeight="1" x14ac:dyDescent="0.25">
      <c r="A345" s="17"/>
      <c r="G345"/>
      <c r="H345"/>
      <c r="J345"/>
      <c r="K345"/>
      <c r="L345"/>
      <c r="M345"/>
      <c r="N345"/>
      <c r="P345"/>
      <c r="Q345"/>
      <c r="R345"/>
      <c r="S345"/>
      <c r="T345"/>
      <c r="U345" s="46"/>
      <c r="V345" s="46"/>
    </row>
    <row r="346" spans="1:22" ht="25.15" customHeight="1" x14ac:dyDescent="0.25">
      <c r="A346" s="17"/>
      <c r="G346"/>
      <c r="H346"/>
      <c r="J346"/>
      <c r="K346"/>
      <c r="L346"/>
      <c r="M346"/>
      <c r="N346"/>
      <c r="P346"/>
      <c r="Q346"/>
      <c r="R346"/>
      <c r="S346"/>
      <c r="T346"/>
      <c r="U346" s="46"/>
      <c r="V346" s="46"/>
    </row>
    <row r="347" spans="1:22" ht="25.15" customHeight="1" x14ac:dyDescent="0.25">
      <c r="A347" s="17"/>
      <c r="G347"/>
      <c r="H347"/>
      <c r="J347"/>
      <c r="K347"/>
      <c r="L347"/>
      <c r="M347"/>
      <c r="N347"/>
      <c r="P347"/>
      <c r="Q347"/>
      <c r="R347"/>
      <c r="S347"/>
      <c r="T347"/>
      <c r="U347" s="46"/>
      <c r="V347" s="46"/>
    </row>
    <row r="348" spans="1:22" ht="25.15" customHeight="1" x14ac:dyDescent="0.25">
      <c r="A348" s="17"/>
      <c r="G348"/>
      <c r="H348"/>
      <c r="J348"/>
      <c r="K348"/>
      <c r="L348"/>
      <c r="M348"/>
      <c r="N348"/>
      <c r="P348"/>
      <c r="Q348"/>
      <c r="R348"/>
      <c r="S348"/>
      <c r="T348"/>
      <c r="U348" s="46"/>
      <c r="V348" s="46"/>
    </row>
    <row r="349" spans="1:22" ht="25.15" customHeight="1" x14ac:dyDescent="0.25">
      <c r="A349" s="17"/>
      <c r="G349"/>
      <c r="H349"/>
      <c r="J349"/>
      <c r="K349"/>
      <c r="L349"/>
      <c r="M349"/>
      <c r="N349"/>
      <c r="P349"/>
      <c r="Q349"/>
      <c r="R349"/>
      <c r="S349"/>
      <c r="T349"/>
      <c r="U349" s="46"/>
      <c r="V349" s="46"/>
    </row>
    <row r="350" spans="1:22" ht="25.15" customHeight="1" x14ac:dyDescent="0.25">
      <c r="A350" s="17"/>
      <c r="G350"/>
      <c r="H350"/>
      <c r="J350"/>
      <c r="K350"/>
      <c r="L350"/>
      <c r="M350"/>
      <c r="N350"/>
      <c r="P350"/>
      <c r="Q350"/>
      <c r="R350"/>
      <c r="S350"/>
      <c r="T350"/>
      <c r="U350" s="46"/>
      <c r="V350" s="46"/>
    </row>
    <row r="351" spans="1:22" ht="25.15" customHeight="1" x14ac:dyDescent="0.25">
      <c r="A351" s="17"/>
      <c r="G351"/>
      <c r="H351"/>
      <c r="J351"/>
      <c r="K351"/>
      <c r="L351"/>
      <c r="M351"/>
      <c r="N351"/>
      <c r="P351"/>
      <c r="Q351"/>
      <c r="R351"/>
      <c r="S351"/>
      <c r="T351"/>
      <c r="U351" s="46"/>
      <c r="V351" s="46"/>
    </row>
    <row r="352" spans="1:22" ht="25.15" customHeight="1" x14ac:dyDescent="0.25">
      <c r="A352" s="17"/>
      <c r="G352"/>
      <c r="H352"/>
      <c r="J352"/>
      <c r="K352"/>
      <c r="L352"/>
      <c r="M352"/>
      <c r="N352"/>
      <c r="P352"/>
      <c r="Q352"/>
      <c r="R352"/>
      <c r="S352"/>
      <c r="T352"/>
      <c r="U352" s="46"/>
      <c r="V352" s="46"/>
    </row>
    <row r="353" spans="1:22" ht="25.15" customHeight="1" x14ac:dyDescent="0.25">
      <c r="A353" s="17"/>
      <c r="G353"/>
      <c r="H353"/>
      <c r="J353"/>
      <c r="K353"/>
      <c r="L353"/>
      <c r="M353"/>
      <c r="N353"/>
      <c r="P353"/>
      <c r="Q353"/>
      <c r="R353"/>
      <c r="S353"/>
      <c r="T353"/>
      <c r="U353" s="46"/>
      <c r="V353" s="46"/>
    </row>
    <row r="354" spans="1:22" ht="25.15" customHeight="1" x14ac:dyDescent="0.25">
      <c r="A354" s="17"/>
      <c r="G354"/>
      <c r="H354"/>
      <c r="J354"/>
      <c r="K354"/>
      <c r="L354"/>
      <c r="M354"/>
      <c r="N354"/>
      <c r="P354"/>
      <c r="Q354"/>
      <c r="R354"/>
      <c r="S354"/>
      <c r="T354"/>
      <c r="U354" s="46"/>
      <c r="V354" s="46"/>
    </row>
    <row r="355" spans="1:22" ht="25.15" customHeight="1" x14ac:dyDescent="0.25">
      <c r="A355" s="17"/>
      <c r="G355"/>
      <c r="H355"/>
      <c r="J355"/>
      <c r="K355"/>
      <c r="L355"/>
      <c r="M355"/>
      <c r="N355"/>
      <c r="P355"/>
      <c r="Q355"/>
      <c r="R355"/>
      <c r="S355"/>
      <c r="T355"/>
      <c r="U355" s="46"/>
      <c r="V355" s="46"/>
    </row>
    <row r="356" spans="1:22" ht="25.15" customHeight="1" x14ac:dyDescent="0.25">
      <c r="A356" s="17"/>
      <c r="G356"/>
      <c r="H356"/>
      <c r="J356"/>
      <c r="K356"/>
      <c r="L356"/>
      <c r="M356"/>
      <c r="N356"/>
      <c r="P356"/>
      <c r="Q356"/>
      <c r="R356"/>
      <c r="S356"/>
      <c r="T356"/>
      <c r="U356" s="46"/>
      <c r="V356" s="46"/>
    </row>
    <row r="357" spans="1:22" ht="25.15" customHeight="1" x14ac:dyDescent="0.25">
      <c r="A357" s="17"/>
      <c r="G357"/>
      <c r="H357"/>
      <c r="J357"/>
      <c r="K357"/>
      <c r="L357"/>
      <c r="M357"/>
      <c r="N357"/>
      <c r="P357"/>
      <c r="Q357"/>
      <c r="R357"/>
      <c r="S357"/>
      <c r="T357"/>
      <c r="U357" s="46"/>
      <c r="V357" s="46"/>
    </row>
    <row r="358" spans="1:22" ht="25.15" customHeight="1" x14ac:dyDescent="0.25">
      <c r="A358" s="17"/>
      <c r="G358"/>
      <c r="H358"/>
      <c r="J358"/>
      <c r="K358"/>
      <c r="L358"/>
      <c r="M358"/>
      <c r="N358"/>
      <c r="P358"/>
      <c r="Q358"/>
      <c r="R358"/>
      <c r="S358"/>
      <c r="T358"/>
      <c r="U358" s="46"/>
      <c r="V358" s="46"/>
    </row>
    <row r="359" spans="1:22" ht="25.15" customHeight="1" x14ac:dyDescent="0.25">
      <c r="A359" s="17"/>
      <c r="G359"/>
      <c r="H359"/>
      <c r="J359"/>
      <c r="K359"/>
      <c r="L359"/>
      <c r="M359"/>
      <c r="N359"/>
      <c r="P359"/>
      <c r="Q359"/>
      <c r="R359"/>
      <c r="S359"/>
      <c r="T359"/>
      <c r="U359" s="46"/>
      <c r="V359" s="46"/>
    </row>
    <row r="360" spans="1:22" ht="25.15" customHeight="1" x14ac:dyDescent="0.25">
      <c r="A360" s="17"/>
      <c r="G360"/>
      <c r="H360"/>
      <c r="J360"/>
      <c r="K360"/>
      <c r="L360"/>
      <c r="M360"/>
      <c r="N360"/>
      <c r="P360"/>
      <c r="Q360"/>
      <c r="R360"/>
      <c r="S360"/>
      <c r="T360"/>
      <c r="U360" s="46"/>
      <c r="V360" s="46"/>
    </row>
    <row r="361" spans="1:22" ht="25.15" customHeight="1" x14ac:dyDescent="0.25">
      <c r="A361" s="17"/>
      <c r="G361"/>
      <c r="H361"/>
      <c r="J361"/>
      <c r="K361"/>
      <c r="L361"/>
      <c r="M361"/>
      <c r="N361"/>
      <c r="P361"/>
      <c r="Q361"/>
      <c r="R361"/>
      <c r="S361"/>
      <c r="T361"/>
      <c r="U361" s="46"/>
      <c r="V361" s="46"/>
    </row>
    <row r="362" spans="1:22" ht="25.15" customHeight="1" x14ac:dyDescent="0.25">
      <c r="A362" s="17"/>
      <c r="G362"/>
      <c r="H362"/>
      <c r="J362"/>
      <c r="K362"/>
      <c r="L362"/>
      <c r="M362"/>
      <c r="N362"/>
      <c r="P362"/>
      <c r="Q362"/>
      <c r="R362"/>
      <c r="S362"/>
      <c r="T362"/>
      <c r="U362" s="46"/>
      <c r="V362" s="46"/>
    </row>
    <row r="363" spans="1:22" ht="25.15" customHeight="1" x14ac:dyDescent="0.25">
      <c r="A363" s="17"/>
      <c r="G363"/>
      <c r="H363"/>
      <c r="J363"/>
      <c r="K363"/>
      <c r="L363"/>
      <c r="M363"/>
      <c r="N363"/>
      <c r="P363"/>
      <c r="Q363"/>
      <c r="R363"/>
      <c r="S363"/>
      <c r="T363"/>
      <c r="U363" s="46"/>
      <c r="V363" s="46"/>
    </row>
    <row r="364" spans="1:22" ht="25.15" customHeight="1" x14ac:dyDescent="0.25">
      <c r="A364" s="17"/>
      <c r="G364"/>
      <c r="H364"/>
      <c r="J364"/>
      <c r="K364"/>
      <c r="L364"/>
      <c r="M364"/>
      <c r="N364"/>
      <c r="P364"/>
      <c r="Q364"/>
      <c r="R364"/>
      <c r="S364"/>
      <c r="T364"/>
      <c r="U364" s="46"/>
      <c r="V364" s="46"/>
    </row>
    <row r="365" spans="1:22" ht="25.15" customHeight="1" x14ac:dyDescent="0.25">
      <c r="A365" s="17"/>
      <c r="G365"/>
      <c r="H365"/>
      <c r="J365"/>
      <c r="K365"/>
      <c r="L365"/>
      <c r="M365"/>
      <c r="N365"/>
      <c r="P365"/>
      <c r="Q365"/>
      <c r="R365"/>
      <c r="S365"/>
      <c r="T365"/>
      <c r="U365" s="46"/>
      <c r="V365" s="46"/>
    </row>
    <row r="366" spans="1:22" ht="25.15" customHeight="1" x14ac:dyDescent="0.25">
      <c r="A366" s="17"/>
      <c r="G366"/>
      <c r="H366"/>
      <c r="J366"/>
      <c r="K366"/>
      <c r="L366"/>
      <c r="M366"/>
      <c r="N366"/>
      <c r="P366"/>
      <c r="Q366"/>
      <c r="R366"/>
      <c r="S366"/>
      <c r="T366"/>
      <c r="U366" s="46"/>
      <c r="V366" s="46"/>
    </row>
    <row r="367" spans="1:22" ht="25.15" customHeight="1" x14ac:dyDescent="0.25">
      <c r="A367" s="17"/>
      <c r="G367"/>
      <c r="H367"/>
      <c r="J367"/>
      <c r="K367"/>
      <c r="L367"/>
      <c r="M367"/>
      <c r="N367"/>
      <c r="P367"/>
      <c r="Q367"/>
      <c r="R367"/>
      <c r="S367"/>
      <c r="T367"/>
      <c r="U367" s="46"/>
      <c r="V367" s="46"/>
    </row>
    <row r="368" spans="1:22" ht="25.15" customHeight="1" x14ac:dyDescent="0.25">
      <c r="A368" s="17"/>
      <c r="G368"/>
      <c r="H368"/>
      <c r="J368"/>
      <c r="K368"/>
      <c r="L368"/>
      <c r="M368"/>
      <c r="N368"/>
      <c r="P368"/>
      <c r="Q368"/>
      <c r="R368"/>
      <c r="S368"/>
      <c r="T368"/>
      <c r="U368" s="46"/>
      <c r="V368" s="46"/>
    </row>
    <row r="369" spans="1:22" ht="25.15" customHeight="1" x14ac:dyDescent="0.25">
      <c r="A369" s="17"/>
      <c r="G369"/>
      <c r="H369"/>
      <c r="J369"/>
      <c r="K369"/>
      <c r="L369"/>
      <c r="M369"/>
      <c r="N369"/>
      <c r="P369"/>
      <c r="Q369"/>
      <c r="R369"/>
      <c r="S369"/>
      <c r="T369"/>
      <c r="U369" s="46"/>
      <c r="V369" s="46"/>
    </row>
    <row r="370" spans="1:22" ht="25.15" customHeight="1" x14ac:dyDescent="0.25">
      <c r="A370" s="17"/>
      <c r="G370"/>
      <c r="H370"/>
      <c r="J370"/>
      <c r="K370"/>
      <c r="L370"/>
      <c r="M370"/>
      <c r="N370"/>
      <c r="P370"/>
      <c r="Q370"/>
      <c r="R370"/>
      <c r="S370"/>
      <c r="T370"/>
      <c r="U370" s="46"/>
      <c r="V370" s="46"/>
    </row>
    <row r="371" spans="1:22" ht="25.15" customHeight="1" x14ac:dyDescent="0.25">
      <c r="A371" s="17"/>
      <c r="G371"/>
      <c r="H371"/>
      <c r="J371"/>
      <c r="K371"/>
      <c r="L371"/>
      <c r="M371"/>
      <c r="N371"/>
      <c r="P371"/>
      <c r="Q371"/>
      <c r="R371"/>
      <c r="S371"/>
      <c r="T371"/>
      <c r="U371" s="46"/>
      <c r="V371" s="46"/>
    </row>
    <row r="372" spans="1:22" ht="25.15" customHeight="1" x14ac:dyDescent="0.25">
      <c r="A372" s="17"/>
      <c r="G372"/>
      <c r="H372"/>
      <c r="J372"/>
      <c r="K372"/>
      <c r="L372"/>
      <c r="M372"/>
      <c r="N372"/>
      <c r="P372"/>
      <c r="Q372"/>
      <c r="R372"/>
      <c r="S372"/>
      <c r="T372"/>
      <c r="U372" s="46"/>
      <c r="V372" s="46"/>
    </row>
    <row r="373" spans="1:22" ht="25.15" customHeight="1" x14ac:dyDescent="0.25">
      <c r="A373" s="17"/>
      <c r="G373"/>
      <c r="H373"/>
      <c r="J373"/>
      <c r="K373"/>
      <c r="L373"/>
      <c r="M373"/>
      <c r="N373"/>
      <c r="P373"/>
      <c r="Q373"/>
      <c r="R373"/>
      <c r="S373"/>
      <c r="T373"/>
      <c r="U373" s="46"/>
      <c r="V373" s="46"/>
    </row>
    <row r="374" spans="1:22" ht="25.15" customHeight="1" x14ac:dyDescent="0.25">
      <c r="A374" s="17"/>
      <c r="G374"/>
      <c r="H374"/>
      <c r="J374"/>
      <c r="K374"/>
      <c r="L374"/>
      <c r="M374"/>
      <c r="N374"/>
      <c r="P374"/>
      <c r="Q374"/>
      <c r="R374"/>
      <c r="S374"/>
      <c r="T374"/>
      <c r="U374" s="46"/>
      <c r="V374" s="46"/>
    </row>
    <row r="375" spans="1:22" ht="25.15" customHeight="1" x14ac:dyDescent="0.25">
      <c r="A375" s="17"/>
      <c r="G375"/>
      <c r="H375"/>
      <c r="J375"/>
      <c r="K375"/>
      <c r="L375"/>
      <c r="M375"/>
      <c r="N375"/>
      <c r="P375"/>
      <c r="Q375"/>
      <c r="R375"/>
      <c r="S375"/>
      <c r="T375"/>
      <c r="U375" s="46"/>
      <c r="V375" s="46"/>
    </row>
    <row r="376" spans="1:22" ht="25.15" customHeight="1" x14ac:dyDescent="0.25">
      <c r="A376" s="17"/>
      <c r="G376"/>
      <c r="H376"/>
      <c r="J376"/>
      <c r="K376"/>
      <c r="L376"/>
      <c r="M376"/>
      <c r="N376"/>
      <c r="P376"/>
      <c r="Q376"/>
      <c r="R376"/>
      <c r="S376"/>
      <c r="T376"/>
      <c r="U376" s="46"/>
      <c r="V376" s="46"/>
    </row>
    <row r="377" spans="1:22" ht="25.15" customHeight="1" x14ac:dyDescent="0.25">
      <c r="A377" s="17"/>
      <c r="G377"/>
      <c r="H377"/>
      <c r="J377"/>
      <c r="K377"/>
      <c r="L377"/>
      <c r="M377"/>
      <c r="N377"/>
      <c r="P377"/>
      <c r="Q377"/>
      <c r="R377"/>
      <c r="S377"/>
      <c r="T377"/>
      <c r="U377" s="46"/>
      <c r="V377" s="46"/>
    </row>
    <row r="378" spans="1:22" ht="25.15" customHeight="1" x14ac:dyDescent="0.25">
      <c r="A378" s="17"/>
      <c r="G378"/>
      <c r="H378"/>
      <c r="J378"/>
      <c r="K378"/>
      <c r="L378"/>
      <c r="M378"/>
      <c r="N378"/>
      <c r="P378"/>
      <c r="Q378"/>
      <c r="R378"/>
      <c r="S378"/>
      <c r="T378"/>
      <c r="U378" s="46"/>
      <c r="V378" s="46"/>
    </row>
    <row r="379" spans="1:22" ht="25.15" customHeight="1" x14ac:dyDescent="0.25">
      <c r="A379" s="17"/>
      <c r="G379"/>
      <c r="H379"/>
      <c r="J379"/>
      <c r="K379"/>
      <c r="L379"/>
      <c r="M379"/>
      <c r="N379"/>
      <c r="P379"/>
      <c r="Q379"/>
      <c r="R379"/>
      <c r="S379"/>
      <c r="T379"/>
      <c r="U379" s="46"/>
      <c r="V379" s="46"/>
    </row>
    <row r="380" spans="1:22" ht="25.15" customHeight="1" x14ac:dyDescent="0.25">
      <c r="A380" s="17"/>
      <c r="G380"/>
      <c r="H380"/>
      <c r="J380"/>
      <c r="K380"/>
      <c r="L380"/>
      <c r="M380"/>
      <c r="N380"/>
      <c r="P380"/>
      <c r="Q380"/>
      <c r="R380"/>
      <c r="S380"/>
      <c r="T380"/>
      <c r="U380" s="46"/>
      <c r="V380" s="46"/>
    </row>
    <row r="381" spans="1:22" ht="25.15" customHeight="1" x14ac:dyDescent="0.25">
      <c r="A381" s="17"/>
      <c r="G381"/>
      <c r="H381"/>
      <c r="J381"/>
      <c r="K381"/>
      <c r="L381"/>
      <c r="M381"/>
      <c r="N381"/>
      <c r="P381"/>
      <c r="Q381"/>
      <c r="R381"/>
      <c r="S381"/>
      <c r="T381"/>
      <c r="U381" s="46"/>
      <c r="V381" s="46"/>
    </row>
    <row r="382" spans="1:22" ht="25.15" customHeight="1" x14ac:dyDescent="0.25">
      <c r="A382" s="17"/>
      <c r="G382"/>
      <c r="H382"/>
      <c r="J382"/>
      <c r="K382"/>
      <c r="L382"/>
      <c r="M382"/>
      <c r="N382"/>
      <c r="P382"/>
      <c r="Q382"/>
      <c r="R382"/>
      <c r="S382"/>
      <c r="T382"/>
      <c r="U382" s="46"/>
      <c r="V382" s="46"/>
    </row>
    <row r="383" spans="1:22" ht="25.15" customHeight="1" x14ac:dyDescent="0.25">
      <c r="A383" s="17"/>
      <c r="G383"/>
      <c r="H383"/>
      <c r="J383"/>
      <c r="K383"/>
      <c r="L383"/>
      <c r="M383"/>
      <c r="N383"/>
      <c r="P383"/>
      <c r="Q383"/>
      <c r="R383"/>
      <c r="S383"/>
      <c r="T383"/>
      <c r="U383" s="46"/>
      <c r="V383" s="46"/>
    </row>
    <row r="384" spans="1:22" ht="25.15" customHeight="1" x14ac:dyDescent="0.25">
      <c r="A384" s="17"/>
      <c r="G384"/>
      <c r="H384"/>
      <c r="J384"/>
      <c r="K384"/>
      <c r="L384"/>
      <c r="M384"/>
      <c r="N384"/>
      <c r="P384"/>
      <c r="Q384"/>
      <c r="R384"/>
      <c r="S384"/>
      <c r="T384"/>
      <c r="U384" s="46"/>
      <c r="V384" s="46"/>
    </row>
    <row r="385" spans="1:22" ht="25.15" customHeight="1" x14ac:dyDescent="0.25">
      <c r="A385" s="17"/>
      <c r="G385"/>
      <c r="H385"/>
      <c r="J385"/>
      <c r="K385"/>
      <c r="L385"/>
      <c r="M385"/>
      <c r="N385"/>
      <c r="P385"/>
      <c r="Q385"/>
      <c r="R385"/>
      <c r="S385"/>
      <c r="T385"/>
      <c r="U385" s="46"/>
      <c r="V385" s="46"/>
    </row>
    <row r="386" spans="1:22" ht="25.15" customHeight="1" x14ac:dyDescent="0.25">
      <c r="A386" s="17"/>
      <c r="G386"/>
      <c r="H386"/>
      <c r="J386"/>
      <c r="K386"/>
      <c r="L386"/>
      <c r="M386"/>
      <c r="N386"/>
      <c r="P386"/>
      <c r="Q386"/>
      <c r="R386"/>
      <c r="S386"/>
      <c r="T386"/>
      <c r="U386" s="46"/>
      <c r="V386" s="46"/>
    </row>
    <row r="387" spans="1:22" ht="25.15" customHeight="1" x14ac:dyDescent="0.25">
      <c r="A387" s="17"/>
      <c r="G387"/>
      <c r="H387"/>
      <c r="J387"/>
      <c r="K387"/>
      <c r="L387"/>
      <c r="M387"/>
      <c r="N387"/>
      <c r="P387"/>
      <c r="Q387"/>
      <c r="R387"/>
      <c r="S387"/>
      <c r="T387"/>
      <c r="U387" s="46"/>
      <c r="V387" s="46"/>
    </row>
    <row r="388" spans="1:22" ht="25.15" customHeight="1" x14ac:dyDescent="0.25">
      <c r="A388" s="17"/>
      <c r="G388"/>
      <c r="H388"/>
      <c r="J388"/>
      <c r="K388"/>
      <c r="L388"/>
      <c r="M388"/>
      <c r="N388"/>
      <c r="P388"/>
      <c r="Q388"/>
      <c r="R388"/>
      <c r="S388"/>
      <c r="T388"/>
      <c r="U388" s="46"/>
      <c r="V388" s="46"/>
    </row>
    <row r="389" spans="1:22" ht="25.15" customHeight="1" x14ac:dyDescent="0.25">
      <c r="A389" s="17"/>
      <c r="G389"/>
      <c r="H389"/>
      <c r="J389"/>
      <c r="K389"/>
      <c r="L389"/>
      <c r="M389"/>
      <c r="N389"/>
      <c r="P389"/>
      <c r="Q389"/>
      <c r="R389"/>
      <c r="S389"/>
      <c r="T389"/>
      <c r="U389" s="46"/>
      <c r="V389" s="46"/>
    </row>
    <row r="390" spans="1:22" ht="25.15" customHeight="1" x14ac:dyDescent="0.25">
      <c r="A390" s="17"/>
      <c r="G390"/>
      <c r="H390"/>
      <c r="J390"/>
      <c r="K390"/>
      <c r="L390"/>
      <c r="M390"/>
      <c r="N390"/>
      <c r="P390"/>
      <c r="Q390"/>
      <c r="R390"/>
      <c r="S390"/>
      <c r="T390"/>
      <c r="U390" s="46"/>
      <c r="V390" s="46"/>
    </row>
    <row r="391" spans="1:22" ht="25.15" customHeight="1" x14ac:dyDescent="0.25">
      <c r="A391" s="17"/>
      <c r="G391"/>
      <c r="H391"/>
      <c r="J391"/>
      <c r="K391"/>
      <c r="L391"/>
      <c r="M391"/>
      <c r="N391"/>
      <c r="P391"/>
      <c r="Q391"/>
      <c r="R391"/>
      <c r="S391"/>
      <c r="T391"/>
      <c r="U391" s="46"/>
      <c r="V391" s="46"/>
    </row>
    <row r="392" spans="1:22" ht="25.15" customHeight="1" x14ac:dyDescent="0.25">
      <c r="A392" s="17"/>
      <c r="G392"/>
      <c r="H392"/>
      <c r="J392"/>
      <c r="K392"/>
      <c r="L392"/>
      <c r="M392"/>
      <c r="N392"/>
      <c r="P392"/>
      <c r="Q392"/>
      <c r="R392"/>
      <c r="S392"/>
      <c r="T392"/>
      <c r="U392" s="46"/>
      <c r="V392" s="46"/>
    </row>
    <row r="393" spans="1:22" ht="25.15" customHeight="1" x14ac:dyDescent="0.25">
      <c r="A393" s="17"/>
      <c r="G393"/>
      <c r="H393"/>
      <c r="J393"/>
      <c r="K393"/>
      <c r="L393"/>
      <c r="M393"/>
      <c r="N393"/>
      <c r="P393"/>
      <c r="Q393"/>
      <c r="R393"/>
      <c r="S393"/>
      <c r="T393"/>
      <c r="U393" s="46"/>
      <c r="V393" s="46"/>
    </row>
    <row r="394" spans="1:22" ht="25.15" customHeight="1" x14ac:dyDescent="0.25">
      <c r="A394" s="17"/>
      <c r="G394"/>
      <c r="H394"/>
      <c r="J394"/>
      <c r="K394"/>
      <c r="L394"/>
      <c r="M394"/>
      <c r="N394"/>
      <c r="P394"/>
      <c r="Q394"/>
      <c r="R394"/>
      <c r="S394"/>
      <c r="T394"/>
      <c r="U394" s="46"/>
      <c r="V394" s="46"/>
    </row>
    <row r="395" spans="1:22" ht="25.15" customHeight="1" x14ac:dyDescent="0.25">
      <c r="A395" s="17"/>
      <c r="G395"/>
      <c r="H395"/>
      <c r="J395"/>
      <c r="K395"/>
      <c r="L395"/>
      <c r="M395"/>
      <c r="N395"/>
      <c r="P395"/>
      <c r="Q395"/>
      <c r="R395"/>
      <c r="S395"/>
      <c r="T395"/>
      <c r="U395" s="46"/>
      <c r="V395" s="46"/>
    </row>
    <row r="396" spans="1:22" ht="25.15" customHeight="1" x14ac:dyDescent="0.25">
      <c r="A396" s="17"/>
      <c r="G396"/>
      <c r="H396"/>
      <c r="J396"/>
      <c r="K396"/>
      <c r="L396"/>
      <c r="M396"/>
      <c r="N396"/>
      <c r="P396"/>
      <c r="Q396"/>
      <c r="R396"/>
      <c r="S396"/>
      <c r="T396"/>
      <c r="U396" s="46"/>
      <c r="V396" s="46"/>
    </row>
    <row r="397" spans="1:22" ht="25.15" customHeight="1" x14ac:dyDescent="0.25">
      <c r="A397" s="17"/>
      <c r="G397"/>
      <c r="H397"/>
      <c r="J397"/>
      <c r="K397"/>
      <c r="L397"/>
      <c r="M397"/>
      <c r="N397"/>
      <c r="P397"/>
      <c r="Q397"/>
      <c r="R397"/>
      <c r="S397"/>
      <c r="T397"/>
      <c r="U397" s="46"/>
      <c r="V397" s="46"/>
    </row>
    <row r="398" spans="1:22" ht="25.15" customHeight="1" x14ac:dyDescent="0.25">
      <c r="A398" s="17"/>
      <c r="G398"/>
      <c r="H398"/>
      <c r="J398"/>
      <c r="K398"/>
      <c r="L398"/>
      <c r="M398"/>
      <c r="N398"/>
      <c r="P398"/>
      <c r="Q398"/>
      <c r="R398"/>
      <c r="S398"/>
      <c r="T398"/>
      <c r="U398" s="46"/>
      <c r="V398" s="46"/>
    </row>
    <row r="399" spans="1:22" ht="25.15" customHeight="1" x14ac:dyDescent="0.25">
      <c r="A399" s="17"/>
      <c r="G399"/>
      <c r="H399"/>
      <c r="J399"/>
      <c r="K399"/>
      <c r="L399"/>
      <c r="M399"/>
      <c r="N399"/>
      <c r="P399"/>
      <c r="Q399"/>
      <c r="R399"/>
      <c r="S399"/>
      <c r="T399"/>
      <c r="U399" s="46"/>
      <c r="V399" s="46"/>
    </row>
    <row r="400" spans="1:22" ht="25.15" customHeight="1" x14ac:dyDescent="0.25">
      <c r="A400" s="17"/>
      <c r="G400"/>
      <c r="H400"/>
      <c r="J400"/>
      <c r="K400"/>
      <c r="L400"/>
      <c r="M400"/>
      <c r="N400"/>
      <c r="P400"/>
      <c r="Q400"/>
      <c r="R400"/>
      <c r="S400"/>
      <c r="T400"/>
      <c r="U400" s="46"/>
      <c r="V400" s="46"/>
    </row>
    <row r="401" spans="1:22" ht="25.15" customHeight="1" x14ac:dyDescent="0.25">
      <c r="A401" s="17"/>
      <c r="G401"/>
      <c r="H401"/>
      <c r="J401"/>
      <c r="K401"/>
      <c r="L401"/>
      <c r="M401"/>
      <c r="N401"/>
      <c r="P401"/>
      <c r="Q401"/>
      <c r="R401"/>
      <c r="S401"/>
      <c r="T401"/>
      <c r="U401" s="46"/>
      <c r="V401" s="46"/>
    </row>
    <row r="402" spans="1:22" ht="25.15" customHeight="1" x14ac:dyDescent="0.25">
      <c r="A402" s="17"/>
      <c r="G402"/>
      <c r="H402"/>
      <c r="J402"/>
      <c r="K402"/>
      <c r="L402"/>
      <c r="M402"/>
      <c r="N402"/>
      <c r="P402"/>
      <c r="Q402"/>
      <c r="R402"/>
      <c r="S402"/>
      <c r="T402"/>
      <c r="U402" s="46"/>
      <c r="V402" s="46"/>
    </row>
    <row r="403" spans="1:22" ht="25.15" customHeight="1" x14ac:dyDescent="0.25">
      <c r="A403" s="17"/>
      <c r="G403"/>
      <c r="H403"/>
      <c r="J403"/>
      <c r="K403"/>
      <c r="L403"/>
      <c r="M403"/>
      <c r="N403"/>
      <c r="P403"/>
      <c r="Q403"/>
      <c r="R403"/>
      <c r="S403"/>
      <c r="T403"/>
      <c r="U403" s="46"/>
      <c r="V403" s="46"/>
    </row>
    <row r="404" spans="1:22" ht="25.15" customHeight="1" x14ac:dyDescent="0.25">
      <c r="A404" s="17"/>
      <c r="G404"/>
      <c r="H404"/>
      <c r="J404"/>
      <c r="K404"/>
      <c r="L404"/>
      <c r="M404"/>
      <c r="N404"/>
      <c r="P404"/>
      <c r="Q404"/>
      <c r="R404"/>
      <c r="S404"/>
      <c r="T404"/>
      <c r="U404" s="46"/>
      <c r="V404" s="46"/>
    </row>
    <row r="405" spans="1:22" ht="25.15" customHeight="1" x14ac:dyDescent="0.25">
      <c r="A405" s="17"/>
      <c r="G405"/>
      <c r="H405"/>
      <c r="J405"/>
      <c r="K405"/>
      <c r="L405"/>
      <c r="M405"/>
      <c r="N405"/>
      <c r="P405"/>
      <c r="Q405"/>
      <c r="R405"/>
      <c r="S405"/>
      <c r="T405"/>
      <c r="U405" s="46"/>
      <c r="V405" s="46"/>
    </row>
    <row r="406" spans="1:22" ht="25.15" customHeight="1" x14ac:dyDescent="0.25">
      <c r="A406" s="17"/>
      <c r="G406"/>
      <c r="H406"/>
      <c r="J406"/>
      <c r="K406"/>
      <c r="L406"/>
      <c r="M406"/>
      <c r="N406"/>
      <c r="P406"/>
      <c r="Q406"/>
      <c r="R406"/>
      <c r="S406"/>
      <c r="T406"/>
      <c r="U406" s="46"/>
      <c r="V406" s="46"/>
    </row>
    <row r="407" spans="1:22" ht="25.15" customHeight="1" x14ac:dyDescent="0.25">
      <c r="A407" s="17"/>
      <c r="G407"/>
      <c r="H407"/>
      <c r="J407"/>
      <c r="K407"/>
      <c r="L407"/>
      <c r="M407"/>
      <c r="N407"/>
      <c r="P407"/>
      <c r="Q407"/>
      <c r="R407"/>
      <c r="S407"/>
      <c r="T407"/>
      <c r="U407" s="46"/>
      <c r="V407" s="46"/>
    </row>
    <row r="408" spans="1:22" ht="25.15" customHeight="1" x14ac:dyDescent="0.25">
      <c r="A408" s="17"/>
      <c r="G408"/>
      <c r="H408"/>
      <c r="J408"/>
      <c r="K408"/>
      <c r="L408"/>
      <c r="M408"/>
      <c r="N408"/>
      <c r="P408"/>
      <c r="Q408"/>
      <c r="R408"/>
      <c r="S408"/>
      <c r="T408"/>
      <c r="U408" s="46"/>
      <c r="V408" s="46"/>
    </row>
    <row r="409" spans="1:22" ht="25.15" customHeight="1" x14ac:dyDescent="0.25">
      <c r="A409" s="17"/>
      <c r="G409"/>
      <c r="H409"/>
      <c r="J409"/>
      <c r="K409"/>
      <c r="L409"/>
      <c r="M409"/>
      <c r="N409"/>
      <c r="P409"/>
      <c r="Q409"/>
      <c r="R409"/>
      <c r="S409"/>
      <c r="T409"/>
      <c r="U409" s="46"/>
      <c r="V409" s="46"/>
    </row>
    <row r="410" spans="1:22" ht="25.15" customHeight="1" x14ac:dyDescent="0.25">
      <c r="A410" s="17"/>
      <c r="G410"/>
      <c r="H410"/>
      <c r="J410"/>
      <c r="K410"/>
      <c r="L410"/>
      <c r="M410"/>
      <c r="N410"/>
      <c r="P410"/>
      <c r="Q410"/>
      <c r="R410"/>
      <c r="S410"/>
      <c r="T410"/>
      <c r="U410" s="46"/>
      <c r="V410" s="46"/>
    </row>
    <row r="411" spans="1:22" ht="25.15" customHeight="1" x14ac:dyDescent="0.25">
      <c r="A411" s="17"/>
      <c r="G411"/>
      <c r="H411"/>
      <c r="J411"/>
      <c r="K411"/>
      <c r="L411"/>
      <c r="M411"/>
      <c r="N411"/>
      <c r="P411"/>
      <c r="Q411"/>
      <c r="R411"/>
      <c r="S411"/>
      <c r="T411"/>
      <c r="U411" s="46"/>
      <c r="V411" s="46"/>
    </row>
    <row r="412" spans="1:22" ht="25.15" customHeight="1" x14ac:dyDescent="0.25">
      <c r="A412" s="17"/>
      <c r="G412"/>
      <c r="H412"/>
      <c r="J412"/>
      <c r="K412"/>
      <c r="L412"/>
      <c r="M412"/>
      <c r="N412"/>
      <c r="P412"/>
      <c r="Q412"/>
      <c r="R412"/>
      <c r="S412"/>
      <c r="T412"/>
      <c r="U412" s="46"/>
      <c r="V412" s="46"/>
    </row>
    <row r="413" spans="1:22" ht="25.15" customHeight="1" x14ac:dyDescent="0.25">
      <c r="A413" s="17"/>
      <c r="G413"/>
      <c r="H413"/>
      <c r="J413"/>
      <c r="K413"/>
      <c r="L413"/>
      <c r="M413"/>
      <c r="N413"/>
      <c r="P413"/>
      <c r="Q413"/>
      <c r="R413"/>
      <c r="S413"/>
      <c r="T413"/>
      <c r="U413" s="46"/>
      <c r="V413" s="46"/>
    </row>
    <row r="414" spans="1:22" ht="25.15" customHeight="1" x14ac:dyDescent="0.25">
      <c r="A414" s="17"/>
      <c r="G414"/>
      <c r="H414"/>
      <c r="J414"/>
      <c r="K414"/>
      <c r="L414"/>
      <c r="M414"/>
      <c r="N414"/>
      <c r="P414"/>
      <c r="Q414"/>
      <c r="R414"/>
      <c r="S414"/>
      <c r="T414"/>
      <c r="U414" s="46"/>
      <c r="V414" s="46"/>
    </row>
    <row r="415" spans="1:22" ht="25.15" customHeight="1" x14ac:dyDescent="0.25">
      <c r="A415" s="17"/>
      <c r="G415"/>
      <c r="H415"/>
      <c r="J415"/>
      <c r="K415"/>
      <c r="L415"/>
      <c r="M415"/>
      <c r="N415"/>
      <c r="P415"/>
      <c r="Q415"/>
      <c r="R415"/>
      <c r="S415"/>
      <c r="T415"/>
      <c r="U415" s="46"/>
      <c r="V415" s="46"/>
    </row>
    <row r="416" spans="1:22" ht="25.15" customHeight="1" x14ac:dyDescent="0.25">
      <c r="A416" s="17"/>
      <c r="G416"/>
      <c r="H416"/>
      <c r="J416"/>
      <c r="K416"/>
      <c r="L416"/>
      <c r="M416"/>
      <c r="N416"/>
      <c r="P416"/>
      <c r="Q416"/>
      <c r="R416"/>
      <c r="S416"/>
      <c r="T416"/>
      <c r="U416" s="46"/>
      <c r="V416" s="46"/>
    </row>
    <row r="417" spans="1:22" ht="25.15" customHeight="1" x14ac:dyDescent="0.25">
      <c r="A417" s="17"/>
      <c r="G417"/>
      <c r="H417"/>
      <c r="J417"/>
      <c r="K417"/>
      <c r="L417"/>
      <c r="M417"/>
      <c r="N417"/>
      <c r="P417"/>
      <c r="Q417"/>
      <c r="R417"/>
      <c r="S417"/>
      <c r="T417"/>
      <c r="U417" s="46"/>
      <c r="V417" s="46"/>
    </row>
    <row r="418" spans="1:22" ht="25.15" customHeight="1" x14ac:dyDescent="0.25">
      <c r="A418" s="17"/>
      <c r="G418"/>
      <c r="H418"/>
      <c r="J418"/>
      <c r="K418"/>
      <c r="L418"/>
      <c r="M418"/>
      <c r="N418"/>
      <c r="P418"/>
      <c r="Q418"/>
      <c r="R418"/>
      <c r="S418"/>
      <c r="T418"/>
      <c r="U418" s="46"/>
      <c r="V418" s="46"/>
    </row>
    <row r="419" spans="1:22" ht="25.15" customHeight="1" x14ac:dyDescent="0.25">
      <c r="A419" s="17"/>
      <c r="G419"/>
      <c r="H419"/>
      <c r="J419"/>
      <c r="K419"/>
      <c r="L419"/>
      <c r="M419"/>
      <c r="N419"/>
      <c r="P419"/>
      <c r="Q419"/>
      <c r="R419"/>
      <c r="S419"/>
      <c r="T419"/>
      <c r="U419" s="46"/>
      <c r="V419" s="46"/>
    </row>
    <row r="420" spans="1:22" ht="25.15" customHeight="1" x14ac:dyDescent="0.25">
      <c r="A420" s="17"/>
      <c r="G420"/>
      <c r="H420"/>
      <c r="J420"/>
      <c r="K420"/>
      <c r="L420"/>
      <c r="M420"/>
      <c r="N420"/>
      <c r="P420"/>
      <c r="Q420"/>
      <c r="R420"/>
      <c r="S420"/>
      <c r="T420"/>
      <c r="U420" s="46"/>
      <c r="V420" s="46"/>
    </row>
    <row r="421" spans="1:22" ht="25.15" customHeight="1" x14ac:dyDescent="0.25">
      <c r="A421" s="17"/>
      <c r="G421"/>
      <c r="H421"/>
      <c r="J421"/>
      <c r="K421"/>
      <c r="L421"/>
      <c r="M421"/>
      <c r="N421"/>
      <c r="P421"/>
      <c r="Q421"/>
      <c r="R421"/>
      <c r="S421"/>
      <c r="T421"/>
      <c r="U421" s="46"/>
      <c r="V421" s="46"/>
    </row>
    <row r="422" spans="1:22" ht="25.15" customHeight="1" x14ac:dyDescent="0.25">
      <c r="A422" s="17"/>
      <c r="G422"/>
      <c r="H422"/>
      <c r="J422"/>
      <c r="K422"/>
      <c r="L422"/>
      <c r="M422"/>
      <c r="N422"/>
      <c r="P422"/>
      <c r="Q422"/>
      <c r="R422"/>
      <c r="S422"/>
      <c r="T422"/>
      <c r="U422" s="46"/>
      <c r="V422" s="46"/>
    </row>
    <row r="423" spans="1:22" ht="25.15" customHeight="1" x14ac:dyDescent="0.25">
      <c r="A423" s="17"/>
      <c r="G423"/>
      <c r="H423"/>
      <c r="J423"/>
      <c r="K423"/>
      <c r="L423"/>
      <c r="M423"/>
      <c r="N423"/>
      <c r="P423"/>
      <c r="Q423"/>
      <c r="R423"/>
      <c r="S423"/>
      <c r="T423"/>
      <c r="U423" s="46"/>
      <c r="V423" s="46"/>
    </row>
    <row r="424" spans="1:22" ht="25.15" customHeight="1" x14ac:dyDescent="0.25">
      <c r="A424" s="17"/>
      <c r="G424"/>
      <c r="H424"/>
      <c r="J424"/>
      <c r="K424"/>
      <c r="L424"/>
      <c r="M424"/>
      <c r="N424"/>
      <c r="P424"/>
      <c r="Q424"/>
      <c r="R424"/>
      <c r="S424"/>
      <c r="T424"/>
      <c r="U424" s="46"/>
      <c r="V424" s="46"/>
    </row>
    <row r="425" spans="1:22" ht="25.15" customHeight="1" x14ac:dyDescent="0.25">
      <c r="A425" s="17"/>
      <c r="G425"/>
      <c r="H425"/>
      <c r="J425"/>
      <c r="K425"/>
      <c r="L425"/>
      <c r="M425"/>
      <c r="N425"/>
      <c r="P425"/>
      <c r="Q425"/>
      <c r="R425"/>
      <c r="S425"/>
      <c r="T425"/>
      <c r="U425" s="46"/>
      <c r="V425" s="46"/>
    </row>
    <row r="426" spans="1:22" ht="25.15" customHeight="1" x14ac:dyDescent="0.25">
      <c r="A426" s="17"/>
      <c r="G426"/>
      <c r="H426"/>
      <c r="J426"/>
      <c r="K426"/>
      <c r="L426"/>
      <c r="M426"/>
      <c r="N426"/>
      <c r="P426"/>
      <c r="Q426"/>
      <c r="R426"/>
      <c r="S426"/>
      <c r="T426"/>
      <c r="U426" s="46"/>
      <c r="V426" s="46"/>
    </row>
    <row r="427" spans="1:22" ht="25.15" customHeight="1" x14ac:dyDescent="0.25">
      <c r="A427" s="17"/>
      <c r="G427"/>
      <c r="H427"/>
      <c r="J427"/>
      <c r="K427"/>
      <c r="L427"/>
      <c r="M427"/>
      <c r="N427"/>
      <c r="P427"/>
      <c r="Q427"/>
      <c r="R427"/>
      <c r="S427"/>
      <c r="T427"/>
      <c r="U427" s="46"/>
      <c r="V427" s="46"/>
    </row>
    <row r="428" spans="1:22" ht="25.15" customHeight="1" x14ac:dyDescent="0.25">
      <c r="A428" s="17"/>
      <c r="G428"/>
      <c r="H428"/>
      <c r="J428"/>
      <c r="K428"/>
      <c r="L428"/>
      <c r="M428"/>
      <c r="N428"/>
      <c r="P428"/>
      <c r="Q428"/>
      <c r="R428"/>
      <c r="S428"/>
      <c r="T428"/>
      <c r="U428" s="46"/>
      <c r="V428" s="46"/>
    </row>
    <row r="429" spans="1:22" ht="25.15" customHeight="1" x14ac:dyDescent="0.25">
      <c r="A429" s="17"/>
      <c r="G429"/>
      <c r="H429"/>
      <c r="J429"/>
      <c r="K429"/>
      <c r="L429"/>
      <c r="M429"/>
      <c r="N429"/>
      <c r="P429"/>
      <c r="Q429"/>
      <c r="R429"/>
      <c r="S429"/>
      <c r="T429"/>
      <c r="U429" s="46"/>
      <c r="V429" s="46"/>
    </row>
    <row r="430" spans="1:22" ht="25.15" customHeight="1" x14ac:dyDescent="0.25">
      <c r="A430" s="17"/>
      <c r="G430"/>
      <c r="H430"/>
      <c r="J430"/>
      <c r="K430"/>
      <c r="L430"/>
      <c r="M430"/>
      <c r="N430"/>
      <c r="P430"/>
      <c r="Q430"/>
      <c r="R430"/>
      <c r="S430"/>
      <c r="T430"/>
      <c r="U430" s="46"/>
      <c r="V430" s="46"/>
    </row>
    <row r="431" spans="1:22" ht="25.15" customHeight="1" x14ac:dyDescent="0.25">
      <c r="A431" s="17"/>
      <c r="G431"/>
      <c r="H431"/>
      <c r="J431"/>
      <c r="K431"/>
      <c r="L431"/>
      <c r="M431"/>
      <c r="N431"/>
      <c r="P431"/>
      <c r="Q431"/>
      <c r="R431"/>
      <c r="S431"/>
      <c r="T431"/>
      <c r="U431" s="46"/>
      <c r="V431" s="46"/>
    </row>
    <row r="432" spans="1:22" ht="25.15" customHeight="1" x14ac:dyDescent="0.25">
      <c r="A432" s="17"/>
      <c r="G432"/>
      <c r="H432"/>
      <c r="J432"/>
      <c r="K432"/>
      <c r="L432"/>
      <c r="M432"/>
      <c r="N432"/>
      <c r="P432"/>
      <c r="Q432"/>
      <c r="R432"/>
      <c r="S432"/>
      <c r="T432"/>
      <c r="U432" s="46"/>
      <c r="V432" s="46"/>
    </row>
    <row r="433" spans="8:22" ht="25.15" customHeight="1" x14ac:dyDescent="0.25">
      <c r="H433"/>
      <c r="U433" s="46"/>
      <c r="V433" s="46"/>
    </row>
    <row r="434" spans="8:22" ht="25.15" customHeight="1" x14ac:dyDescent="0.25">
      <c r="U434" s="46"/>
      <c r="V434" s="46"/>
    </row>
    <row r="435" spans="8:22" ht="25.15" customHeight="1" x14ac:dyDescent="0.25">
      <c r="U435" s="46"/>
      <c r="V435" s="46"/>
    </row>
    <row r="436" spans="8:22" ht="25.15" customHeight="1" x14ac:dyDescent="0.25">
      <c r="U436" s="46"/>
      <c r="V436" s="46"/>
    </row>
    <row r="437" spans="8:22" ht="25.15" customHeight="1" x14ac:dyDescent="0.25">
      <c r="U437" s="46"/>
      <c r="V437" s="46"/>
    </row>
    <row r="438" spans="8:22" ht="25.15" customHeight="1" x14ac:dyDescent="0.25">
      <c r="U438" s="46"/>
      <c r="V438" s="46"/>
    </row>
    <row r="439" spans="8:22" ht="25.15" customHeight="1" x14ac:dyDescent="0.25">
      <c r="U439" s="46"/>
      <c r="V439" s="46"/>
    </row>
    <row r="440" spans="8:22" ht="25.15" customHeight="1" x14ac:dyDescent="0.25"/>
    <row r="441" spans="8:22" ht="25.15" customHeight="1" x14ac:dyDescent="0.25"/>
  </sheetData>
  <conditionalFormatting sqref="E2:T1048576">
    <cfRule type="cellIs" dxfId="33" priority="1" operator="lessThan">
      <formula>6</formula>
    </cfRule>
  </conditionalFormatting>
  <conditionalFormatting sqref="P1:T1">
    <cfRule type="cellIs" dxfId="32" priority="19" operator="lessThan">
      <formula>6</formula>
    </cfRule>
  </conditionalFormatting>
  <conditionalFormatting sqref="U1 U45:U1048576">
    <cfRule type="cellIs" dxfId="31" priority="18" operator="greaterThan">
      <formula>19</formula>
    </cfRule>
  </conditionalFormatting>
  <conditionalFormatting sqref="V1:V39 U2:U39 V45:V1048576">
    <cfRule type="cellIs" dxfId="30" priority="17" operator="greaterThan">
      <formula>5</formula>
    </cfRule>
  </conditionalFormatting>
  <conditionalFormatting sqref="AE1">
    <cfRule type="cellIs" dxfId="29" priority="16" operator="lessThan">
      <formula>6</formula>
    </cfRule>
  </conditionalFormatting>
  <conditionalFormatting sqref="AG1:AG39 AG42:AG1048576">
    <cfRule type="cellIs" dxfId="28" priority="14" operator="greaterThan">
      <formula>14</formula>
    </cfRule>
  </conditionalFormatting>
  <conditionalFormatting sqref="AK1:AK39 AK42:AK1048576">
    <cfRule type="cellIs" dxfId="27" priority="15" operator="greaterThan">
      <formula>4</formula>
    </cfRule>
  </conditionalFormatting>
  <dataValidations xWindow="738" yWindow="371" count="12">
    <dataValidation allowBlank="1" showInputMessage="1" showErrorMessage="1" promptTitle="Petunjuk pengisian" prompt="Izin 20 Hari dalam 1 Semester dapat menurunkan satu nilai akhlaq" sqref="AE1" xr:uid="{00000000-0002-0000-0900-000000000000}"/>
    <dataValidation allowBlank="1" showInputMessage="1" showErrorMessage="1" promptTitle="Petunjuk Pengisian" prompt="Tidak Izin 6 Hari dalam 1 Semester dapat menurunkan satu nilai akhlaq" sqref="V45:V1048576 U2:U39 V1:V39" xr:uid="{00000000-0002-0000-0900-000001000000}"/>
    <dataValidation allowBlank="1" showInputMessage="1" showErrorMessage="1" promptTitle="petunjuk Pengisian " prompt="Izin 20 Hari dalam 1 Semester dapat menurunkan satu nilai akhlaq" sqref="U45:U1048576 U1" xr:uid="{00000000-0002-0000-0900-000002000000}"/>
    <dataValidation allowBlank="1" showInputMessage="1" showErrorMessage="1" promptTitle="PETUNJUIK PENGISIAN" prompt="IZIN 15 HARI DALAM 1 TAHUN (SEMESTER I &amp; II )MENURUNKAN SATU NILAI PRESTASI" sqref="AG42:AG1048576 AG1:AG39" xr:uid="{00000000-0002-0000-0900-000003000000}"/>
    <dataValidation allowBlank="1" showInputMessage="1" showErrorMessage="1" promptTitle="PETUNJUK PENGISIAN" prompt="TIDAK IZIN 5 HARI DALAM 1 TAHUN (SEMESTER I &amp; II )MENURUNKAN SATU NILAI PRESTASI" sqref="AK42:AK1048576 AK1:AK39" xr:uid="{00000000-0002-0000-0900-000004000000}"/>
    <dataValidation allowBlank="1" showInputMessage="1" showErrorMessage="1" promptTitle="petunjuk pengisian" prompt="Jumlah Nilai siswi Semester I &amp; II dibagi Jumlah Pelajaran semster I &amp; II" sqref="AB42:AB1048576 AB1:AB39" xr:uid="{00000000-0002-0000-0900-000005000000}"/>
    <dataValidation allowBlank="1" showInputMessage="1" showErrorMessage="1" promptTitle="Petunjuk Pengisian" prompt="Jumlah Mata pelajran semester I &amp; II" sqref="AA42:AA1048576 AA1:AA39" xr:uid="{00000000-0002-0000-0900-000006000000}"/>
    <dataValidation allowBlank="1" showInputMessage="1" showErrorMessage="1" promptTitle="Petunjuk pengisian" prompt="Jumlah Nilai Pelajaran siswi semester I &amp; II" sqref="Z42:Z1048576 Z1:Z39" xr:uid="{00000000-0002-0000-0900-000007000000}"/>
    <dataValidation allowBlank="1" showInputMessage="1" showErrorMessage="1" promptTitle="Petunjuk Pengisian" prompt="Jumlah Nilai pelajaran siswi" sqref="X42:Y1048576 X1:Y39" xr:uid="{00000000-0002-0000-0900-000008000000}"/>
    <dataValidation allowBlank="1" showInputMessage="1" showErrorMessage="1" promptTitle="Petunjuk Pengisian" prompt="jumlah nilai pelajaran seluruh siswi dibagi Jumlah siswi _x000a_- tanpa mengikutkan yang boyong _x000a_- cuty tetap diikutkan_x000a_- siswi yang her/ tanpa keterangan dikira kirakan 4 nilainya" sqref="H44 H59" xr:uid="{00000000-0002-0000-0900-000009000000}"/>
    <dataValidation allowBlank="1" showInputMessage="1" showErrorMessage="1" promptTitle="Petunjuk Pengisian" prompt="jumlah nilai pelajaran seluruh siswi dibagi Jumlah siswi _x000a_- tanpa mengikutkan yang boyong/ cuty_x000a_- siswi yang her/ tanpa keterangan dikira kirakan 4 nilainya" sqref="H45:H58" xr:uid="{00000000-0002-0000-0900-00000B000000}"/>
    <dataValidation allowBlank="1" showInputMessage="1" showErrorMessage="1" promptTitle="Petunjuk Pengisian" prompt="Jika Nilai Rata-ratanya mencapai_x000a_9 : الجيد الأول_x000a_8 : الجيد الثاني_x000a_7 : المتوسط الأول_x000a_6 : المتوسط الثاني_x000a_5 : الرديء/ المثبت" sqref="AC1:AC1048576" xr:uid="{00000000-0002-0000-0900-00000A000000}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K74"/>
  <sheetViews>
    <sheetView zoomScale="70" zoomScaleNormal="70" workbookViewId="0">
      <selection activeCell="AD5" sqref="AD5"/>
    </sheetView>
  </sheetViews>
  <sheetFormatPr defaultRowHeight="15" x14ac:dyDescent="0.25"/>
  <cols>
    <col min="1" max="1" width="15.85546875" customWidth="1"/>
    <col min="2" max="2" width="36.5703125" customWidth="1"/>
    <col min="3" max="3" width="17.140625" customWidth="1"/>
    <col min="4" max="4" width="15.85546875" customWidth="1"/>
    <col min="5" max="5" width="16.42578125" customWidth="1"/>
    <col min="7" max="7" width="18.140625" customWidth="1"/>
    <col min="8" max="8" width="17.28515625" customWidth="1"/>
    <col min="9" max="9" width="16" customWidth="1"/>
    <col min="10" max="10" width="14.28515625" customWidth="1"/>
    <col min="11" max="13" width="17" customWidth="1"/>
    <col min="14" max="14" width="16.28515625" customWidth="1"/>
    <col min="15" max="15" width="13.7109375" customWidth="1"/>
    <col min="16" max="17" width="16" customWidth="1"/>
    <col min="18" max="18" width="11.42578125" customWidth="1"/>
    <col min="20" max="20" width="30.42578125" customWidth="1"/>
    <col min="29" max="29" width="16.42578125" customWidth="1"/>
  </cols>
  <sheetData>
    <row r="1" spans="1:37" s="20" customFormat="1" ht="25.15" customHeight="1" thickBot="1" x14ac:dyDescent="0.3">
      <c r="A1" s="34" t="s">
        <v>1</v>
      </c>
      <c r="B1" s="11" t="s">
        <v>0</v>
      </c>
      <c r="C1" s="11" t="s">
        <v>2</v>
      </c>
      <c r="D1" s="11" t="s">
        <v>13</v>
      </c>
      <c r="E1" s="39" t="s">
        <v>3</v>
      </c>
      <c r="F1" s="36"/>
      <c r="G1" s="21" t="s">
        <v>51</v>
      </c>
      <c r="H1" s="21" t="s">
        <v>4</v>
      </c>
      <c r="I1" s="22" t="s">
        <v>52</v>
      </c>
      <c r="J1" s="21" t="s">
        <v>5</v>
      </c>
      <c r="K1" s="21" t="s">
        <v>53</v>
      </c>
      <c r="L1" s="21" t="s">
        <v>73</v>
      </c>
      <c r="M1" s="21" t="s">
        <v>54</v>
      </c>
      <c r="N1" s="21" t="s">
        <v>55</v>
      </c>
      <c r="O1" s="22" t="s">
        <v>57</v>
      </c>
      <c r="P1" s="12" t="s">
        <v>6</v>
      </c>
      <c r="Q1" s="12" t="s">
        <v>7</v>
      </c>
      <c r="R1" s="12" t="s">
        <v>8</v>
      </c>
      <c r="S1" s="12" t="s">
        <v>9</v>
      </c>
      <c r="T1" s="13" t="s">
        <v>10</v>
      </c>
      <c r="U1" s="43" t="s">
        <v>11</v>
      </c>
      <c r="V1" s="43" t="s">
        <v>12</v>
      </c>
      <c r="X1" s="26" t="s">
        <v>58</v>
      </c>
      <c r="Y1" s="26" t="s">
        <v>59</v>
      </c>
      <c r="Z1" s="26" t="s">
        <v>60</v>
      </c>
      <c r="AA1" s="26" t="s">
        <v>61</v>
      </c>
      <c r="AB1" s="26" t="s">
        <v>62</v>
      </c>
      <c r="AC1" s="26" t="s">
        <v>63</v>
      </c>
      <c r="AE1" s="47" t="s">
        <v>67</v>
      </c>
      <c r="AF1" s="48" t="s">
        <v>68</v>
      </c>
      <c r="AG1" s="49" t="s">
        <v>69</v>
      </c>
      <c r="AH1" s="42"/>
      <c r="AI1" s="50" t="s">
        <v>70</v>
      </c>
      <c r="AJ1" s="50" t="s">
        <v>71</v>
      </c>
      <c r="AK1" s="49" t="s">
        <v>72</v>
      </c>
    </row>
    <row r="2" spans="1:37" s="1" customFormat="1" ht="25.15" customHeight="1" thickBot="1" x14ac:dyDescent="0.3">
      <c r="A2" s="71" t="str">
        <f>'2 ALIYAH E'!A2</f>
        <v>01</v>
      </c>
      <c r="B2" s="40" t="str">
        <f>'2 ALIYAH E'!B2</f>
        <v>DEWI FATMAWATI</v>
      </c>
      <c r="C2" s="68">
        <f>'2 ALIYAH E'!C2</f>
        <v>2754</v>
      </c>
      <c r="D2" s="19" t="s">
        <v>14</v>
      </c>
      <c r="E2" s="3" t="str">
        <f>TEXT(F2,"[$-2000000]0")</f>
        <v>٧</v>
      </c>
      <c r="F2" s="3">
        <v>7</v>
      </c>
      <c r="G2" s="3" t="s">
        <v>56</v>
      </c>
      <c r="H2" s="3">
        <v>7</v>
      </c>
      <c r="I2" s="3">
        <v>9</v>
      </c>
      <c r="J2" s="3">
        <v>9</v>
      </c>
      <c r="K2" s="3">
        <v>9</v>
      </c>
      <c r="L2" s="3">
        <v>8</v>
      </c>
      <c r="M2" s="3">
        <v>8</v>
      </c>
      <c r="N2" s="3">
        <v>7</v>
      </c>
      <c r="O2" s="3">
        <v>6</v>
      </c>
      <c r="P2" s="3">
        <v>9</v>
      </c>
      <c r="Q2" s="3">
        <v>8</v>
      </c>
      <c r="R2" s="3">
        <v>8</v>
      </c>
      <c r="S2" s="3">
        <v>8</v>
      </c>
      <c r="T2" s="4">
        <f t="shared" ref="T2:T32" si="0">SUM(E2:S2)</f>
        <v>103</v>
      </c>
      <c r="U2" s="44">
        <v>3</v>
      </c>
      <c r="V2" s="44" t="s">
        <v>56</v>
      </c>
      <c r="X2" s="27">
        <f>'2 ALIYAH E'!T2</f>
        <v>98</v>
      </c>
      <c r="Y2" s="27">
        <f t="shared" ref="Y2:Y32" si="1">T2</f>
        <v>103</v>
      </c>
      <c r="Z2" s="28">
        <f t="shared" ref="Z2:Z32" si="2">X2+Y2</f>
        <v>201</v>
      </c>
      <c r="AA2" s="27">
        <v>26</v>
      </c>
      <c r="AB2" s="28">
        <f>Z2/AA2</f>
        <v>8</v>
      </c>
      <c r="AC2" s="29" t="str">
        <f t="shared" ref="AC2:AC32" si="3">IF(AB2&gt;=8.5,"الجيد الأول",IF(AB2&gt;=7.5,"الجيد الثاني",IF(AB2&gt;=6.5,"المتوسط الأول",IF(AB2&gt;=5.5,"المتوسط الثاني",IF(AB2&gt;=4.5,"الرديء",)))))</f>
        <v>الجيد الثاني</v>
      </c>
      <c r="AE2" s="51">
        <f>'2 ALIYAH E'!U2</f>
        <v>7</v>
      </c>
      <c r="AF2" s="51">
        <f>U2:U32</f>
        <v>3</v>
      </c>
      <c r="AG2" s="52">
        <f>SUM(AE2:AF2)</f>
        <v>10</v>
      </c>
      <c r="AI2" s="51" t="str">
        <f>'2 ALIYAH E'!V2</f>
        <v>-</v>
      </c>
      <c r="AJ2" s="51" t="str">
        <f>V2:V25</f>
        <v>-</v>
      </c>
      <c r="AK2" s="52">
        <f>SUM(AI2:AJ2)</f>
        <v>0</v>
      </c>
    </row>
    <row r="3" spans="1:37" s="1" customFormat="1" ht="25.15" customHeight="1" thickBot="1" x14ac:dyDescent="0.3">
      <c r="A3" s="71" t="str">
        <f>'2 ALIYAH E'!A3</f>
        <v>02</v>
      </c>
      <c r="B3" s="40" t="str">
        <f>'2 ALIYAH E'!B3</f>
        <v>DIAH AYU ROSITA</v>
      </c>
      <c r="C3" s="68">
        <f>'2 ALIYAH E'!C3</f>
        <v>2755</v>
      </c>
      <c r="D3" s="19" t="s">
        <v>15</v>
      </c>
      <c r="E3" s="3" t="str">
        <f t="shared" ref="E3:E32" si="4">TEXT(F3,"[$-2000000]0")</f>
        <v>٧</v>
      </c>
      <c r="F3" s="3">
        <v>7</v>
      </c>
      <c r="G3" s="3" t="s">
        <v>56</v>
      </c>
      <c r="H3" s="3">
        <v>8</v>
      </c>
      <c r="I3" s="3">
        <v>8</v>
      </c>
      <c r="J3" s="3">
        <v>6</v>
      </c>
      <c r="K3" s="3">
        <v>7</v>
      </c>
      <c r="L3" s="3">
        <v>8</v>
      </c>
      <c r="M3" s="3">
        <v>5</v>
      </c>
      <c r="N3" s="3">
        <v>5</v>
      </c>
      <c r="O3" s="3">
        <v>9</v>
      </c>
      <c r="P3" s="3">
        <v>8</v>
      </c>
      <c r="Q3" s="3">
        <v>8</v>
      </c>
      <c r="R3" s="3">
        <v>8</v>
      </c>
      <c r="S3" s="3">
        <v>8</v>
      </c>
      <c r="T3" s="4">
        <f t="shared" si="0"/>
        <v>95</v>
      </c>
      <c r="U3" s="44">
        <v>3</v>
      </c>
      <c r="V3" s="44">
        <v>1</v>
      </c>
      <c r="X3" s="27">
        <f>'2 ALIYAH E'!T3</f>
        <v>96</v>
      </c>
      <c r="Y3" s="27">
        <f t="shared" si="1"/>
        <v>95</v>
      </c>
      <c r="Z3" s="28">
        <f t="shared" si="2"/>
        <v>191</v>
      </c>
      <c r="AA3" s="27">
        <v>26</v>
      </c>
      <c r="AB3" s="28">
        <f t="shared" ref="AB3:AB32" si="5">Z3/AA3</f>
        <v>7</v>
      </c>
      <c r="AC3" s="29" t="str">
        <f t="shared" si="3"/>
        <v>المتوسط الأول</v>
      </c>
      <c r="AE3" s="51" t="str">
        <f>'2 ALIYAH E'!U3</f>
        <v>-</v>
      </c>
      <c r="AF3" s="51">
        <f>U3:U32</f>
        <v>3</v>
      </c>
      <c r="AG3" s="52">
        <f t="shared" ref="AG3:AG32" si="6">SUM(AE3:AF3)</f>
        <v>3</v>
      </c>
      <c r="AI3" s="51" t="str">
        <f>'2 ALIYAH E'!V3</f>
        <v>-</v>
      </c>
      <c r="AJ3" s="51">
        <f>V3:V26</f>
        <v>1</v>
      </c>
      <c r="AK3" s="52">
        <f t="shared" ref="AK3:AK32" si="7">SUM(AI3:AJ3)</f>
        <v>1</v>
      </c>
    </row>
    <row r="4" spans="1:37" s="1" customFormat="1" ht="25.15" customHeight="1" thickBot="1" x14ac:dyDescent="0.3">
      <c r="A4" s="71" t="str">
        <f>'2 ALIYAH E'!A4</f>
        <v>03</v>
      </c>
      <c r="B4" s="40" t="str">
        <f>'2 ALIYAH E'!B4</f>
        <v>DITYA KHAILILA KHUSNA</v>
      </c>
      <c r="C4" s="68">
        <f>'2 ALIYAH E'!C4</f>
        <v>2823</v>
      </c>
      <c r="D4" s="19" t="s">
        <v>16</v>
      </c>
      <c r="E4" s="3" t="str">
        <f t="shared" si="4"/>
        <v>٨</v>
      </c>
      <c r="F4" s="3">
        <v>8</v>
      </c>
      <c r="G4" s="3" t="s">
        <v>56</v>
      </c>
      <c r="H4" s="3">
        <v>9</v>
      </c>
      <c r="I4" s="3">
        <v>9</v>
      </c>
      <c r="J4" s="3">
        <v>9</v>
      </c>
      <c r="K4" s="3">
        <v>9</v>
      </c>
      <c r="L4" s="3">
        <v>8</v>
      </c>
      <c r="M4" s="3">
        <v>8</v>
      </c>
      <c r="N4" s="3">
        <v>9</v>
      </c>
      <c r="O4" s="3">
        <v>9</v>
      </c>
      <c r="P4" s="3">
        <v>8</v>
      </c>
      <c r="Q4" s="3">
        <v>8</v>
      </c>
      <c r="R4" s="3">
        <v>8</v>
      </c>
      <c r="S4" s="3">
        <v>8</v>
      </c>
      <c r="T4" s="4">
        <f t="shared" si="0"/>
        <v>110</v>
      </c>
      <c r="U4" s="44" t="s">
        <v>56</v>
      </c>
      <c r="V4" s="44" t="s">
        <v>56</v>
      </c>
      <c r="X4" s="27">
        <f>'2 ALIYAH E'!T4</f>
        <v>96</v>
      </c>
      <c r="Y4" s="27">
        <f t="shared" si="1"/>
        <v>110</v>
      </c>
      <c r="Z4" s="28">
        <f t="shared" si="2"/>
        <v>206</v>
      </c>
      <c r="AA4" s="27">
        <v>26</v>
      </c>
      <c r="AB4" s="28">
        <f t="shared" si="5"/>
        <v>8</v>
      </c>
      <c r="AC4" s="29" t="str">
        <f t="shared" si="3"/>
        <v>الجيد الثاني</v>
      </c>
      <c r="AE4" s="51">
        <f>'2 ALIYAH E'!U4</f>
        <v>12</v>
      </c>
      <c r="AF4" s="51" t="str">
        <f>U4:U32</f>
        <v>-</v>
      </c>
      <c r="AG4" s="52">
        <f t="shared" si="6"/>
        <v>12</v>
      </c>
      <c r="AI4" s="51">
        <f>'2 ALIYAH E'!V4</f>
        <v>17</v>
      </c>
      <c r="AJ4" s="51" t="str">
        <f>V4:V27</f>
        <v>-</v>
      </c>
      <c r="AK4" s="52">
        <f t="shared" si="7"/>
        <v>17</v>
      </c>
    </row>
    <row r="5" spans="1:37" s="218" customFormat="1" ht="25.15" customHeight="1" thickBot="1" x14ac:dyDescent="0.3">
      <c r="A5" s="248" t="str">
        <f>'2 ALIYAH E'!A5</f>
        <v>04</v>
      </c>
      <c r="B5" s="249" t="str">
        <f>'2 ALIYAH E'!B5</f>
        <v>ELZA ALVIN NUR AMALIA</v>
      </c>
      <c r="C5" s="250">
        <f>'2 ALIYAH E'!C5</f>
        <v>2824</v>
      </c>
      <c r="D5" s="19" t="s">
        <v>17</v>
      </c>
      <c r="E5" s="216" t="str">
        <f t="shared" si="4"/>
        <v>٩</v>
      </c>
      <c r="F5" s="216">
        <v>9</v>
      </c>
      <c r="G5" s="216" t="s">
        <v>56</v>
      </c>
      <c r="H5" s="216">
        <v>9</v>
      </c>
      <c r="I5" s="216">
        <v>9</v>
      </c>
      <c r="J5" s="216">
        <v>9</v>
      </c>
      <c r="K5" s="216">
        <v>8</v>
      </c>
      <c r="L5" s="216">
        <v>9</v>
      </c>
      <c r="M5" s="216">
        <v>7</v>
      </c>
      <c r="N5" s="216">
        <v>9</v>
      </c>
      <c r="O5" s="216">
        <v>8</v>
      </c>
      <c r="P5" s="216">
        <v>9</v>
      </c>
      <c r="Q5" s="216">
        <v>8</v>
      </c>
      <c r="R5" s="216">
        <v>8</v>
      </c>
      <c r="S5" s="216">
        <v>8</v>
      </c>
      <c r="T5" s="216">
        <f t="shared" si="0"/>
        <v>110</v>
      </c>
      <c r="U5" s="217" t="s">
        <v>56</v>
      </c>
      <c r="V5" s="217" t="s">
        <v>56</v>
      </c>
      <c r="X5" s="219">
        <f>'2 ALIYAH E'!T5</f>
        <v>104</v>
      </c>
      <c r="Y5" s="219">
        <f t="shared" si="1"/>
        <v>110</v>
      </c>
      <c r="Z5" s="219">
        <f t="shared" si="2"/>
        <v>214</v>
      </c>
      <c r="AA5" s="219">
        <v>26</v>
      </c>
      <c r="AB5" s="219">
        <f t="shared" si="5"/>
        <v>8</v>
      </c>
      <c r="AC5" s="219" t="str">
        <f t="shared" si="3"/>
        <v>الجيد الثاني</v>
      </c>
      <c r="AE5" s="220">
        <f>'2 ALIYAH E'!U5</f>
        <v>2</v>
      </c>
      <c r="AF5" s="220" t="str">
        <f>U5:U32</f>
        <v>-</v>
      </c>
      <c r="AG5" s="220">
        <f t="shared" si="6"/>
        <v>2</v>
      </c>
      <c r="AI5" s="220" t="str">
        <f>'2 ALIYAH E'!V5</f>
        <v>-</v>
      </c>
      <c r="AJ5" s="220" t="str">
        <f>V5:V28</f>
        <v>-</v>
      </c>
      <c r="AK5" s="220">
        <f t="shared" si="7"/>
        <v>0</v>
      </c>
    </row>
    <row r="6" spans="1:37" s="1" customFormat="1" ht="25.15" customHeight="1" thickBot="1" x14ac:dyDescent="0.3">
      <c r="A6" s="71" t="str">
        <f>'2 ALIYAH E'!A6</f>
        <v>05</v>
      </c>
      <c r="B6" s="40" t="str">
        <f>'2 ALIYAH E'!B6</f>
        <v>ENI SUPRIATI NINGSIH</v>
      </c>
      <c r="C6" s="68">
        <f>'2 ALIYAH E'!C6</f>
        <v>2825</v>
      </c>
      <c r="D6" s="19" t="s">
        <v>18</v>
      </c>
      <c r="E6" s="3" t="str">
        <f t="shared" si="4"/>
        <v>٥</v>
      </c>
      <c r="F6" s="3">
        <v>5</v>
      </c>
      <c r="G6" s="3" t="s">
        <v>56</v>
      </c>
      <c r="H6" s="3">
        <v>5</v>
      </c>
      <c r="I6" s="3">
        <v>5</v>
      </c>
      <c r="J6" s="3">
        <v>5</v>
      </c>
      <c r="K6" s="3">
        <v>4</v>
      </c>
      <c r="L6" s="3">
        <v>5</v>
      </c>
      <c r="M6" s="3">
        <v>5</v>
      </c>
      <c r="N6" s="3">
        <v>5</v>
      </c>
      <c r="O6" s="3">
        <v>5</v>
      </c>
      <c r="P6" s="3">
        <v>7</v>
      </c>
      <c r="Q6" s="3">
        <v>7</v>
      </c>
      <c r="R6" s="3">
        <v>7</v>
      </c>
      <c r="S6" s="3">
        <v>8</v>
      </c>
      <c r="T6" s="4">
        <f t="shared" si="0"/>
        <v>73</v>
      </c>
      <c r="U6" s="44" t="s">
        <v>56</v>
      </c>
      <c r="V6" s="44" t="s">
        <v>56</v>
      </c>
      <c r="X6" s="27">
        <f>'2 ALIYAH E'!T6</f>
        <v>76</v>
      </c>
      <c r="Y6" s="27">
        <f t="shared" si="1"/>
        <v>73</v>
      </c>
      <c r="Z6" s="28">
        <f t="shared" si="2"/>
        <v>149</v>
      </c>
      <c r="AA6" s="27">
        <v>26</v>
      </c>
      <c r="AB6" s="28">
        <f t="shared" si="5"/>
        <v>6</v>
      </c>
      <c r="AC6" s="29" t="str">
        <f t="shared" si="3"/>
        <v>المتوسط الثاني</v>
      </c>
      <c r="AE6" s="51" t="str">
        <f>'2 ALIYAH E'!U6</f>
        <v>-</v>
      </c>
      <c r="AF6" s="51" t="str">
        <f>U6:U32</f>
        <v>-</v>
      </c>
      <c r="AG6" s="52">
        <f t="shared" si="6"/>
        <v>0</v>
      </c>
      <c r="AI6" s="51" t="str">
        <f>'2 ALIYAH E'!V6</f>
        <v>-</v>
      </c>
      <c r="AJ6" s="51" t="str">
        <f>V6:V28</f>
        <v>-</v>
      </c>
      <c r="AK6" s="52">
        <f t="shared" si="7"/>
        <v>0</v>
      </c>
    </row>
    <row r="7" spans="1:37" s="101" customFormat="1" ht="25.15" customHeight="1" thickBot="1" x14ac:dyDescent="0.3">
      <c r="A7" s="204" t="str">
        <f>'2 ALIYAH E'!A7</f>
        <v>06</v>
      </c>
      <c r="B7" s="225" t="str">
        <f>'2 ALIYAH E'!B7</f>
        <v>FATHIMAH AL BATUL</v>
      </c>
      <c r="C7" s="68">
        <f>'2 ALIYAH E'!C7</f>
        <v>2826</v>
      </c>
      <c r="D7" s="19" t="s">
        <v>19</v>
      </c>
      <c r="E7" s="151" t="str">
        <f t="shared" si="4"/>
        <v>٨</v>
      </c>
      <c r="F7" s="3">
        <v>8</v>
      </c>
      <c r="G7" s="3" t="s">
        <v>56</v>
      </c>
      <c r="H7" s="3">
        <v>9</v>
      </c>
      <c r="I7" s="3">
        <v>9</v>
      </c>
      <c r="J7" s="3">
        <v>8</v>
      </c>
      <c r="K7" s="3">
        <v>6</v>
      </c>
      <c r="L7" s="3">
        <v>8</v>
      </c>
      <c r="M7" s="3">
        <v>6</v>
      </c>
      <c r="N7" s="3">
        <v>8</v>
      </c>
      <c r="O7" s="3">
        <v>7</v>
      </c>
      <c r="P7" s="3">
        <v>8</v>
      </c>
      <c r="Q7" s="3">
        <v>8</v>
      </c>
      <c r="R7" s="3">
        <v>8</v>
      </c>
      <c r="S7" s="3">
        <v>8</v>
      </c>
      <c r="T7" s="4">
        <f t="shared" si="0"/>
        <v>101</v>
      </c>
      <c r="U7" s="44" t="s">
        <v>56</v>
      </c>
      <c r="V7" s="44">
        <v>1</v>
      </c>
      <c r="X7" s="27">
        <f>'2 ALIYAH E'!T7</f>
        <v>87</v>
      </c>
      <c r="Y7" s="27">
        <f t="shared" si="1"/>
        <v>101</v>
      </c>
      <c r="Z7" s="28">
        <f t="shared" si="2"/>
        <v>188</v>
      </c>
      <c r="AA7" s="27">
        <v>26</v>
      </c>
      <c r="AB7" s="102">
        <f t="shared" si="5"/>
        <v>7</v>
      </c>
      <c r="AC7" s="102" t="str">
        <f t="shared" si="3"/>
        <v>المتوسط الأول</v>
      </c>
      <c r="AE7" s="103">
        <f>'2 ALIYAH E'!U7</f>
        <v>1</v>
      </c>
      <c r="AF7" s="103" t="str">
        <f>U7:U32</f>
        <v>-</v>
      </c>
      <c r="AG7" s="103">
        <f t="shared" si="6"/>
        <v>1</v>
      </c>
      <c r="AI7" s="103" t="str">
        <f>'2 ALIYAH E'!V7</f>
        <v>-</v>
      </c>
      <c r="AJ7" s="103">
        <f>V7:V29</f>
        <v>1</v>
      </c>
      <c r="AK7" s="103">
        <f t="shared" si="7"/>
        <v>1</v>
      </c>
    </row>
    <row r="8" spans="1:37" s="1" customFormat="1" ht="25.15" customHeight="1" thickBot="1" x14ac:dyDescent="0.3">
      <c r="A8" s="71" t="str">
        <f>'2 ALIYAH E'!A8</f>
        <v>07</v>
      </c>
      <c r="B8" s="40" t="str">
        <f>'2 ALIYAH E'!B8</f>
        <v>HANUM MASRUROH</v>
      </c>
      <c r="C8" s="68">
        <f>'2 ALIYAH E'!C8</f>
        <v>2655</v>
      </c>
      <c r="D8" s="19" t="s">
        <v>20</v>
      </c>
      <c r="E8" s="3" t="str">
        <f t="shared" si="4"/>
        <v>٩</v>
      </c>
      <c r="F8" s="3">
        <v>9</v>
      </c>
      <c r="G8" s="3" t="s">
        <v>56</v>
      </c>
      <c r="H8" s="3">
        <v>9</v>
      </c>
      <c r="I8" s="3">
        <v>9</v>
      </c>
      <c r="J8" s="3">
        <v>9</v>
      </c>
      <c r="K8" s="3">
        <v>8</v>
      </c>
      <c r="L8" s="3">
        <v>9</v>
      </c>
      <c r="M8" s="3">
        <v>9</v>
      </c>
      <c r="N8" s="3">
        <v>9</v>
      </c>
      <c r="O8" s="3">
        <v>9</v>
      </c>
      <c r="P8" s="3">
        <v>8</v>
      </c>
      <c r="Q8" s="3">
        <v>8</v>
      </c>
      <c r="R8" s="3">
        <v>8</v>
      </c>
      <c r="S8" s="3">
        <v>8</v>
      </c>
      <c r="T8" s="4">
        <f t="shared" si="0"/>
        <v>112</v>
      </c>
      <c r="U8" s="44" t="s">
        <v>56</v>
      </c>
      <c r="V8" s="44" t="s">
        <v>56</v>
      </c>
      <c r="X8" s="27">
        <f>'2 ALIYAH E'!T8</f>
        <v>108</v>
      </c>
      <c r="Y8" s="27">
        <f t="shared" si="1"/>
        <v>112</v>
      </c>
      <c r="Z8" s="28">
        <f t="shared" si="2"/>
        <v>220</v>
      </c>
      <c r="AA8" s="27">
        <v>26</v>
      </c>
      <c r="AB8" s="28">
        <f t="shared" si="5"/>
        <v>8</v>
      </c>
      <c r="AC8" s="29" t="str">
        <f t="shared" si="3"/>
        <v>الجيد الثاني</v>
      </c>
      <c r="AE8" s="51" t="str">
        <f>'2 ALIYAH E'!U8</f>
        <v>-</v>
      </c>
      <c r="AF8" s="51" t="str">
        <f>U8:U32</f>
        <v>-</v>
      </c>
      <c r="AG8" s="52">
        <f t="shared" si="6"/>
        <v>0</v>
      </c>
      <c r="AI8" s="51" t="str">
        <f>'2 ALIYAH E'!V8</f>
        <v>-</v>
      </c>
      <c r="AJ8" s="51" t="str">
        <f>V8:V29</f>
        <v>-</v>
      </c>
      <c r="AK8" s="52">
        <f t="shared" si="7"/>
        <v>0</v>
      </c>
    </row>
    <row r="9" spans="1:37" s="1" customFormat="1" ht="25.15" customHeight="1" thickBot="1" x14ac:dyDescent="0.3">
      <c r="A9" s="71" t="str">
        <f>'2 ALIYAH E'!A9</f>
        <v>08</v>
      </c>
      <c r="B9" s="40" t="str">
        <f>'2 ALIYAH E'!B9</f>
        <v>HASUNAH</v>
      </c>
      <c r="C9" s="68">
        <f>'2 ALIYAH E'!C9</f>
        <v>2803</v>
      </c>
      <c r="D9" s="19" t="s">
        <v>21</v>
      </c>
      <c r="E9" s="3" t="str">
        <f t="shared" si="4"/>
        <v>٧</v>
      </c>
      <c r="F9" s="3">
        <v>7</v>
      </c>
      <c r="G9" s="3" t="s">
        <v>56</v>
      </c>
      <c r="H9" s="3">
        <v>9</v>
      </c>
      <c r="I9" s="3">
        <v>9</v>
      </c>
      <c r="J9" s="3">
        <v>8</v>
      </c>
      <c r="K9" s="3">
        <v>9</v>
      </c>
      <c r="L9" s="3">
        <v>8</v>
      </c>
      <c r="M9" s="3">
        <v>6</v>
      </c>
      <c r="N9" s="3">
        <v>8</v>
      </c>
      <c r="O9" s="3">
        <v>8</v>
      </c>
      <c r="P9" s="3">
        <v>8</v>
      </c>
      <c r="Q9" s="3">
        <v>8</v>
      </c>
      <c r="R9" s="3">
        <v>8</v>
      </c>
      <c r="S9" s="3">
        <v>8</v>
      </c>
      <c r="T9" s="4">
        <f t="shared" si="0"/>
        <v>104</v>
      </c>
      <c r="U9" s="44" t="s">
        <v>56</v>
      </c>
      <c r="V9" s="44" t="s">
        <v>56</v>
      </c>
      <c r="X9" s="27">
        <f>'2 ALIYAH E'!T9</f>
        <v>103</v>
      </c>
      <c r="Y9" s="27">
        <f t="shared" si="1"/>
        <v>104</v>
      </c>
      <c r="Z9" s="28">
        <f t="shared" si="2"/>
        <v>207</v>
      </c>
      <c r="AA9" s="27">
        <v>26</v>
      </c>
      <c r="AB9" s="28">
        <f t="shared" si="5"/>
        <v>8</v>
      </c>
      <c r="AC9" s="29" t="str">
        <f t="shared" si="3"/>
        <v>الجيد الثاني</v>
      </c>
      <c r="AE9" s="51" t="str">
        <f>'2 ALIYAH E'!U9</f>
        <v>-</v>
      </c>
      <c r="AF9" s="51" t="str">
        <f>U9:U32</f>
        <v>-</v>
      </c>
      <c r="AG9" s="52">
        <f t="shared" si="6"/>
        <v>0</v>
      </c>
      <c r="AI9" s="51" t="str">
        <f>'2 ALIYAH E'!V9</f>
        <v>-</v>
      </c>
      <c r="AJ9" s="51" t="str">
        <f>V9:V30</f>
        <v>-</v>
      </c>
      <c r="AK9" s="52">
        <f t="shared" si="7"/>
        <v>0</v>
      </c>
    </row>
    <row r="10" spans="1:37" s="1" customFormat="1" ht="25.15" customHeight="1" thickBot="1" x14ac:dyDescent="0.3">
      <c r="A10" s="71" t="str">
        <f>'2 ALIYAH E'!A10</f>
        <v>09</v>
      </c>
      <c r="B10" s="40" t="str">
        <f>'2 ALIYAH E'!B10</f>
        <v>JESI LESTARI</v>
      </c>
      <c r="C10" s="68">
        <f>'2 ALIYAH E'!C10</f>
        <v>2863</v>
      </c>
      <c r="D10" s="19" t="s">
        <v>22</v>
      </c>
      <c r="E10" s="3" t="str">
        <f t="shared" si="4"/>
        <v>٥</v>
      </c>
      <c r="F10" s="3">
        <v>5</v>
      </c>
      <c r="G10" s="3" t="s">
        <v>56</v>
      </c>
      <c r="H10" s="3">
        <v>6</v>
      </c>
      <c r="I10" s="3">
        <v>6</v>
      </c>
      <c r="J10" s="3">
        <v>5</v>
      </c>
      <c r="K10" s="3">
        <v>6</v>
      </c>
      <c r="L10" s="3">
        <v>4</v>
      </c>
      <c r="M10" s="3">
        <v>5</v>
      </c>
      <c r="N10" s="3">
        <v>5</v>
      </c>
      <c r="O10" s="3">
        <v>5</v>
      </c>
      <c r="P10" s="3">
        <v>7</v>
      </c>
      <c r="Q10" s="3">
        <v>6</v>
      </c>
      <c r="R10" s="3">
        <v>7</v>
      </c>
      <c r="S10" s="3">
        <v>8</v>
      </c>
      <c r="T10" s="4">
        <f t="shared" si="0"/>
        <v>75</v>
      </c>
      <c r="U10" s="44" t="s">
        <v>56</v>
      </c>
      <c r="V10" s="44" t="s">
        <v>56</v>
      </c>
      <c r="X10" s="27">
        <f>'2 ALIYAH E'!T10</f>
        <v>77</v>
      </c>
      <c r="Y10" s="27">
        <f t="shared" si="1"/>
        <v>75</v>
      </c>
      <c r="Z10" s="28">
        <f t="shared" si="2"/>
        <v>152</v>
      </c>
      <c r="AA10" s="27">
        <v>26</v>
      </c>
      <c r="AB10" s="28">
        <f t="shared" si="5"/>
        <v>6</v>
      </c>
      <c r="AC10" s="29" t="str">
        <f t="shared" si="3"/>
        <v>المتوسط الثاني</v>
      </c>
      <c r="AE10" s="51" t="str">
        <f>'2 ALIYAH E'!U10</f>
        <v>-</v>
      </c>
      <c r="AF10" s="51" t="str">
        <f>U10:U32</f>
        <v>-</v>
      </c>
      <c r="AG10" s="52">
        <f t="shared" si="6"/>
        <v>0</v>
      </c>
      <c r="AI10" s="51" t="str">
        <f>'2 ALIYAH E'!V10</f>
        <v>-</v>
      </c>
      <c r="AJ10" s="51" t="str">
        <f>V10:V31</f>
        <v>-</v>
      </c>
      <c r="AK10" s="52">
        <f t="shared" si="7"/>
        <v>0</v>
      </c>
    </row>
    <row r="11" spans="1:37" s="1" customFormat="1" ht="25.15" customHeight="1" thickBot="1" x14ac:dyDescent="0.3">
      <c r="A11" s="71">
        <f>'2 ALIYAH E'!A11</f>
        <v>10</v>
      </c>
      <c r="B11" s="40" t="str">
        <f>'2 ALIYAH E'!B11</f>
        <v>KIFA YATUT TAUBAH</v>
      </c>
      <c r="C11" s="68">
        <f>'2 ALIYAH E'!C11</f>
        <v>2807</v>
      </c>
      <c r="D11" s="19" t="s">
        <v>23</v>
      </c>
      <c r="E11" s="3" t="str">
        <f t="shared" si="4"/>
        <v>٩</v>
      </c>
      <c r="F11" s="3">
        <v>9</v>
      </c>
      <c r="G11" s="3" t="s">
        <v>56</v>
      </c>
      <c r="H11" s="3">
        <v>9</v>
      </c>
      <c r="I11" s="3">
        <v>9</v>
      </c>
      <c r="J11" s="3">
        <v>8</v>
      </c>
      <c r="K11" s="3">
        <v>7</v>
      </c>
      <c r="L11" s="3">
        <v>8</v>
      </c>
      <c r="M11" s="3">
        <v>8</v>
      </c>
      <c r="N11" s="3">
        <v>6</v>
      </c>
      <c r="O11" s="3">
        <v>7</v>
      </c>
      <c r="P11" s="3">
        <v>8</v>
      </c>
      <c r="Q11" s="3">
        <v>8</v>
      </c>
      <c r="R11" s="3">
        <v>8</v>
      </c>
      <c r="S11" s="3">
        <v>8</v>
      </c>
      <c r="T11" s="4">
        <f t="shared" si="0"/>
        <v>103</v>
      </c>
      <c r="U11" s="44" t="s">
        <v>56</v>
      </c>
      <c r="V11" s="44" t="s">
        <v>56</v>
      </c>
      <c r="X11" s="27">
        <f>'2 ALIYAH E'!T11</f>
        <v>104</v>
      </c>
      <c r="Y11" s="27">
        <f t="shared" si="1"/>
        <v>103</v>
      </c>
      <c r="Z11" s="28">
        <f t="shared" si="2"/>
        <v>207</v>
      </c>
      <c r="AA11" s="27">
        <v>26</v>
      </c>
      <c r="AB11" s="28">
        <f t="shared" si="5"/>
        <v>8</v>
      </c>
      <c r="AC11" s="29" t="str">
        <f t="shared" si="3"/>
        <v>الجيد الثاني</v>
      </c>
      <c r="AE11" s="51">
        <f>'2 ALIYAH E'!U11</f>
        <v>1</v>
      </c>
      <c r="AF11" s="51" t="str">
        <f>U11:U32</f>
        <v>-</v>
      </c>
      <c r="AG11" s="52">
        <f t="shared" si="6"/>
        <v>1</v>
      </c>
      <c r="AI11" s="51" t="str">
        <f>'2 ALIYAH E'!V11</f>
        <v>-</v>
      </c>
      <c r="AJ11" s="51" t="str">
        <f>V11:V32</f>
        <v>-</v>
      </c>
      <c r="AK11" s="52">
        <f t="shared" si="7"/>
        <v>0</v>
      </c>
    </row>
    <row r="12" spans="1:37" s="1" customFormat="1" ht="25.15" customHeight="1" thickBot="1" x14ac:dyDescent="0.3">
      <c r="A12" s="71">
        <f>'2 ALIYAH E'!A12</f>
        <v>12</v>
      </c>
      <c r="B12" s="40" t="str">
        <f>'2 ALIYAH E'!B12</f>
        <v>LUTFIA AZZAHRA</v>
      </c>
      <c r="C12" s="68">
        <f>'2 ALIYAH E'!C12</f>
        <v>2869</v>
      </c>
      <c r="D12" s="19" t="s">
        <v>24</v>
      </c>
      <c r="E12" s="3" t="str">
        <f t="shared" si="4"/>
        <v>٩</v>
      </c>
      <c r="F12" s="3">
        <v>9</v>
      </c>
      <c r="G12" s="3" t="s">
        <v>56</v>
      </c>
      <c r="H12" s="3">
        <v>9</v>
      </c>
      <c r="I12" s="3">
        <v>7</v>
      </c>
      <c r="J12" s="3">
        <v>9</v>
      </c>
      <c r="K12" s="3">
        <v>8</v>
      </c>
      <c r="L12" s="3">
        <v>9</v>
      </c>
      <c r="M12" s="3">
        <v>8</v>
      </c>
      <c r="N12" s="3">
        <v>7</v>
      </c>
      <c r="O12" s="3">
        <v>7</v>
      </c>
      <c r="P12" s="3">
        <v>8</v>
      </c>
      <c r="Q12" s="3">
        <v>8</v>
      </c>
      <c r="R12" s="3">
        <v>8</v>
      </c>
      <c r="S12" s="3">
        <v>8</v>
      </c>
      <c r="T12" s="4">
        <f t="shared" si="0"/>
        <v>105</v>
      </c>
      <c r="U12" s="44" t="s">
        <v>56</v>
      </c>
      <c r="V12" s="44" t="s">
        <v>56</v>
      </c>
      <c r="X12" s="27">
        <f>'2 ALIYAH E'!T12</f>
        <v>98</v>
      </c>
      <c r="Y12" s="27">
        <f t="shared" si="1"/>
        <v>105</v>
      </c>
      <c r="Z12" s="28">
        <f t="shared" si="2"/>
        <v>203</v>
      </c>
      <c r="AA12" s="27">
        <v>26</v>
      </c>
      <c r="AB12" s="28">
        <f t="shared" si="5"/>
        <v>8</v>
      </c>
      <c r="AC12" s="29" t="str">
        <f t="shared" si="3"/>
        <v>الجيد الثاني</v>
      </c>
      <c r="AE12" s="51" t="str">
        <f>'2 ALIYAH E'!U12</f>
        <v>-</v>
      </c>
      <c r="AF12" s="51" t="str">
        <f>U12:U32</f>
        <v>-</v>
      </c>
      <c r="AG12" s="52">
        <f t="shared" si="6"/>
        <v>0</v>
      </c>
      <c r="AI12" s="51" t="str">
        <f>'2 ALIYAH E'!V12</f>
        <v>-</v>
      </c>
      <c r="AJ12" s="51" t="str">
        <f>V12:V32</f>
        <v>-</v>
      </c>
      <c r="AK12" s="52">
        <f t="shared" si="7"/>
        <v>0</v>
      </c>
    </row>
    <row r="13" spans="1:37" s="1" customFormat="1" ht="25.15" customHeight="1" thickBot="1" x14ac:dyDescent="0.3">
      <c r="A13" s="71">
        <f>'2 ALIYAH E'!A13</f>
        <v>13</v>
      </c>
      <c r="B13" s="40" t="str">
        <f>'2 ALIYAH E'!B13</f>
        <v>MACHYA MAMLUATUL 'AZA</v>
      </c>
      <c r="C13" s="68">
        <f>'2 ALIYAH E'!C13</f>
        <v>2738</v>
      </c>
      <c r="D13" s="19" t="s">
        <v>25</v>
      </c>
      <c r="E13" s="3" t="str">
        <f t="shared" si="4"/>
        <v>٩</v>
      </c>
      <c r="F13" s="3">
        <v>9</v>
      </c>
      <c r="G13" s="3" t="s">
        <v>56</v>
      </c>
      <c r="H13" s="3">
        <v>9</v>
      </c>
      <c r="I13" s="3">
        <v>9</v>
      </c>
      <c r="J13" s="3">
        <v>9</v>
      </c>
      <c r="K13" s="3">
        <v>7</v>
      </c>
      <c r="L13" s="3">
        <v>9</v>
      </c>
      <c r="M13" s="3">
        <v>9</v>
      </c>
      <c r="N13" s="3">
        <v>9</v>
      </c>
      <c r="O13" s="3">
        <v>9</v>
      </c>
      <c r="P13" s="3">
        <v>9</v>
      </c>
      <c r="Q13" s="3">
        <v>9</v>
      </c>
      <c r="R13" s="3">
        <v>8</v>
      </c>
      <c r="S13" s="3">
        <v>8</v>
      </c>
      <c r="T13" s="4">
        <f t="shared" si="0"/>
        <v>113</v>
      </c>
      <c r="U13" s="44" t="s">
        <v>56</v>
      </c>
      <c r="V13" s="44" t="s">
        <v>56</v>
      </c>
      <c r="X13" s="27">
        <f>'2 ALIYAH E'!T13</f>
        <v>110</v>
      </c>
      <c r="Y13" s="27">
        <f t="shared" si="1"/>
        <v>113</v>
      </c>
      <c r="Z13" s="28">
        <f t="shared" si="2"/>
        <v>223</v>
      </c>
      <c r="AA13" s="27">
        <v>26</v>
      </c>
      <c r="AB13" s="28">
        <f t="shared" si="5"/>
        <v>9</v>
      </c>
      <c r="AC13" s="29" t="str">
        <f t="shared" si="3"/>
        <v>الجيد الأول</v>
      </c>
      <c r="AE13" s="51" t="str">
        <f>'2 ALIYAH E'!U13</f>
        <v>-</v>
      </c>
      <c r="AF13" s="51" t="str">
        <f>U13:U32</f>
        <v>-</v>
      </c>
      <c r="AG13" s="52">
        <f t="shared" si="6"/>
        <v>0</v>
      </c>
      <c r="AI13" s="51" t="str">
        <f>'2 ALIYAH E'!V13</f>
        <v>-</v>
      </c>
      <c r="AJ13" s="51" t="str">
        <f>V13:V32</f>
        <v>-</v>
      </c>
      <c r="AK13" s="52">
        <f t="shared" si="7"/>
        <v>0</v>
      </c>
    </row>
    <row r="14" spans="1:37" s="1" customFormat="1" ht="25.15" customHeight="1" thickBot="1" x14ac:dyDescent="0.3">
      <c r="A14" s="71">
        <f>'2 ALIYAH E'!A14</f>
        <v>14</v>
      </c>
      <c r="B14" s="40" t="str">
        <f>'2 ALIYAH E'!B14</f>
        <v>MARYAM</v>
      </c>
      <c r="C14" s="68">
        <f>'2 ALIYAH E'!C14</f>
        <v>2832</v>
      </c>
      <c r="D14" s="19" t="s">
        <v>26</v>
      </c>
      <c r="E14" s="3" t="str">
        <f t="shared" si="4"/>
        <v>٩</v>
      </c>
      <c r="F14" s="3">
        <v>9</v>
      </c>
      <c r="G14" s="3" t="s">
        <v>56</v>
      </c>
      <c r="H14" s="3">
        <v>9</v>
      </c>
      <c r="I14" s="3">
        <v>9</v>
      </c>
      <c r="J14" s="3">
        <v>9</v>
      </c>
      <c r="K14" s="3">
        <v>9</v>
      </c>
      <c r="L14" s="3">
        <v>9</v>
      </c>
      <c r="M14" s="3">
        <v>9</v>
      </c>
      <c r="N14" s="3">
        <v>9</v>
      </c>
      <c r="O14" s="3">
        <v>9</v>
      </c>
      <c r="P14" s="3">
        <v>9</v>
      </c>
      <c r="Q14" s="3">
        <v>9</v>
      </c>
      <c r="R14" s="3">
        <v>8</v>
      </c>
      <c r="S14" s="3">
        <v>8</v>
      </c>
      <c r="T14" s="4">
        <f t="shared" si="0"/>
        <v>115</v>
      </c>
      <c r="U14" s="44" t="s">
        <v>56</v>
      </c>
      <c r="V14" s="44" t="s">
        <v>56</v>
      </c>
      <c r="X14" s="27">
        <f>'2 ALIYAH E'!T14</f>
        <v>114</v>
      </c>
      <c r="Y14" s="27">
        <f t="shared" si="1"/>
        <v>115</v>
      </c>
      <c r="Z14" s="28">
        <f t="shared" si="2"/>
        <v>229</v>
      </c>
      <c r="AA14" s="27">
        <v>26</v>
      </c>
      <c r="AB14" s="28">
        <f t="shared" si="5"/>
        <v>9</v>
      </c>
      <c r="AC14" s="29" t="str">
        <f t="shared" si="3"/>
        <v>الجيد الأول</v>
      </c>
      <c r="AE14" s="51" t="str">
        <f>'2 ALIYAH E'!U14</f>
        <v>-</v>
      </c>
      <c r="AF14" s="51" t="str">
        <f>U14:U32</f>
        <v>-</v>
      </c>
      <c r="AG14" s="52">
        <f t="shared" si="6"/>
        <v>0</v>
      </c>
      <c r="AI14" s="51" t="str">
        <f>'2 ALIYAH E'!V14</f>
        <v>-</v>
      </c>
      <c r="AJ14" s="51" t="str">
        <f>V14:V32</f>
        <v>-</v>
      </c>
      <c r="AK14" s="52">
        <f t="shared" si="7"/>
        <v>0</v>
      </c>
    </row>
    <row r="15" spans="1:37" s="1" customFormat="1" ht="25.15" customHeight="1" thickBot="1" x14ac:dyDescent="0.3">
      <c r="A15" s="71">
        <f>'2 ALIYAH E'!A15</f>
        <v>15</v>
      </c>
      <c r="B15" s="40" t="str">
        <f>'2 ALIYAH E'!B15</f>
        <v>MAULA SAIDAH AYYAMI</v>
      </c>
      <c r="C15" s="68">
        <f>'2 ALIYAH E'!C15</f>
        <v>2768</v>
      </c>
      <c r="D15" s="19" t="s">
        <v>27</v>
      </c>
      <c r="E15" s="3" t="str">
        <f t="shared" si="4"/>
        <v>٧</v>
      </c>
      <c r="F15" s="3">
        <v>7</v>
      </c>
      <c r="G15" s="3" t="s">
        <v>56</v>
      </c>
      <c r="H15" s="3">
        <v>7</v>
      </c>
      <c r="I15" s="3">
        <v>5</v>
      </c>
      <c r="J15" s="3">
        <v>5</v>
      </c>
      <c r="K15" s="3">
        <v>6</v>
      </c>
      <c r="L15" s="3">
        <v>6</v>
      </c>
      <c r="M15" s="3">
        <v>5</v>
      </c>
      <c r="N15" s="3">
        <v>5</v>
      </c>
      <c r="O15" s="3">
        <v>6</v>
      </c>
      <c r="P15" s="3">
        <v>7</v>
      </c>
      <c r="Q15" s="3">
        <v>7</v>
      </c>
      <c r="R15" s="3">
        <v>7</v>
      </c>
      <c r="S15" s="3">
        <v>7</v>
      </c>
      <c r="T15" s="4">
        <f t="shared" si="0"/>
        <v>80</v>
      </c>
      <c r="U15" s="44" t="s">
        <v>56</v>
      </c>
      <c r="V15" s="44" t="s">
        <v>56</v>
      </c>
      <c r="X15" s="27">
        <f>'2 ALIYAH E'!T15</f>
        <v>80</v>
      </c>
      <c r="Y15" s="27">
        <f t="shared" si="1"/>
        <v>80</v>
      </c>
      <c r="Z15" s="28">
        <f t="shared" si="2"/>
        <v>160</v>
      </c>
      <c r="AA15" s="27">
        <v>26</v>
      </c>
      <c r="AB15" s="28">
        <f t="shared" si="5"/>
        <v>6</v>
      </c>
      <c r="AC15" s="29" t="str">
        <f t="shared" si="3"/>
        <v>المتوسط الثاني</v>
      </c>
      <c r="AE15" s="51" t="str">
        <f>'2 ALIYAH E'!U15</f>
        <v>-</v>
      </c>
      <c r="AF15" s="51" t="str">
        <f>U15:U32</f>
        <v>-</v>
      </c>
      <c r="AG15" s="52">
        <f t="shared" si="6"/>
        <v>0</v>
      </c>
      <c r="AI15" s="51" t="str">
        <f>'2 ALIYAH E'!V15</f>
        <v>-</v>
      </c>
      <c r="AJ15" s="51" t="str">
        <f>V15:V32</f>
        <v>-</v>
      </c>
      <c r="AK15" s="52">
        <f t="shared" si="7"/>
        <v>0</v>
      </c>
    </row>
    <row r="16" spans="1:37" s="1" customFormat="1" ht="25.15" customHeight="1" thickBot="1" x14ac:dyDescent="0.3">
      <c r="A16" s="71">
        <f>'2 ALIYAH E'!A16</f>
        <v>16</v>
      </c>
      <c r="B16" s="40" t="str">
        <f>'2 ALIYAH E'!B16</f>
        <v>MU'MINATUL AZIZAH</v>
      </c>
      <c r="C16" s="68">
        <f>'2 ALIYAH E'!C16</f>
        <v>2897</v>
      </c>
      <c r="D16" s="19" t="s">
        <v>28</v>
      </c>
      <c r="E16" s="3" t="str">
        <f t="shared" si="4"/>
        <v>٦</v>
      </c>
      <c r="F16" s="3">
        <v>6</v>
      </c>
      <c r="G16" s="3" t="s">
        <v>56</v>
      </c>
      <c r="H16" s="3">
        <v>7</v>
      </c>
      <c r="I16" s="3">
        <v>9</v>
      </c>
      <c r="J16" s="3">
        <v>6</v>
      </c>
      <c r="K16" s="3">
        <v>5</v>
      </c>
      <c r="L16" s="3">
        <v>6</v>
      </c>
      <c r="M16" s="3">
        <v>6</v>
      </c>
      <c r="N16" s="3">
        <v>5</v>
      </c>
      <c r="O16" s="3">
        <v>5</v>
      </c>
      <c r="P16" s="3">
        <v>8</v>
      </c>
      <c r="Q16" s="3">
        <v>8</v>
      </c>
      <c r="R16" s="3">
        <v>8</v>
      </c>
      <c r="S16" s="3">
        <v>8</v>
      </c>
      <c r="T16" s="4">
        <f t="shared" si="0"/>
        <v>87</v>
      </c>
      <c r="U16" s="44" t="s">
        <v>56</v>
      </c>
      <c r="V16" s="44" t="s">
        <v>56</v>
      </c>
      <c r="X16" s="27">
        <f>'2 ALIYAH E'!T16</f>
        <v>82</v>
      </c>
      <c r="Y16" s="27">
        <f t="shared" si="1"/>
        <v>87</v>
      </c>
      <c r="Z16" s="28">
        <f t="shared" si="2"/>
        <v>169</v>
      </c>
      <c r="AA16" s="27">
        <v>26</v>
      </c>
      <c r="AB16" s="28">
        <f t="shared" si="5"/>
        <v>7</v>
      </c>
      <c r="AC16" s="29" t="str">
        <f t="shared" si="3"/>
        <v>المتوسط الأول</v>
      </c>
      <c r="AE16" s="51" t="str">
        <f>'2 ALIYAH E'!U16</f>
        <v>-</v>
      </c>
      <c r="AF16" s="51" t="str">
        <f>U16:U32</f>
        <v>-</v>
      </c>
      <c r="AG16" s="52">
        <f t="shared" si="6"/>
        <v>0</v>
      </c>
      <c r="AI16" s="51" t="str">
        <f>'2 ALIYAH E'!V16</f>
        <v>-</v>
      </c>
      <c r="AJ16" s="51" t="str">
        <f>V16:V32</f>
        <v>-</v>
      </c>
      <c r="AK16" s="52">
        <f t="shared" si="7"/>
        <v>0</v>
      </c>
    </row>
    <row r="17" spans="1:37" s="111" customFormat="1" ht="25.15" customHeight="1" thickBot="1" x14ac:dyDescent="0.3">
      <c r="A17" s="204">
        <f>'2 ALIYAH E'!A17</f>
        <v>17</v>
      </c>
      <c r="B17" s="225" t="str">
        <f>'2 ALIYAH E'!B17</f>
        <v>NAFISA NAJWA FIMA FILLAH</v>
      </c>
      <c r="C17" s="68">
        <f>'2 ALIYAH E'!C17</f>
        <v>2741</v>
      </c>
      <c r="D17" s="19" t="s">
        <v>29</v>
      </c>
      <c r="E17" s="151" t="str">
        <f t="shared" si="4"/>
        <v>٩</v>
      </c>
      <c r="F17" s="3">
        <v>9</v>
      </c>
      <c r="G17" s="3" t="s">
        <v>56</v>
      </c>
      <c r="H17" s="3">
        <v>9</v>
      </c>
      <c r="I17" s="3">
        <v>9</v>
      </c>
      <c r="J17" s="3">
        <v>8</v>
      </c>
      <c r="K17" s="3">
        <v>9</v>
      </c>
      <c r="L17" s="3">
        <v>9</v>
      </c>
      <c r="M17" s="3">
        <v>8</v>
      </c>
      <c r="N17" s="3">
        <v>9</v>
      </c>
      <c r="O17" s="3">
        <v>9</v>
      </c>
      <c r="P17" s="3">
        <v>9</v>
      </c>
      <c r="Q17" s="3">
        <v>9</v>
      </c>
      <c r="R17" s="3">
        <v>8</v>
      </c>
      <c r="S17" s="3">
        <v>8</v>
      </c>
      <c r="T17" s="4">
        <f t="shared" si="0"/>
        <v>113</v>
      </c>
      <c r="U17" s="44" t="s">
        <v>56</v>
      </c>
      <c r="V17" s="44" t="s">
        <v>56</v>
      </c>
      <c r="X17" s="27">
        <f>'2 ALIYAH E'!T17</f>
        <v>113</v>
      </c>
      <c r="Y17" s="27">
        <f t="shared" si="1"/>
        <v>113</v>
      </c>
      <c r="Z17" s="28">
        <f t="shared" si="2"/>
        <v>226</v>
      </c>
      <c r="AA17" s="27">
        <v>26</v>
      </c>
      <c r="AB17" s="112">
        <f t="shared" si="5"/>
        <v>9</v>
      </c>
      <c r="AC17" s="112" t="str">
        <f t="shared" si="3"/>
        <v>الجيد الأول</v>
      </c>
      <c r="AE17" s="113">
        <f>'2 ALIYAH E'!U17</f>
        <v>1</v>
      </c>
      <c r="AF17" s="113" t="str">
        <f>U17:U32</f>
        <v>-</v>
      </c>
      <c r="AG17" s="113">
        <f t="shared" si="6"/>
        <v>1</v>
      </c>
      <c r="AI17" s="113" t="str">
        <f>'2 ALIYAH E'!V17</f>
        <v>-</v>
      </c>
      <c r="AJ17" s="113" t="str">
        <f>V17:V32</f>
        <v>-</v>
      </c>
      <c r="AK17" s="113">
        <f t="shared" si="7"/>
        <v>0</v>
      </c>
    </row>
    <row r="18" spans="1:37" s="1" customFormat="1" ht="25.15" customHeight="1" thickBot="1" x14ac:dyDescent="0.3">
      <c r="A18" s="71">
        <f>'2 ALIYAH E'!A18</f>
        <v>18</v>
      </c>
      <c r="B18" s="40" t="str">
        <f>'2 ALIYAH E'!B18</f>
        <v>NAILA ALFA FAUZA</v>
      </c>
      <c r="C18" s="68">
        <f>'2 ALIYAH E'!C18</f>
        <v>2898</v>
      </c>
      <c r="D18" s="19" t="s">
        <v>30</v>
      </c>
      <c r="E18" s="3" t="str">
        <f t="shared" si="4"/>
        <v>٨</v>
      </c>
      <c r="F18" s="3">
        <v>8</v>
      </c>
      <c r="G18" s="3" t="s">
        <v>56</v>
      </c>
      <c r="H18" s="3">
        <v>8</v>
      </c>
      <c r="I18" s="3">
        <v>9</v>
      </c>
      <c r="J18" s="3">
        <v>7</v>
      </c>
      <c r="K18" s="3">
        <v>6</v>
      </c>
      <c r="L18" s="3">
        <v>9</v>
      </c>
      <c r="M18" s="3">
        <v>8</v>
      </c>
      <c r="N18" s="3">
        <v>8</v>
      </c>
      <c r="O18" s="3">
        <v>7</v>
      </c>
      <c r="P18" s="3">
        <v>8</v>
      </c>
      <c r="Q18" s="3">
        <v>8</v>
      </c>
      <c r="R18" s="3">
        <v>8</v>
      </c>
      <c r="S18" s="3">
        <v>8</v>
      </c>
      <c r="T18" s="4">
        <f t="shared" si="0"/>
        <v>102</v>
      </c>
      <c r="U18" s="44" t="s">
        <v>56</v>
      </c>
      <c r="V18" s="44" t="s">
        <v>56</v>
      </c>
      <c r="X18" s="27">
        <f>'2 ALIYAH E'!T18</f>
        <v>95</v>
      </c>
      <c r="Y18" s="27">
        <f t="shared" si="1"/>
        <v>102</v>
      </c>
      <c r="Z18" s="28">
        <f t="shared" si="2"/>
        <v>197</v>
      </c>
      <c r="AA18" s="27">
        <v>26</v>
      </c>
      <c r="AB18" s="28">
        <f t="shared" si="5"/>
        <v>8</v>
      </c>
      <c r="AC18" s="29" t="str">
        <f t="shared" si="3"/>
        <v>الجيد الثاني</v>
      </c>
      <c r="AE18" s="51" t="str">
        <f>'2 ALIYAH E'!U18</f>
        <v>-</v>
      </c>
      <c r="AF18" s="51" t="str">
        <f>U18:U32</f>
        <v>-</v>
      </c>
      <c r="AG18" s="52">
        <f t="shared" si="6"/>
        <v>0</v>
      </c>
      <c r="AI18" s="51" t="str">
        <f>'2 ALIYAH E'!V18</f>
        <v>-</v>
      </c>
      <c r="AJ18" s="51" t="str">
        <f>V18:V32</f>
        <v>-</v>
      </c>
      <c r="AK18" s="52">
        <f t="shared" si="7"/>
        <v>0</v>
      </c>
    </row>
    <row r="19" spans="1:37" s="1" customFormat="1" ht="25.15" customHeight="1" thickBot="1" x14ac:dyDescent="0.3">
      <c r="A19" s="71" t="str">
        <f>'2 ALIYAH E'!A19</f>
        <v>19</v>
      </c>
      <c r="B19" s="40" t="str">
        <f>'2 ALIYAH E'!B19</f>
        <v>NAJUA ZASKIA</v>
      </c>
      <c r="C19" s="68">
        <f>'2 ALIYAH E'!C19</f>
        <v>2835</v>
      </c>
      <c r="D19" s="19" t="s">
        <v>31</v>
      </c>
      <c r="E19" s="3" t="str">
        <f t="shared" si="4"/>
        <v>٩</v>
      </c>
      <c r="F19" s="3">
        <v>9</v>
      </c>
      <c r="G19" s="3" t="s">
        <v>56</v>
      </c>
      <c r="H19" s="3">
        <v>8</v>
      </c>
      <c r="I19" s="3">
        <v>9</v>
      </c>
      <c r="J19" s="3">
        <v>9</v>
      </c>
      <c r="K19" s="3">
        <v>9</v>
      </c>
      <c r="L19" s="3">
        <v>9</v>
      </c>
      <c r="M19" s="3">
        <v>5</v>
      </c>
      <c r="N19" s="3">
        <v>9</v>
      </c>
      <c r="O19" s="3">
        <v>7</v>
      </c>
      <c r="P19" s="3">
        <v>8</v>
      </c>
      <c r="Q19" s="3">
        <v>8</v>
      </c>
      <c r="R19" s="3">
        <v>8</v>
      </c>
      <c r="S19" s="3">
        <v>8</v>
      </c>
      <c r="T19" s="4">
        <f t="shared" si="0"/>
        <v>106</v>
      </c>
      <c r="U19" s="44" t="s">
        <v>56</v>
      </c>
      <c r="V19" s="44" t="s">
        <v>56</v>
      </c>
      <c r="X19" s="27">
        <f>'2 ALIYAH E'!T19</f>
        <v>105</v>
      </c>
      <c r="Y19" s="27">
        <f t="shared" si="1"/>
        <v>106</v>
      </c>
      <c r="Z19" s="28">
        <f t="shared" si="2"/>
        <v>211</v>
      </c>
      <c r="AA19" s="27">
        <v>26</v>
      </c>
      <c r="AB19" s="28">
        <f t="shared" si="5"/>
        <v>8</v>
      </c>
      <c r="AC19" s="29" t="str">
        <f t="shared" si="3"/>
        <v>الجيد الثاني</v>
      </c>
      <c r="AE19" s="51">
        <f>'2 ALIYAH E'!U19</f>
        <v>1</v>
      </c>
      <c r="AF19" s="51" t="str">
        <f>U19:U32</f>
        <v>-</v>
      </c>
      <c r="AG19" s="52">
        <f t="shared" si="6"/>
        <v>1</v>
      </c>
      <c r="AI19" s="51" t="str">
        <f>'2 ALIYAH E'!V19</f>
        <v>-</v>
      </c>
      <c r="AJ19" s="51" t="str">
        <f>V19:V32</f>
        <v>-</v>
      </c>
      <c r="AK19" s="52">
        <f t="shared" si="7"/>
        <v>0</v>
      </c>
    </row>
    <row r="20" spans="1:37" s="1" customFormat="1" ht="25.15" customHeight="1" thickBot="1" x14ac:dyDescent="0.3">
      <c r="A20" s="71" t="str">
        <f>'2 ALIYAH E'!A20</f>
        <v>20</v>
      </c>
      <c r="B20" s="40" t="str">
        <f>'2 ALIYAH E'!B20</f>
        <v>NIDA QOTHRUNNADA</v>
      </c>
      <c r="C20" s="68">
        <f>'2 ALIYAH E'!C20</f>
        <v>2774</v>
      </c>
      <c r="D20" s="19" t="s">
        <v>32</v>
      </c>
      <c r="E20" s="3" t="str">
        <f t="shared" si="4"/>
        <v>٩</v>
      </c>
      <c r="F20" s="3">
        <v>9</v>
      </c>
      <c r="G20" s="3" t="s">
        <v>56</v>
      </c>
      <c r="H20" s="3">
        <v>9</v>
      </c>
      <c r="I20" s="3">
        <v>9</v>
      </c>
      <c r="J20" s="3">
        <v>9</v>
      </c>
      <c r="K20" s="3">
        <v>9</v>
      </c>
      <c r="L20" s="3">
        <v>9</v>
      </c>
      <c r="M20" s="3">
        <v>9</v>
      </c>
      <c r="N20" s="3">
        <v>9</v>
      </c>
      <c r="O20" s="3">
        <v>9</v>
      </c>
      <c r="P20" s="3">
        <v>9</v>
      </c>
      <c r="Q20" s="3">
        <v>8</v>
      </c>
      <c r="R20" s="3">
        <v>8</v>
      </c>
      <c r="S20" s="3">
        <v>8</v>
      </c>
      <c r="T20" s="4">
        <f t="shared" si="0"/>
        <v>114</v>
      </c>
      <c r="U20" s="44" t="s">
        <v>56</v>
      </c>
      <c r="V20" s="44" t="s">
        <v>56</v>
      </c>
      <c r="X20" s="27">
        <f>'2 ALIYAH E'!T20</f>
        <v>111</v>
      </c>
      <c r="Y20" s="27">
        <f t="shared" si="1"/>
        <v>114</v>
      </c>
      <c r="Z20" s="28">
        <f t="shared" si="2"/>
        <v>225</v>
      </c>
      <c r="AA20" s="27">
        <v>26</v>
      </c>
      <c r="AB20" s="28">
        <f t="shared" si="5"/>
        <v>9</v>
      </c>
      <c r="AC20" s="29" t="str">
        <f t="shared" si="3"/>
        <v>الجيد الأول</v>
      </c>
      <c r="AE20" s="51">
        <f>'2 ALIYAH E'!U20</f>
        <v>1</v>
      </c>
      <c r="AF20" s="51" t="str">
        <f>U20:U32</f>
        <v>-</v>
      </c>
      <c r="AG20" s="52">
        <f t="shared" si="6"/>
        <v>1</v>
      </c>
      <c r="AI20" s="51" t="str">
        <f>'2 ALIYAH E'!V20</f>
        <v>-</v>
      </c>
      <c r="AJ20" s="51" t="str">
        <f>V20:V32</f>
        <v>-</v>
      </c>
      <c r="AK20" s="52">
        <f t="shared" si="7"/>
        <v>0</v>
      </c>
    </row>
    <row r="21" spans="1:37" s="1" customFormat="1" ht="25.15" customHeight="1" thickBot="1" x14ac:dyDescent="0.3">
      <c r="A21" s="71" t="str">
        <f>'2 ALIYAH E'!A21</f>
        <v>21</v>
      </c>
      <c r="B21" s="40" t="str">
        <f>'2 ALIYAH E'!B21</f>
        <v>NUR WARDAH FAUZIYAH</v>
      </c>
      <c r="C21" s="68">
        <f>'2 ALIYAH E'!C21</f>
        <v>2745</v>
      </c>
      <c r="D21" s="19" t="s">
        <v>33</v>
      </c>
      <c r="E21" s="3" t="str">
        <f t="shared" si="4"/>
        <v>٩</v>
      </c>
      <c r="F21" s="3">
        <v>9</v>
      </c>
      <c r="G21" s="3" t="s">
        <v>56</v>
      </c>
      <c r="H21" s="3">
        <v>9</v>
      </c>
      <c r="I21" s="3">
        <v>9</v>
      </c>
      <c r="J21" s="3">
        <v>9</v>
      </c>
      <c r="K21" s="3">
        <v>9</v>
      </c>
      <c r="L21" s="3">
        <v>9</v>
      </c>
      <c r="M21" s="3">
        <v>9</v>
      </c>
      <c r="N21" s="3">
        <v>9</v>
      </c>
      <c r="O21" s="3">
        <v>9</v>
      </c>
      <c r="P21" s="3">
        <v>9</v>
      </c>
      <c r="Q21" s="3">
        <v>9</v>
      </c>
      <c r="R21" s="3">
        <v>9</v>
      </c>
      <c r="S21" s="3">
        <v>8</v>
      </c>
      <c r="T21" s="4">
        <f t="shared" si="0"/>
        <v>116</v>
      </c>
      <c r="U21" s="44" t="s">
        <v>56</v>
      </c>
      <c r="V21" s="44" t="s">
        <v>56</v>
      </c>
      <c r="X21" s="27">
        <f>'2 ALIYAH E'!T21</f>
        <v>110</v>
      </c>
      <c r="Y21" s="27">
        <f t="shared" si="1"/>
        <v>116</v>
      </c>
      <c r="Z21" s="28">
        <f t="shared" si="2"/>
        <v>226</v>
      </c>
      <c r="AA21" s="27">
        <v>26</v>
      </c>
      <c r="AB21" s="28">
        <f t="shared" si="5"/>
        <v>9</v>
      </c>
      <c r="AC21" s="29" t="str">
        <f t="shared" si="3"/>
        <v>الجيد الأول</v>
      </c>
      <c r="AE21" s="51" t="str">
        <f>'2 ALIYAH E'!U21</f>
        <v>-</v>
      </c>
      <c r="AF21" s="51" t="str">
        <f>U21:U32</f>
        <v>-</v>
      </c>
      <c r="AG21" s="52">
        <f t="shared" si="6"/>
        <v>0</v>
      </c>
      <c r="AI21" s="51" t="str">
        <f>'2 ALIYAH E'!V21</f>
        <v>-</v>
      </c>
      <c r="AJ21" s="51" t="str">
        <f>V21:V32</f>
        <v>-</v>
      </c>
      <c r="AK21" s="52">
        <f t="shared" si="7"/>
        <v>0</v>
      </c>
    </row>
    <row r="22" spans="1:37" s="1" customFormat="1" ht="25.15" customHeight="1" thickBot="1" x14ac:dyDescent="0.3">
      <c r="A22" s="71" t="str">
        <f>'2 ALIYAH E'!A22</f>
        <v>22</v>
      </c>
      <c r="B22" s="40" t="str">
        <f>'2 ALIYAH E'!B22</f>
        <v>NURINDRA HANUM RAMADHANI</v>
      </c>
      <c r="C22" s="68">
        <f>'2 ALIYAH E'!C22</f>
        <v>2839</v>
      </c>
      <c r="D22" s="19" t="s">
        <v>34</v>
      </c>
      <c r="E22" s="3" t="str">
        <f t="shared" si="4"/>
        <v>٧</v>
      </c>
      <c r="F22" s="3">
        <v>7</v>
      </c>
      <c r="G22" s="3" t="s">
        <v>56</v>
      </c>
      <c r="H22" s="3">
        <v>6</v>
      </c>
      <c r="I22" s="3">
        <v>8</v>
      </c>
      <c r="J22" s="3">
        <v>7</v>
      </c>
      <c r="K22" s="3">
        <v>5</v>
      </c>
      <c r="L22" s="3">
        <v>5</v>
      </c>
      <c r="M22" s="3">
        <v>4</v>
      </c>
      <c r="N22" s="3">
        <v>5</v>
      </c>
      <c r="O22" s="3">
        <v>5</v>
      </c>
      <c r="P22" s="3">
        <v>8</v>
      </c>
      <c r="Q22" s="3">
        <v>7</v>
      </c>
      <c r="R22" s="3">
        <v>8</v>
      </c>
      <c r="S22" s="3">
        <v>7</v>
      </c>
      <c r="T22" s="4">
        <f t="shared" si="0"/>
        <v>82</v>
      </c>
      <c r="U22" s="44" t="s">
        <v>56</v>
      </c>
      <c r="V22" s="44" t="s">
        <v>56</v>
      </c>
      <c r="X22" s="27">
        <f>'2 ALIYAH E'!T22</f>
        <v>85</v>
      </c>
      <c r="Y22" s="27">
        <f t="shared" si="1"/>
        <v>82</v>
      </c>
      <c r="Z22" s="28">
        <f t="shared" si="2"/>
        <v>167</v>
      </c>
      <c r="AA22" s="27">
        <v>26</v>
      </c>
      <c r="AB22" s="28">
        <f t="shared" si="5"/>
        <v>6</v>
      </c>
      <c r="AC22" s="29" t="str">
        <f t="shared" si="3"/>
        <v>المتوسط الثاني</v>
      </c>
      <c r="AE22" s="51">
        <f>'2 ALIYAH E'!U22</f>
        <v>2</v>
      </c>
      <c r="AF22" s="51" t="str">
        <f>U22:U32</f>
        <v>-</v>
      </c>
      <c r="AG22" s="52">
        <f t="shared" si="6"/>
        <v>2</v>
      </c>
      <c r="AI22" s="51">
        <f>'2 ALIYAH E'!V22</f>
        <v>3</v>
      </c>
      <c r="AJ22" s="51" t="str">
        <f>V22:V32</f>
        <v>-</v>
      </c>
      <c r="AK22" s="52">
        <f t="shared" si="7"/>
        <v>3</v>
      </c>
    </row>
    <row r="23" spans="1:37" s="1" customFormat="1" ht="25.15" customHeight="1" thickBot="1" x14ac:dyDescent="0.3">
      <c r="A23" s="71" t="str">
        <f>'2 ALIYAH E'!A23</f>
        <v>23</v>
      </c>
      <c r="B23" s="40" t="str">
        <f>'2 ALIYAH E'!B23</f>
        <v>QUMI LAILATAZ ZULFA</v>
      </c>
      <c r="C23" s="68">
        <f>'2 ALIYAH E'!C23</f>
        <v>2777</v>
      </c>
      <c r="D23" s="19" t="s">
        <v>35</v>
      </c>
      <c r="E23" s="3" t="str">
        <f t="shared" si="4"/>
        <v>٨</v>
      </c>
      <c r="F23" s="3">
        <v>8</v>
      </c>
      <c r="G23" s="3" t="s">
        <v>56</v>
      </c>
      <c r="H23" s="3">
        <v>9</v>
      </c>
      <c r="I23" s="3">
        <v>9</v>
      </c>
      <c r="J23" s="3">
        <v>8</v>
      </c>
      <c r="K23" s="3">
        <v>8</v>
      </c>
      <c r="L23" s="3">
        <v>9</v>
      </c>
      <c r="M23" s="3">
        <v>7</v>
      </c>
      <c r="N23" s="3">
        <v>9</v>
      </c>
      <c r="O23" s="3">
        <v>8</v>
      </c>
      <c r="P23" s="3">
        <v>8</v>
      </c>
      <c r="Q23" s="3">
        <v>8</v>
      </c>
      <c r="R23" s="3">
        <v>8</v>
      </c>
      <c r="S23" s="3">
        <v>8</v>
      </c>
      <c r="T23" s="4">
        <f t="shared" si="0"/>
        <v>107</v>
      </c>
      <c r="U23" s="44" t="s">
        <v>56</v>
      </c>
      <c r="V23" s="44" t="s">
        <v>56</v>
      </c>
      <c r="X23" s="27">
        <f>'2 ALIYAH E'!T23</f>
        <v>105</v>
      </c>
      <c r="Y23" s="27">
        <f t="shared" si="1"/>
        <v>107</v>
      </c>
      <c r="Z23" s="28">
        <f t="shared" si="2"/>
        <v>212</v>
      </c>
      <c r="AA23" s="27">
        <v>26</v>
      </c>
      <c r="AB23" s="28">
        <f t="shared" si="5"/>
        <v>8</v>
      </c>
      <c r="AC23" s="29" t="str">
        <f t="shared" si="3"/>
        <v>الجيد الثاني</v>
      </c>
      <c r="AE23" s="51">
        <f>'2 ALIYAH E'!U23</f>
        <v>1</v>
      </c>
      <c r="AF23" s="51" t="str">
        <f>U23:U32</f>
        <v>-</v>
      </c>
      <c r="AG23" s="52">
        <f t="shared" si="6"/>
        <v>1</v>
      </c>
      <c r="AI23" s="51" t="str">
        <f>'2 ALIYAH E'!V23</f>
        <v>-</v>
      </c>
      <c r="AJ23" s="51" t="str">
        <f>V23:V32</f>
        <v>-</v>
      </c>
      <c r="AK23" s="52">
        <f t="shared" si="7"/>
        <v>0</v>
      </c>
    </row>
    <row r="24" spans="1:37" s="1" customFormat="1" ht="25.15" customHeight="1" thickBot="1" x14ac:dyDescent="0.3">
      <c r="A24" s="71" t="str">
        <f>'2 ALIYAH E'!A24</f>
        <v>24</v>
      </c>
      <c r="B24" s="40" t="str">
        <f>'2 ALIYAH E'!B24</f>
        <v>QURROTA A'YUN</v>
      </c>
      <c r="C24" s="68">
        <f>'2 ALIYAH E'!C24</f>
        <v>2778</v>
      </c>
      <c r="D24" s="19" t="s">
        <v>36</v>
      </c>
      <c r="E24" s="3" t="str">
        <f t="shared" si="4"/>
        <v>٥</v>
      </c>
      <c r="F24" s="3">
        <v>5</v>
      </c>
      <c r="G24" s="3" t="s">
        <v>56</v>
      </c>
      <c r="H24" s="3">
        <v>6</v>
      </c>
      <c r="I24" s="3">
        <v>5</v>
      </c>
      <c r="J24" s="3">
        <v>5</v>
      </c>
      <c r="K24" s="3">
        <v>5</v>
      </c>
      <c r="L24" s="3">
        <v>5</v>
      </c>
      <c r="M24" s="3">
        <v>5</v>
      </c>
      <c r="N24" s="3">
        <v>5</v>
      </c>
      <c r="O24" s="3">
        <v>5</v>
      </c>
      <c r="P24" s="3">
        <v>7</v>
      </c>
      <c r="Q24" s="3">
        <v>7</v>
      </c>
      <c r="R24" s="3">
        <v>7</v>
      </c>
      <c r="S24" s="3">
        <v>8</v>
      </c>
      <c r="T24" s="4">
        <f t="shared" si="0"/>
        <v>75</v>
      </c>
      <c r="U24" s="44">
        <v>1</v>
      </c>
      <c r="V24" s="44" t="s">
        <v>56</v>
      </c>
      <c r="X24" s="27">
        <f>'2 ALIYAH E'!T24</f>
        <v>80</v>
      </c>
      <c r="Y24" s="27">
        <f t="shared" si="1"/>
        <v>75</v>
      </c>
      <c r="Z24" s="28">
        <f t="shared" si="2"/>
        <v>155</v>
      </c>
      <c r="AA24" s="27">
        <v>26</v>
      </c>
      <c r="AB24" s="28">
        <f t="shared" si="5"/>
        <v>6</v>
      </c>
      <c r="AC24" s="29" t="str">
        <f t="shared" si="3"/>
        <v>المتوسط الثاني</v>
      </c>
      <c r="AE24" s="51" t="str">
        <f>'2 ALIYAH E'!U24</f>
        <v>-</v>
      </c>
      <c r="AF24" s="51">
        <f>U24:U34</f>
        <v>1</v>
      </c>
      <c r="AG24" s="52">
        <f t="shared" si="6"/>
        <v>1</v>
      </c>
      <c r="AI24" s="51">
        <f>'2 ALIYAH E'!V24</f>
        <v>2</v>
      </c>
      <c r="AJ24" s="51" t="str">
        <f>V24:V32</f>
        <v>-</v>
      </c>
      <c r="AK24" s="52">
        <f t="shared" si="7"/>
        <v>2</v>
      </c>
    </row>
    <row r="25" spans="1:37" s="1" customFormat="1" ht="25.15" customHeight="1" thickBot="1" x14ac:dyDescent="0.3">
      <c r="A25" s="71" t="str">
        <f>'2 ALIYAH E'!A25</f>
        <v>25</v>
      </c>
      <c r="B25" s="40" t="str">
        <f>'2 ALIYAH E'!B25</f>
        <v>RIFDA ISMATUL AZIZAH</v>
      </c>
      <c r="C25" s="68">
        <f>'2 ALIYAH E'!C25</f>
        <v>2813</v>
      </c>
      <c r="D25" s="19" t="s">
        <v>37</v>
      </c>
      <c r="E25" s="3" t="str">
        <f t="shared" si="4"/>
        <v>٦</v>
      </c>
      <c r="F25" s="3">
        <v>6</v>
      </c>
      <c r="G25" s="3" t="s">
        <v>56</v>
      </c>
      <c r="H25" s="3">
        <v>7</v>
      </c>
      <c r="I25" s="3">
        <v>9</v>
      </c>
      <c r="J25" s="3">
        <v>8</v>
      </c>
      <c r="K25" s="3">
        <v>5</v>
      </c>
      <c r="L25" s="3">
        <v>8</v>
      </c>
      <c r="M25" s="3">
        <v>5</v>
      </c>
      <c r="N25" s="3">
        <v>7</v>
      </c>
      <c r="O25" s="3">
        <v>7</v>
      </c>
      <c r="P25" s="3">
        <v>7</v>
      </c>
      <c r="Q25" s="3">
        <v>6</v>
      </c>
      <c r="R25" s="3">
        <v>7</v>
      </c>
      <c r="S25" s="3">
        <v>8</v>
      </c>
      <c r="T25" s="4">
        <f t="shared" si="0"/>
        <v>90</v>
      </c>
      <c r="U25" s="44">
        <v>1</v>
      </c>
      <c r="V25" s="44" t="s">
        <v>56</v>
      </c>
      <c r="X25" s="27">
        <f>'2 ALIYAH E'!T25</f>
        <v>84</v>
      </c>
      <c r="Y25" s="27">
        <f t="shared" si="1"/>
        <v>90</v>
      </c>
      <c r="Z25" s="28">
        <f t="shared" si="2"/>
        <v>174</v>
      </c>
      <c r="AA25" s="27">
        <v>26</v>
      </c>
      <c r="AB25" s="28">
        <f t="shared" si="5"/>
        <v>7</v>
      </c>
      <c r="AC25" s="29" t="str">
        <f t="shared" si="3"/>
        <v>المتوسط الأول</v>
      </c>
      <c r="AE25" s="51" t="str">
        <f>'2 ALIYAH E'!U25</f>
        <v>-</v>
      </c>
      <c r="AF25" s="51">
        <f>U25:U35</f>
        <v>1</v>
      </c>
      <c r="AG25" s="52">
        <f t="shared" si="6"/>
        <v>1</v>
      </c>
      <c r="AI25" s="51" t="str">
        <f>'2 ALIYAH E'!V25</f>
        <v>-</v>
      </c>
      <c r="AJ25" s="51" t="str">
        <f>V25:V32</f>
        <v>-</v>
      </c>
      <c r="AK25" s="52">
        <f t="shared" si="7"/>
        <v>0</v>
      </c>
    </row>
    <row r="26" spans="1:37" s="1" customFormat="1" ht="25.15" customHeight="1" thickBot="1" x14ac:dyDescent="0.3">
      <c r="A26" s="71" t="str">
        <f>'2 ALIYAH E'!A26</f>
        <v>26</v>
      </c>
      <c r="B26" s="40" t="str">
        <f>'2 ALIYAH E'!B26</f>
        <v>RIZQI DAIMATUL KHUSNA</v>
      </c>
      <c r="C26" s="68">
        <f>'2 ALIYAH E'!C26</f>
        <v>2915</v>
      </c>
      <c r="D26" s="19" t="s">
        <v>38</v>
      </c>
      <c r="E26" s="3" t="str">
        <f t="shared" si="4"/>
        <v>٦</v>
      </c>
      <c r="F26" s="3">
        <v>6</v>
      </c>
      <c r="G26" s="3" t="s">
        <v>56</v>
      </c>
      <c r="H26" s="3">
        <v>6</v>
      </c>
      <c r="I26" s="3">
        <v>6</v>
      </c>
      <c r="J26" s="3">
        <v>4</v>
      </c>
      <c r="K26" s="3">
        <v>5</v>
      </c>
      <c r="L26" s="3">
        <v>5</v>
      </c>
      <c r="M26" s="3">
        <v>5</v>
      </c>
      <c r="N26" s="3">
        <v>5</v>
      </c>
      <c r="O26" s="3">
        <v>6</v>
      </c>
      <c r="P26" s="3">
        <v>7</v>
      </c>
      <c r="Q26" s="3">
        <v>7</v>
      </c>
      <c r="R26" s="3">
        <v>7</v>
      </c>
      <c r="S26" s="3">
        <v>8</v>
      </c>
      <c r="T26" s="4">
        <f>SUM(E26:S26)</f>
        <v>77</v>
      </c>
      <c r="U26" s="44">
        <v>2</v>
      </c>
      <c r="V26" s="44" t="s">
        <v>56</v>
      </c>
      <c r="X26" s="27">
        <f>'2 ALIYAH E'!T26</f>
        <v>79</v>
      </c>
      <c r="Y26" s="27">
        <f t="shared" si="1"/>
        <v>77</v>
      </c>
      <c r="Z26" s="28">
        <f t="shared" si="2"/>
        <v>156</v>
      </c>
      <c r="AA26" s="27">
        <v>26</v>
      </c>
      <c r="AB26" s="28">
        <f t="shared" si="5"/>
        <v>6</v>
      </c>
      <c r="AC26" s="29" t="str">
        <f t="shared" si="3"/>
        <v>المتوسط الثاني</v>
      </c>
      <c r="AE26" s="51">
        <f>'2 ALIYAH E'!U26</f>
        <v>2</v>
      </c>
      <c r="AF26" s="51">
        <f>U26:U36</f>
        <v>2</v>
      </c>
      <c r="AG26" s="52">
        <f t="shared" si="6"/>
        <v>4</v>
      </c>
      <c r="AI26" s="51">
        <f>'2 ALIYAH E'!V26</f>
        <v>2</v>
      </c>
      <c r="AJ26" s="51" t="str">
        <f>V26:V32</f>
        <v>-</v>
      </c>
      <c r="AK26" s="52">
        <f t="shared" si="7"/>
        <v>2</v>
      </c>
    </row>
    <row r="27" spans="1:37" s="2" customFormat="1" ht="25.15" customHeight="1" thickBot="1" x14ac:dyDescent="0.3">
      <c r="A27" s="71" t="str">
        <f>'2 ALIYAH E'!A27</f>
        <v>27</v>
      </c>
      <c r="B27" s="40" t="str">
        <f>'2 ALIYAH E'!B27</f>
        <v>ROFIQOH ANISA ZAHRA</v>
      </c>
      <c r="C27" s="68">
        <f>'2 ALIYAH E'!C27</f>
        <v>2781</v>
      </c>
      <c r="D27" s="19" t="s">
        <v>39</v>
      </c>
      <c r="E27" s="3" t="str">
        <f t="shared" si="4"/>
        <v>٩</v>
      </c>
      <c r="F27" s="3">
        <v>9</v>
      </c>
      <c r="G27" s="3" t="s">
        <v>56</v>
      </c>
      <c r="H27" s="3">
        <v>9</v>
      </c>
      <c r="I27" s="3">
        <v>9</v>
      </c>
      <c r="J27" s="3">
        <v>8</v>
      </c>
      <c r="K27" s="3">
        <v>5</v>
      </c>
      <c r="L27" s="3">
        <v>8</v>
      </c>
      <c r="M27" s="3">
        <v>9</v>
      </c>
      <c r="N27" s="3">
        <v>9</v>
      </c>
      <c r="O27" s="3">
        <v>8</v>
      </c>
      <c r="P27" s="3">
        <v>8</v>
      </c>
      <c r="Q27" s="3">
        <v>8</v>
      </c>
      <c r="R27" s="3">
        <v>8</v>
      </c>
      <c r="S27" s="3">
        <v>8</v>
      </c>
      <c r="T27" s="4">
        <f t="shared" si="0"/>
        <v>106</v>
      </c>
      <c r="U27" s="44" t="s">
        <v>56</v>
      </c>
      <c r="V27" s="44" t="s">
        <v>56</v>
      </c>
      <c r="X27" s="27">
        <f>'2 ALIYAH E'!T27</f>
        <v>106</v>
      </c>
      <c r="Y27" s="27">
        <f t="shared" si="1"/>
        <v>106</v>
      </c>
      <c r="Z27" s="28">
        <f t="shared" si="2"/>
        <v>212</v>
      </c>
      <c r="AA27" s="27">
        <v>26</v>
      </c>
      <c r="AB27" s="28">
        <f t="shared" si="5"/>
        <v>8</v>
      </c>
      <c r="AC27" s="29" t="str">
        <f t="shared" si="3"/>
        <v>الجيد الثاني</v>
      </c>
      <c r="AE27" s="51" t="str">
        <f>'2 ALIYAH E'!U27</f>
        <v>-</v>
      </c>
      <c r="AF27" s="51" t="str">
        <f>U27:U37</f>
        <v>-</v>
      </c>
      <c r="AG27" s="52">
        <f t="shared" si="6"/>
        <v>0</v>
      </c>
      <c r="AH27" s="1"/>
      <c r="AI27" s="51">
        <f>'2 ALIYAH E'!V27</f>
        <v>1</v>
      </c>
      <c r="AJ27" s="51" t="str">
        <f>V27:V32</f>
        <v>-</v>
      </c>
      <c r="AK27" s="52">
        <f t="shared" si="7"/>
        <v>1</v>
      </c>
    </row>
    <row r="28" spans="1:37" s="257" customFormat="1" ht="25.15" customHeight="1" thickBot="1" x14ac:dyDescent="0.3">
      <c r="A28" s="252" t="str">
        <f>'2 ALIYAH E'!A28</f>
        <v>28</v>
      </c>
      <c r="B28" s="253" t="str">
        <f>'2 ALIYAH E'!B28</f>
        <v>SAFIRA SALSABILA</v>
      </c>
      <c r="C28" s="254">
        <f>'2 ALIYAH E'!C28</f>
        <v>2877</v>
      </c>
      <c r="D28" s="19" t="s">
        <v>40</v>
      </c>
      <c r="E28" s="255" t="str">
        <f t="shared" si="4"/>
        <v>٧</v>
      </c>
      <c r="F28" s="255">
        <v>7</v>
      </c>
      <c r="G28" s="255" t="s">
        <v>56</v>
      </c>
      <c r="H28" s="255">
        <v>7</v>
      </c>
      <c r="I28" s="255">
        <v>8</v>
      </c>
      <c r="J28" s="255">
        <v>7</v>
      </c>
      <c r="K28" s="255">
        <v>5</v>
      </c>
      <c r="L28" s="255">
        <v>5</v>
      </c>
      <c r="M28" s="255">
        <v>6</v>
      </c>
      <c r="N28" s="255">
        <v>6</v>
      </c>
      <c r="O28" s="255">
        <v>5</v>
      </c>
      <c r="P28" s="255">
        <v>8</v>
      </c>
      <c r="Q28" s="255">
        <v>7</v>
      </c>
      <c r="R28" s="255">
        <v>8</v>
      </c>
      <c r="S28" s="255">
        <v>8</v>
      </c>
      <c r="T28" s="255">
        <f t="shared" si="0"/>
        <v>87</v>
      </c>
      <c r="U28" s="256">
        <v>8</v>
      </c>
      <c r="V28" s="256" t="s">
        <v>56</v>
      </c>
      <c r="X28" s="27">
        <f>'2 ALIYAH E'!T28</f>
        <v>88</v>
      </c>
      <c r="Y28" s="258">
        <f t="shared" si="1"/>
        <v>87</v>
      </c>
      <c r="Z28" s="258">
        <f t="shared" si="2"/>
        <v>175</v>
      </c>
      <c r="AA28" s="258">
        <v>26</v>
      </c>
      <c r="AB28" s="258">
        <f t="shared" si="5"/>
        <v>7</v>
      </c>
      <c r="AC28" s="258" t="str">
        <f t="shared" si="3"/>
        <v>المتوسط الأول</v>
      </c>
      <c r="AE28" s="259">
        <f>'2 ALIYAH E'!U28</f>
        <v>2</v>
      </c>
      <c r="AF28" s="259">
        <f>U28:U38</f>
        <v>8</v>
      </c>
      <c r="AG28" s="259">
        <f t="shared" si="6"/>
        <v>10</v>
      </c>
      <c r="AH28" s="260"/>
      <c r="AI28" s="259" t="str">
        <f>'2 ALIYAH E'!V28</f>
        <v>-</v>
      </c>
      <c r="AJ28" s="259" t="str">
        <f>V28:V32</f>
        <v>-</v>
      </c>
      <c r="AK28" s="259">
        <f t="shared" si="7"/>
        <v>0</v>
      </c>
    </row>
    <row r="29" spans="1:37" s="262" customFormat="1" ht="25.15" customHeight="1" thickBot="1" x14ac:dyDescent="0.3">
      <c r="A29" s="248" t="str">
        <f>'2 ALIYAH E'!A29</f>
        <v>29</v>
      </c>
      <c r="B29" s="249" t="str">
        <f>'2 ALIYAH E'!B29</f>
        <v>SHOFIYATUL MUHSINAH</v>
      </c>
      <c r="C29" s="250">
        <f>'2 ALIYAH E'!C29</f>
        <v>2710</v>
      </c>
      <c r="D29" s="19" t="s">
        <v>41</v>
      </c>
      <c r="E29" s="216" t="str">
        <f t="shared" si="4"/>
        <v>٨</v>
      </c>
      <c r="F29" s="216">
        <v>8</v>
      </c>
      <c r="G29" s="216" t="s">
        <v>56</v>
      </c>
      <c r="H29" s="216">
        <v>9</v>
      </c>
      <c r="I29" s="216">
        <v>9</v>
      </c>
      <c r="J29" s="216">
        <v>8</v>
      </c>
      <c r="K29" s="216">
        <v>6</v>
      </c>
      <c r="L29" s="216">
        <v>8</v>
      </c>
      <c r="M29" s="216">
        <v>6</v>
      </c>
      <c r="N29" s="216">
        <v>9</v>
      </c>
      <c r="O29" s="216">
        <v>6</v>
      </c>
      <c r="P29" s="216">
        <v>8</v>
      </c>
      <c r="Q29" s="216">
        <v>8</v>
      </c>
      <c r="R29" s="216">
        <v>8</v>
      </c>
      <c r="S29" s="216">
        <v>8</v>
      </c>
      <c r="T29" s="216">
        <f t="shared" si="0"/>
        <v>101</v>
      </c>
      <c r="U29" s="217" t="s">
        <v>56</v>
      </c>
      <c r="V29" s="217" t="s">
        <v>56</v>
      </c>
      <c r="X29" s="219">
        <f>'2 ALIYAH E'!T29</f>
        <v>90</v>
      </c>
      <c r="Y29" s="219">
        <f t="shared" si="1"/>
        <v>101</v>
      </c>
      <c r="Z29" s="219">
        <f t="shared" si="2"/>
        <v>191</v>
      </c>
      <c r="AA29" s="219">
        <v>26</v>
      </c>
      <c r="AB29" s="219">
        <f t="shared" si="5"/>
        <v>7</v>
      </c>
      <c r="AC29" s="219" t="str">
        <f t="shared" si="3"/>
        <v>المتوسط الأول</v>
      </c>
      <c r="AE29" s="220" t="str">
        <f>'2 ALIYAH E'!U29</f>
        <v>-</v>
      </c>
      <c r="AF29" s="220" t="str">
        <f>U29:U40</f>
        <v>-</v>
      </c>
      <c r="AG29" s="220">
        <f t="shared" si="6"/>
        <v>0</v>
      </c>
      <c r="AH29" s="218"/>
      <c r="AI29" s="220" t="str">
        <f>'2 ALIYAH E'!V29</f>
        <v>-</v>
      </c>
      <c r="AJ29" s="220" t="str">
        <f>V29:V32</f>
        <v>-</v>
      </c>
      <c r="AK29" s="220">
        <f t="shared" si="7"/>
        <v>0</v>
      </c>
    </row>
    <row r="30" spans="1:37" s="2" customFormat="1" ht="25.15" customHeight="1" thickBot="1" x14ac:dyDescent="0.3">
      <c r="A30" s="71" t="str">
        <f>'2 ALIYAH E'!A30</f>
        <v>30</v>
      </c>
      <c r="B30" s="40" t="str">
        <f>'2 ALIYAH E'!B30</f>
        <v>TAQIATUL ALIYAH</v>
      </c>
      <c r="C30" s="68">
        <f>'2 ALIYAH E'!C30</f>
        <v>2712</v>
      </c>
      <c r="D30" s="19" t="s">
        <v>42</v>
      </c>
      <c r="E30" s="3" t="str">
        <f t="shared" si="4"/>
        <v>٥</v>
      </c>
      <c r="F30" s="3">
        <v>5</v>
      </c>
      <c r="G30" s="3" t="s">
        <v>56</v>
      </c>
      <c r="H30" s="3">
        <v>4</v>
      </c>
      <c r="I30" s="3">
        <v>5</v>
      </c>
      <c r="J30" s="3">
        <v>5</v>
      </c>
      <c r="K30" s="3">
        <v>5</v>
      </c>
      <c r="L30" s="3">
        <v>5</v>
      </c>
      <c r="M30" s="3">
        <v>5</v>
      </c>
      <c r="N30" s="3">
        <v>5</v>
      </c>
      <c r="O30" s="3">
        <v>5</v>
      </c>
      <c r="P30" s="3">
        <v>7</v>
      </c>
      <c r="Q30" s="3">
        <v>7</v>
      </c>
      <c r="R30" s="3">
        <v>7</v>
      </c>
      <c r="S30" s="3">
        <v>8</v>
      </c>
      <c r="T30" s="4">
        <f t="shared" si="0"/>
        <v>73</v>
      </c>
      <c r="U30" s="44" t="s">
        <v>56</v>
      </c>
      <c r="V30" s="44" t="s">
        <v>56</v>
      </c>
      <c r="X30" s="27">
        <f>'2 ALIYAH E'!T30</f>
        <v>75</v>
      </c>
      <c r="Y30" s="27">
        <f t="shared" si="1"/>
        <v>73</v>
      </c>
      <c r="Z30" s="28">
        <f t="shared" si="2"/>
        <v>148</v>
      </c>
      <c r="AA30" s="27">
        <v>26</v>
      </c>
      <c r="AB30" s="28">
        <f t="shared" si="5"/>
        <v>6</v>
      </c>
      <c r="AC30" s="29" t="str">
        <f t="shared" si="3"/>
        <v>المتوسط الثاني</v>
      </c>
      <c r="AE30" s="51" t="str">
        <f>'2 ALIYAH E'!U30</f>
        <v>-</v>
      </c>
      <c r="AF30" s="51" t="str">
        <f>U30:U42</f>
        <v>-</v>
      </c>
      <c r="AG30" s="52">
        <f t="shared" si="6"/>
        <v>0</v>
      </c>
      <c r="AH30" s="1"/>
      <c r="AI30" s="51" t="str">
        <f>'2 ALIYAH E'!V30</f>
        <v>-</v>
      </c>
      <c r="AJ30" s="51" t="str">
        <f>V30:V32</f>
        <v>-</v>
      </c>
      <c r="AK30" s="52">
        <f t="shared" si="7"/>
        <v>0</v>
      </c>
    </row>
    <row r="31" spans="1:37" s="2" customFormat="1" ht="25.15" customHeight="1" thickBot="1" x14ac:dyDescent="0.3">
      <c r="A31" s="71">
        <f>'2 ALIYAH E'!A31</f>
        <v>31</v>
      </c>
      <c r="B31" s="40" t="str">
        <f>'2 ALIYAH E'!B31</f>
        <v>TSUAIBATUL ASLAMIYAH</v>
      </c>
      <c r="C31" s="68">
        <f>'2 ALIYAH E'!C31</f>
        <v>2785</v>
      </c>
      <c r="D31" s="19" t="s">
        <v>43</v>
      </c>
      <c r="E31" s="3" t="str">
        <f t="shared" si="4"/>
        <v>٦</v>
      </c>
      <c r="F31" s="3">
        <v>6</v>
      </c>
      <c r="G31" s="3" t="s">
        <v>56</v>
      </c>
      <c r="H31" s="3">
        <v>6</v>
      </c>
      <c r="I31" s="3">
        <v>6</v>
      </c>
      <c r="J31" s="3">
        <v>5</v>
      </c>
      <c r="K31" s="3">
        <v>5</v>
      </c>
      <c r="L31" s="3">
        <v>7</v>
      </c>
      <c r="M31" s="3">
        <v>5</v>
      </c>
      <c r="N31" s="3">
        <v>6</v>
      </c>
      <c r="O31" s="3">
        <v>5</v>
      </c>
      <c r="P31" s="3">
        <v>7</v>
      </c>
      <c r="Q31" s="3">
        <v>7</v>
      </c>
      <c r="R31" s="3">
        <v>7</v>
      </c>
      <c r="S31" s="3">
        <v>7</v>
      </c>
      <c r="T31" s="4">
        <f t="shared" si="0"/>
        <v>79</v>
      </c>
      <c r="U31" s="44" t="s">
        <v>56</v>
      </c>
      <c r="V31" s="44" t="s">
        <v>56</v>
      </c>
      <c r="X31" s="27">
        <f>'2 ALIYAH E'!T31</f>
        <v>79</v>
      </c>
      <c r="Y31" s="27">
        <f t="shared" si="1"/>
        <v>79</v>
      </c>
      <c r="Z31" s="28">
        <f t="shared" si="2"/>
        <v>158</v>
      </c>
      <c r="AA31" s="27">
        <v>26</v>
      </c>
      <c r="AB31" s="28">
        <f t="shared" si="5"/>
        <v>6</v>
      </c>
      <c r="AC31" s="29" t="str">
        <f t="shared" si="3"/>
        <v>المتوسط الثاني</v>
      </c>
      <c r="AE31" s="51" t="str">
        <f>'2 ALIYAH E'!U31</f>
        <v>-</v>
      </c>
      <c r="AF31" s="51" t="str">
        <f>U31:U43</f>
        <v>-</v>
      </c>
      <c r="AG31" s="52">
        <f t="shared" si="6"/>
        <v>0</v>
      </c>
      <c r="AH31" s="1"/>
      <c r="AI31" s="51" t="str">
        <f>'2 ALIYAH E'!V31</f>
        <v>-</v>
      </c>
      <c r="AJ31" s="51" t="str">
        <f>V31:V32</f>
        <v>-</v>
      </c>
      <c r="AK31" s="52">
        <f t="shared" si="7"/>
        <v>0</v>
      </c>
    </row>
    <row r="32" spans="1:37" s="2" customFormat="1" ht="25.15" customHeight="1" thickBot="1" x14ac:dyDescent="0.3">
      <c r="A32" s="71">
        <f>'2 ALIYAH E'!A32</f>
        <v>32</v>
      </c>
      <c r="B32" s="40" t="str">
        <f>'2 ALIYAH E'!B32</f>
        <v>TSUROYYAH</v>
      </c>
      <c r="C32" s="68">
        <f>'2 ALIYAH E'!C32</f>
        <v>2683</v>
      </c>
      <c r="D32" s="19" t="s">
        <v>44</v>
      </c>
      <c r="E32" s="3" t="str">
        <f t="shared" si="4"/>
        <v>٩</v>
      </c>
      <c r="F32" s="3">
        <v>9</v>
      </c>
      <c r="G32" s="3" t="s">
        <v>56</v>
      </c>
      <c r="H32" s="3">
        <v>7</v>
      </c>
      <c r="I32" s="3">
        <v>8</v>
      </c>
      <c r="J32" s="3">
        <v>8</v>
      </c>
      <c r="K32" s="3">
        <v>5</v>
      </c>
      <c r="L32" s="3">
        <v>8</v>
      </c>
      <c r="M32" s="3">
        <v>5</v>
      </c>
      <c r="N32" s="3">
        <v>5</v>
      </c>
      <c r="O32" s="3">
        <v>7</v>
      </c>
      <c r="P32" s="3">
        <v>7</v>
      </c>
      <c r="Q32" s="3">
        <v>8</v>
      </c>
      <c r="R32" s="3">
        <v>8</v>
      </c>
      <c r="S32" s="3">
        <v>8</v>
      </c>
      <c r="T32" s="4">
        <f t="shared" si="0"/>
        <v>93</v>
      </c>
      <c r="U32" s="44" t="s">
        <v>56</v>
      </c>
      <c r="V32" s="44" t="s">
        <v>56</v>
      </c>
      <c r="X32" s="27">
        <f>'2 ALIYAH E'!T32</f>
        <v>85</v>
      </c>
      <c r="Y32" s="27">
        <f t="shared" si="1"/>
        <v>93</v>
      </c>
      <c r="Z32" s="28">
        <f t="shared" si="2"/>
        <v>178</v>
      </c>
      <c r="AA32" s="27">
        <v>26</v>
      </c>
      <c r="AB32" s="28">
        <f t="shared" si="5"/>
        <v>7</v>
      </c>
      <c r="AC32" s="29" t="str">
        <f t="shared" si="3"/>
        <v>المتوسط الأول</v>
      </c>
      <c r="AE32" s="51">
        <f>'2 ALIYAH E'!U32</f>
        <v>1</v>
      </c>
      <c r="AF32" s="51" t="str">
        <f>U32:U44</f>
        <v>-</v>
      </c>
      <c r="AG32" s="52">
        <f t="shared" si="6"/>
        <v>1</v>
      </c>
      <c r="AH32" s="1"/>
      <c r="AI32" s="51" t="str">
        <f>'2 ALIYAH E'!V32</f>
        <v>-</v>
      </c>
      <c r="AJ32" s="51" t="str">
        <f>V32:V32</f>
        <v>-</v>
      </c>
      <c r="AK32" s="52">
        <f t="shared" si="7"/>
        <v>0</v>
      </c>
    </row>
    <row r="33" spans="1:37" s="2" customFormat="1" ht="25.15" customHeight="1" x14ac:dyDescent="0.25">
      <c r="A33" s="35"/>
      <c r="B33" s="10" t="s">
        <v>50</v>
      </c>
      <c r="C33" s="7"/>
      <c r="D33" s="7"/>
      <c r="E33" s="3" t="str">
        <f t="shared" ref="E33" si="8">TEXT(F33,"[$-2000000]0")</f>
        <v>٢٣٤</v>
      </c>
      <c r="F33" s="38">
        <f t="shared" ref="F33:S33" si="9">SUM(F2:F32)</f>
        <v>234</v>
      </c>
      <c r="G33" s="8">
        <f t="shared" si="9"/>
        <v>0</v>
      </c>
      <c r="H33" s="8">
        <f t="shared" si="9"/>
        <v>240</v>
      </c>
      <c r="I33" s="24">
        <f t="shared" si="9"/>
        <v>248</v>
      </c>
      <c r="J33" s="8">
        <f t="shared" si="9"/>
        <v>229</v>
      </c>
      <c r="K33" s="8">
        <f t="shared" si="9"/>
        <v>209</v>
      </c>
      <c r="L33" s="8">
        <f t="shared" si="9"/>
        <v>232</v>
      </c>
      <c r="M33" s="8">
        <f t="shared" si="9"/>
        <v>205</v>
      </c>
      <c r="N33" s="8">
        <f t="shared" si="9"/>
        <v>221</v>
      </c>
      <c r="O33" s="24">
        <f t="shared" si="9"/>
        <v>217</v>
      </c>
      <c r="P33" s="8">
        <f t="shared" si="9"/>
        <v>246</v>
      </c>
      <c r="Q33" s="8">
        <f t="shared" si="9"/>
        <v>240</v>
      </c>
      <c r="R33" s="8">
        <f t="shared" si="9"/>
        <v>241</v>
      </c>
      <c r="S33" s="8">
        <f t="shared" si="9"/>
        <v>245</v>
      </c>
      <c r="T33" s="8"/>
      <c r="U33" s="44" t="s">
        <v>56</v>
      </c>
      <c r="V33" s="44" t="s">
        <v>56</v>
      </c>
      <c r="W33"/>
      <c r="X33"/>
      <c r="Y33"/>
      <c r="Z33"/>
      <c r="AA33"/>
      <c r="AB33"/>
      <c r="AC33"/>
      <c r="AD33"/>
      <c r="AE33" s="51">
        <f>'2 ALIYAH E'!U38</f>
        <v>0</v>
      </c>
      <c r="AF33"/>
      <c r="AG33"/>
      <c r="AH33"/>
      <c r="AI33"/>
      <c r="AJ33"/>
      <c r="AK33"/>
    </row>
    <row r="34" spans="1:37" s="2" customFormat="1" ht="25.15" customHeight="1" x14ac:dyDescent="0.25">
      <c r="A34" s="17"/>
      <c r="B34" s="7"/>
      <c r="C34" s="7"/>
      <c r="D34" s="7"/>
      <c r="E34" s="3"/>
      <c r="F34" s="5"/>
      <c r="G34" s="5"/>
      <c r="H34" s="5"/>
      <c r="I34" s="25"/>
      <c r="J34" s="5"/>
      <c r="K34" s="5"/>
      <c r="L34" s="5"/>
      <c r="M34" s="5"/>
      <c r="N34" s="5"/>
      <c r="O34" s="25"/>
      <c r="P34" s="5"/>
      <c r="Q34" s="5"/>
      <c r="R34" s="5"/>
      <c r="S34" s="5"/>
      <c r="T34" s="6"/>
      <c r="U34" s="44" t="s">
        <v>56</v>
      </c>
      <c r="V34" s="44" t="s">
        <v>56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 spans="1:37" s="2" customFormat="1" ht="25.15" customHeight="1" x14ac:dyDescent="0.25">
      <c r="A35" s="17"/>
      <c r="B35" s="7"/>
      <c r="C35" s="7"/>
      <c r="D35" s="7"/>
      <c r="E35" s="3"/>
      <c r="F35" s="5"/>
      <c r="G35" s="5"/>
      <c r="H35" s="5"/>
      <c r="I35" s="25"/>
      <c r="J35" s="5"/>
      <c r="K35" s="5"/>
      <c r="L35" s="5"/>
      <c r="M35" s="5"/>
      <c r="N35" s="5"/>
      <c r="O35" s="25"/>
      <c r="P35" s="5"/>
      <c r="Q35" s="5"/>
      <c r="R35" s="5"/>
      <c r="S35" s="5"/>
      <c r="T35" s="5"/>
      <c r="U35"/>
      <c r="V35"/>
      <c r="X35" s="28"/>
      <c r="Y35" s="28"/>
      <c r="Z35" s="28"/>
      <c r="AA35" s="28"/>
      <c r="AB35" s="28"/>
      <c r="AC35" s="28"/>
      <c r="AE35" s="53"/>
      <c r="AF35" s="53"/>
      <c r="AG35" s="54"/>
      <c r="AH35"/>
      <c r="AI35" s="53"/>
      <c r="AJ35" s="53"/>
      <c r="AK35" s="55"/>
    </row>
    <row r="36" spans="1:37" s="9" customFormat="1" ht="25.15" customHeight="1" x14ac:dyDescent="0.25">
      <c r="A36" s="17"/>
      <c r="B36" s="261" t="s">
        <v>340</v>
      </c>
      <c r="C36" s="7"/>
      <c r="D36" s="7"/>
      <c r="E36" s="3"/>
      <c r="F36" s="5"/>
      <c r="G36" s="5"/>
      <c r="H36" s="5"/>
      <c r="I36" s="25"/>
      <c r="J36" s="5"/>
      <c r="K36" s="5"/>
      <c r="L36" s="5"/>
      <c r="M36" s="5"/>
      <c r="N36" s="5"/>
      <c r="O36" s="25"/>
      <c r="P36" s="5"/>
      <c r="Q36" s="5"/>
      <c r="R36" s="5"/>
      <c r="S36" s="5"/>
      <c r="T36" s="5"/>
      <c r="U36"/>
      <c r="V36"/>
      <c r="W36" s="2"/>
      <c r="X36" s="32"/>
      <c r="Y36" s="32"/>
      <c r="Z36" s="32"/>
      <c r="AA36" s="32"/>
      <c r="AB36" s="32"/>
      <c r="AC36" s="32"/>
      <c r="AD36" s="2"/>
      <c r="AE36" s="53"/>
      <c r="AF36" s="53"/>
      <c r="AG36" s="54"/>
      <c r="AH36"/>
      <c r="AI36" s="53"/>
      <c r="AJ36" s="53"/>
      <c r="AK36" s="55"/>
    </row>
    <row r="37" spans="1:37" ht="25.15" customHeight="1" x14ac:dyDescent="0.25">
      <c r="A37" s="17"/>
      <c r="B37" s="221" t="s">
        <v>334</v>
      </c>
      <c r="C37" s="7"/>
      <c r="D37" s="7"/>
      <c r="E37" s="3"/>
      <c r="F37" s="5"/>
      <c r="G37" s="4"/>
      <c r="H37" s="14" t="s">
        <v>49</v>
      </c>
      <c r="I37" s="23"/>
      <c r="J37" s="5"/>
      <c r="K37" s="5"/>
      <c r="L37" s="5"/>
      <c r="M37" s="5"/>
      <c r="N37" s="5"/>
      <c r="O37" s="25"/>
      <c r="P37" s="5"/>
      <c r="Q37" s="5"/>
      <c r="R37" s="5"/>
      <c r="S37" s="5"/>
      <c r="T37" s="5"/>
      <c r="X37" s="32"/>
      <c r="Y37" s="32"/>
      <c r="Z37" s="32"/>
      <c r="AA37" s="32"/>
      <c r="AB37" s="32"/>
      <c r="AC37" s="32"/>
      <c r="AE37" s="53"/>
      <c r="AF37" s="53"/>
      <c r="AG37" s="54"/>
      <c r="AI37" s="53"/>
      <c r="AJ37" s="53"/>
      <c r="AK37" s="55"/>
    </row>
    <row r="38" spans="1:37" ht="25.15" customHeight="1" x14ac:dyDescent="0.25">
      <c r="A38" s="17"/>
      <c r="B38" s="7"/>
      <c r="C38" s="7"/>
      <c r="D38" s="7"/>
      <c r="E38" s="3"/>
      <c r="F38" s="5"/>
      <c r="G38" s="5"/>
      <c r="H38" s="266">
        <f>E33/D32</f>
        <v>8</v>
      </c>
      <c r="I38" s="25"/>
      <c r="J38" s="5"/>
      <c r="K38" s="5"/>
      <c r="L38" s="5"/>
      <c r="M38" s="5"/>
      <c r="N38" s="5"/>
      <c r="O38" s="25"/>
      <c r="P38" s="5"/>
      <c r="Q38" s="5"/>
      <c r="R38" s="5"/>
      <c r="S38" s="5"/>
      <c r="T38" s="5"/>
      <c r="U38" s="45"/>
      <c r="V38" s="45"/>
      <c r="X38" s="32"/>
      <c r="Y38" s="32"/>
      <c r="Z38" s="32"/>
      <c r="AA38" s="32"/>
      <c r="AB38" s="32"/>
      <c r="AC38" s="32"/>
      <c r="AE38" s="53"/>
      <c r="AF38" s="53"/>
      <c r="AG38" s="54"/>
      <c r="AI38" s="53"/>
      <c r="AJ38" s="53"/>
      <c r="AK38" s="55"/>
    </row>
    <row r="39" spans="1:37" s="18" customFormat="1" ht="25.15" customHeight="1" x14ac:dyDescent="0.25">
      <c r="A39" s="17"/>
      <c r="B39" s="7"/>
      <c r="C39" s="7"/>
      <c r="D39" s="7"/>
      <c r="E39" s="3"/>
      <c r="F39" s="5"/>
      <c r="G39" s="5"/>
      <c r="H39" s="33">
        <f>G33/D32</f>
        <v>0</v>
      </c>
      <c r="I39" s="25"/>
      <c r="J39" s="5"/>
      <c r="K39" s="5"/>
      <c r="L39" s="5"/>
      <c r="M39" s="5"/>
      <c r="N39" s="5"/>
      <c r="O39" s="25"/>
      <c r="P39" s="5"/>
      <c r="Q39" s="5"/>
      <c r="R39" s="5"/>
      <c r="S39" s="5"/>
      <c r="T39" s="5"/>
      <c r="U39" s="45"/>
      <c r="V39" s="45"/>
      <c r="X39" s="32"/>
      <c r="Y39" s="32"/>
      <c r="Z39" s="32"/>
      <c r="AA39" s="32"/>
      <c r="AB39" s="32"/>
      <c r="AC39" s="32"/>
      <c r="AE39" s="53"/>
      <c r="AF39" s="53"/>
      <c r="AG39" s="54"/>
      <c r="AH39"/>
      <c r="AI39" s="53"/>
      <c r="AJ39" s="53"/>
      <c r="AK39" s="55"/>
    </row>
    <row r="40" spans="1:37" s="18" customFormat="1" ht="25.15" customHeight="1" x14ac:dyDescent="0.25">
      <c r="A40" s="17"/>
      <c r="B40" s="7"/>
      <c r="C40" s="7"/>
      <c r="D40" s="7"/>
      <c r="E40" s="3"/>
      <c r="F40" s="5"/>
      <c r="G40" s="5"/>
      <c r="H40" s="16">
        <f>H33/D32</f>
        <v>8</v>
      </c>
      <c r="I40" s="25"/>
      <c r="J40" s="5"/>
      <c r="K40" s="5"/>
      <c r="L40" s="5"/>
      <c r="M40" s="5"/>
      <c r="N40" s="5"/>
      <c r="O40" s="25"/>
      <c r="P40" s="5"/>
      <c r="Q40" s="5"/>
      <c r="R40" s="5"/>
      <c r="S40" s="5"/>
      <c r="T40" s="5"/>
      <c r="U40" s="45"/>
      <c r="V40" s="45"/>
      <c r="X40" s="32"/>
      <c r="Y40" s="32"/>
      <c r="Z40" s="32"/>
      <c r="AA40" s="32"/>
      <c r="AB40" s="32"/>
      <c r="AC40" s="32"/>
      <c r="AE40" s="53"/>
      <c r="AF40" s="53"/>
      <c r="AG40" s="54"/>
      <c r="AH40"/>
      <c r="AI40" s="53"/>
      <c r="AJ40" s="53"/>
      <c r="AK40" s="55"/>
    </row>
    <row r="41" spans="1:37" s="18" customFormat="1" ht="25.15" customHeight="1" x14ac:dyDescent="0.25">
      <c r="A41" s="17"/>
      <c r="B41" s="7"/>
      <c r="C41" s="7"/>
      <c r="D41" s="7"/>
      <c r="E41" s="3"/>
      <c r="F41" s="5"/>
      <c r="G41" s="5"/>
      <c r="H41" s="16">
        <f>I33/D32</f>
        <v>8</v>
      </c>
      <c r="I41" s="25"/>
      <c r="J41" s="5"/>
      <c r="K41" s="5"/>
      <c r="L41" s="5"/>
      <c r="M41" s="5"/>
      <c r="N41" s="5"/>
      <c r="O41" s="25"/>
      <c r="P41" s="5"/>
      <c r="Q41" s="5"/>
      <c r="R41" s="5"/>
      <c r="S41" s="5"/>
      <c r="T41" s="5"/>
      <c r="U41" s="45"/>
      <c r="V41" s="45"/>
      <c r="X41" s="32"/>
      <c r="Y41" s="32"/>
      <c r="Z41" s="32"/>
      <c r="AA41" s="32"/>
      <c r="AB41" s="32"/>
      <c r="AC41" s="32"/>
      <c r="AE41" s="53"/>
      <c r="AF41" s="53"/>
      <c r="AG41" s="54"/>
      <c r="AH41"/>
      <c r="AI41" s="53"/>
      <c r="AJ41" s="53"/>
      <c r="AK41" s="55"/>
    </row>
    <row r="42" spans="1:37" s="18" customFormat="1" ht="25.15" customHeight="1" x14ac:dyDescent="0.25">
      <c r="A42" s="17"/>
      <c r="B42" s="7"/>
      <c r="C42" s="7"/>
      <c r="D42" s="7"/>
      <c r="E42" s="3"/>
      <c r="F42" s="5"/>
      <c r="G42" s="5"/>
      <c r="H42" s="16">
        <f>J33/D32</f>
        <v>7</v>
      </c>
      <c r="I42" s="25"/>
      <c r="J42" s="5"/>
      <c r="K42" s="5"/>
      <c r="L42" s="5"/>
      <c r="M42" s="5"/>
      <c r="N42" s="5"/>
      <c r="O42" s="25"/>
      <c r="P42" s="5"/>
      <c r="Q42" s="5"/>
      <c r="R42" s="5"/>
      <c r="S42" s="5"/>
      <c r="T42" s="5"/>
      <c r="U42" s="45"/>
      <c r="V42" s="45"/>
      <c r="X42" s="32"/>
      <c r="Y42" s="32"/>
      <c r="Z42" s="32"/>
      <c r="AA42" s="32"/>
      <c r="AB42" s="32"/>
      <c r="AC42" s="32"/>
      <c r="AE42" s="53"/>
      <c r="AF42" s="53"/>
      <c r="AG42" s="54"/>
      <c r="AH42"/>
      <c r="AI42" s="53"/>
      <c r="AJ42" s="53"/>
      <c r="AK42" s="55"/>
    </row>
    <row r="43" spans="1:37" s="18" customFormat="1" ht="25.15" customHeight="1" x14ac:dyDescent="0.25">
      <c r="A43" s="17"/>
      <c r="B43" s="7"/>
      <c r="C43" s="7"/>
      <c r="D43" s="7"/>
      <c r="E43" s="3"/>
      <c r="F43" s="5"/>
      <c r="G43" s="5"/>
      <c r="H43" s="16">
        <f>K33/D32</f>
        <v>7</v>
      </c>
      <c r="I43" s="25"/>
      <c r="J43" s="5"/>
      <c r="K43" s="5"/>
      <c r="L43" s="5"/>
      <c r="M43" s="5"/>
      <c r="N43" s="5"/>
      <c r="O43" s="25"/>
      <c r="P43" s="5"/>
      <c r="Q43" s="5"/>
      <c r="R43" s="5"/>
      <c r="S43" s="5"/>
      <c r="T43" s="5"/>
      <c r="U43" s="45"/>
      <c r="V43" s="45"/>
      <c r="X43" s="32"/>
      <c r="Y43" s="32"/>
      <c r="Z43" s="32"/>
      <c r="AA43" s="32"/>
      <c r="AB43" s="32"/>
      <c r="AC43" s="32"/>
      <c r="AE43" s="53"/>
      <c r="AF43" s="53"/>
      <c r="AG43" s="54"/>
      <c r="AH43"/>
      <c r="AI43" s="53"/>
      <c r="AJ43" s="53"/>
      <c r="AK43" s="55"/>
    </row>
    <row r="44" spans="1:37" s="18" customFormat="1" ht="25.15" customHeight="1" x14ac:dyDescent="0.25">
      <c r="A44" s="17"/>
      <c r="B44" s="7"/>
      <c r="C44" s="7"/>
      <c r="D44" s="7"/>
      <c r="E44" s="3"/>
      <c r="F44" s="5"/>
      <c r="G44" s="5"/>
      <c r="H44" s="16">
        <f>L33/D32</f>
        <v>7</v>
      </c>
      <c r="I44" s="25"/>
      <c r="J44" s="5"/>
      <c r="K44" s="5"/>
      <c r="L44" s="5"/>
      <c r="M44" s="5"/>
      <c r="N44" s="5"/>
      <c r="O44" s="25"/>
      <c r="P44" s="5"/>
      <c r="Q44" s="5"/>
      <c r="R44" s="5"/>
      <c r="S44" s="5"/>
      <c r="T44" s="5"/>
      <c r="U44" s="45"/>
      <c r="V44" s="45"/>
      <c r="X44" s="32"/>
      <c r="Y44" s="32"/>
      <c r="Z44" s="32"/>
      <c r="AA44" s="32"/>
      <c r="AB44" s="32"/>
      <c r="AC44" s="32"/>
      <c r="AE44" s="53"/>
      <c r="AF44" s="53"/>
      <c r="AG44" s="54"/>
      <c r="AH44"/>
      <c r="AI44" s="53"/>
      <c r="AJ44" s="53"/>
      <c r="AK44" s="55"/>
    </row>
    <row r="45" spans="1:37" s="18" customFormat="1" ht="25.15" customHeight="1" x14ac:dyDescent="0.25">
      <c r="A45" s="17"/>
      <c r="B45" s="7"/>
      <c r="C45" s="7"/>
      <c r="D45" s="7"/>
      <c r="E45" s="3"/>
      <c r="F45" s="5"/>
      <c r="G45" s="5"/>
      <c r="H45" s="266">
        <f>M33/D32</f>
        <v>7</v>
      </c>
      <c r="I45" s="25"/>
      <c r="J45" s="5"/>
      <c r="K45" s="5"/>
      <c r="L45" s="5"/>
      <c r="M45" s="5"/>
      <c r="N45" s="5"/>
      <c r="O45" s="25"/>
      <c r="P45" s="5"/>
      <c r="Q45" s="5"/>
      <c r="R45" s="5"/>
      <c r="S45" s="5"/>
      <c r="T45" s="5"/>
      <c r="U45" s="45"/>
      <c r="V45" s="45"/>
      <c r="X45" s="32"/>
      <c r="Y45" s="32"/>
      <c r="Z45" s="32"/>
      <c r="AA45" s="32"/>
      <c r="AB45" s="32"/>
      <c r="AC45" s="32"/>
      <c r="AE45" s="53"/>
      <c r="AF45" s="53"/>
      <c r="AG45" s="54"/>
      <c r="AH45"/>
      <c r="AI45" s="53"/>
      <c r="AJ45" s="53"/>
      <c r="AK45" s="55"/>
    </row>
    <row r="46" spans="1:37" s="18" customFormat="1" ht="25.15" customHeight="1" x14ac:dyDescent="0.25">
      <c r="A46" s="17"/>
      <c r="B46" s="7"/>
      <c r="C46" s="7"/>
      <c r="D46" s="7"/>
      <c r="E46" s="3"/>
      <c r="F46" s="5"/>
      <c r="G46" s="5"/>
      <c r="H46" s="16">
        <f>N33/D32</f>
        <v>7</v>
      </c>
      <c r="I46" s="25"/>
      <c r="J46" s="5"/>
      <c r="K46" s="5"/>
      <c r="L46" s="5"/>
      <c r="M46" s="5"/>
      <c r="N46" s="5"/>
      <c r="O46" s="25"/>
      <c r="P46" s="5"/>
      <c r="Q46" s="5"/>
      <c r="R46" s="5"/>
      <c r="S46" s="5"/>
      <c r="T46" s="5"/>
      <c r="U46" s="45"/>
      <c r="V46" s="45"/>
      <c r="X46" s="32"/>
      <c r="Y46" s="32"/>
      <c r="Z46" s="32"/>
      <c r="AA46" s="32"/>
      <c r="AB46" s="32"/>
      <c r="AC46" s="32"/>
      <c r="AE46" s="53"/>
      <c r="AF46" s="53"/>
      <c r="AG46" s="54"/>
      <c r="AH46"/>
      <c r="AI46" s="53"/>
      <c r="AJ46" s="53"/>
      <c r="AK46" s="55"/>
    </row>
    <row r="47" spans="1:37" s="18" customFormat="1" ht="25.15" customHeight="1" x14ac:dyDescent="0.25">
      <c r="A47" s="17"/>
      <c r="B47" s="7"/>
      <c r="C47" s="7"/>
      <c r="D47" s="7"/>
      <c r="E47" s="3"/>
      <c r="F47" s="5"/>
      <c r="G47" s="5"/>
      <c r="H47" s="16">
        <f>O33/D32</f>
        <v>7</v>
      </c>
      <c r="I47" s="25"/>
      <c r="J47" s="5"/>
      <c r="K47" s="5"/>
      <c r="L47" s="5"/>
      <c r="M47" s="5"/>
      <c r="N47" s="5"/>
      <c r="O47" s="25"/>
      <c r="P47" s="5"/>
      <c r="Q47" s="5"/>
      <c r="R47" s="5"/>
      <c r="S47" s="5"/>
      <c r="T47" s="5"/>
      <c r="U47" s="45"/>
      <c r="V47" s="45"/>
      <c r="X47" s="32"/>
      <c r="Y47" s="32"/>
      <c r="Z47" s="32"/>
      <c r="AA47" s="32"/>
      <c r="AB47" s="32"/>
      <c r="AC47" s="32"/>
      <c r="AE47" s="53"/>
      <c r="AF47" s="53"/>
      <c r="AG47" s="54"/>
      <c r="AH47"/>
      <c r="AI47" s="53"/>
      <c r="AJ47" s="53"/>
      <c r="AK47" s="55"/>
    </row>
    <row r="48" spans="1:37" s="18" customFormat="1" ht="25.15" customHeight="1" x14ac:dyDescent="0.25">
      <c r="A48" s="17"/>
      <c r="B48" s="7"/>
      <c r="C48" s="7"/>
      <c r="D48" s="7"/>
      <c r="E48" s="3"/>
      <c r="F48" s="5"/>
      <c r="G48" s="5"/>
      <c r="H48" s="16">
        <f>P33/D32</f>
        <v>8</v>
      </c>
      <c r="I48" s="25"/>
      <c r="J48" s="5"/>
      <c r="K48" s="5"/>
      <c r="L48" s="5"/>
      <c r="M48" s="5"/>
      <c r="N48" s="5"/>
      <c r="O48" s="25"/>
      <c r="P48" s="5"/>
      <c r="Q48" s="5"/>
      <c r="R48" s="5"/>
      <c r="S48" s="5"/>
      <c r="T48" s="5"/>
      <c r="U48" s="45"/>
      <c r="V48" s="45"/>
      <c r="X48" s="32"/>
      <c r="Y48" s="32"/>
      <c r="Z48" s="32"/>
      <c r="AA48" s="32"/>
      <c r="AB48" s="32"/>
      <c r="AC48" s="32"/>
      <c r="AE48" s="53"/>
      <c r="AF48" s="53"/>
      <c r="AG48" s="54"/>
      <c r="AH48"/>
      <c r="AI48" s="53"/>
      <c r="AJ48" s="53"/>
      <c r="AK48" s="55"/>
    </row>
    <row r="49" spans="1:37" s="18" customFormat="1" ht="25.15" customHeight="1" x14ac:dyDescent="0.25">
      <c r="A49" s="17"/>
      <c r="B49" s="7"/>
      <c r="C49" s="7"/>
      <c r="D49" s="7"/>
      <c r="E49" s="3"/>
      <c r="F49" s="5"/>
      <c r="G49" s="5"/>
      <c r="H49" s="16">
        <f>Q33/D32</f>
        <v>8</v>
      </c>
      <c r="I49" s="25"/>
      <c r="J49" s="5"/>
      <c r="K49" s="5"/>
      <c r="L49" s="5"/>
      <c r="M49" s="5"/>
      <c r="N49" s="5"/>
      <c r="O49" s="25"/>
      <c r="P49" s="5"/>
      <c r="Q49" s="5"/>
      <c r="R49" s="5"/>
      <c r="S49" s="5"/>
      <c r="T49" s="5"/>
      <c r="U49" s="45"/>
      <c r="V49" s="45"/>
      <c r="X49" s="32"/>
      <c r="Y49" s="32"/>
      <c r="Z49" s="32"/>
      <c r="AA49" s="32"/>
      <c r="AB49" s="32"/>
      <c r="AC49" s="32"/>
      <c r="AE49" s="53"/>
      <c r="AF49" s="53"/>
      <c r="AG49" s="54"/>
      <c r="AH49"/>
      <c r="AI49" s="53"/>
      <c r="AJ49" s="53"/>
      <c r="AK49" s="55"/>
    </row>
    <row r="50" spans="1:37" s="18" customFormat="1" ht="25.15" customHeight="1" x14ac:dyDescent="0.25">
      <c r="A50" s="17"/>
      <c r="B50" s="7"/>
      <c r="C50" s="7"/>
      <c r="D50" s="7"/>
      <c r="E50" s="3"/>
      <c r="F50" s="5"/>
      <c r="G50" s="5"/>
      <c r="H50" s="16">
        <f>R33/D32</f>
        <v>8</v>
      </c>
      <c r="I50" s="25"/>
      <c r="J50" s="5"/>
      <c r="K50" s="5"/>
      <c r="L50" s="5"/>
      <c r="M50" s="5"/>
      <c r="N50" s="5"/>
      <c r="O50" s="25"/>
      <c r="P50" s="5"/>
      <c r="Q50" s="5"/>
      <c r="R50" s="5"/>
      <c r="S50" s="5"/>
      <c r="T50" s="5"/>
      <c r="U50" s="45"/>
      <c r="V50" s="45"/>
      <c r="X50" s="32"/>
      <c r="Y50" s="32"/>
      <c r="Z50" s="32"/>
      <c r="AA50" s="32"/>
      <c r="AB50" s="32"/>
      <c r="AC50" s="32"/>
      <c r="AE50" s="53"/>
      <c r="AF50" s="53"/>
      <c r="AG50" s="54"/>
      <c r="AH50"/>
      <c r="AI50" s="53"/>
      <c r="AJ50" s="53"/>
      <c r="AK50" s="55"/>
    </row>
    <row r="51" spans="1:37" s="18" customFormat="1" ht="25.15" customHeight="1" x14ac:dyDescent="0.25">
      <c r="A51" s="17"/>
      <c r="B51" s="7"/>
      <c r="C51" s="7"/>
      <c r="D51" s="7"/>
      <c r="E51" s="3"/>
      <c r="F51" s="5"/>
      <c r="G51" s="5"/>
      <c r="H51" s="16">
        <f>S33/D32</f>
        <v>8</v>
      </c>
      <c r="I51" s="25"/>
      <c r="J51" s="5"/>
      <c r="K51" s="5"/>
      <c r="L51" s="5"/>
      <c r="M51" s="5"/>
      <c r="N51" s="5"/>
      <c r="O51" s="25"/>
      <c r="P51" s="5"/>
      <c r="Q51" s="5"/>
      <c r="R51" s="5"/>
      <c r="S51" s="5"/>
      <c r="T51" s="5"/>
      <c r="U51" s="45"/>
      <c r="V51" s="45"/>
      <c r="X51" s="32"/>
      <c r="Y51" s="32"/>
      <c r="Z51" s="32"/>
      <c r="AA51" s="32"/>
      <c r="AB51" s="32"/>
      <c r="AC51" s="32"/>
      <c r="AE51" s="53"/>
      <c r="AF51" s="53"/>
      <c r="AG51" s="54"/>
      <c r="AH51"/>
      <c r="AI51" s="53"/>
      <c r="AJ51" s="53"/>
      <c r="AK51" s="55"/>
    </row>
    <row r="52" spans="1:37" s="18" customFormat="1" ht="25.15" customHeight="1" x14ac:dyDescent="0.25">
      <c r="A52" s="17"/>
      <c r="B52" s="7"/>
      <c r="C52" s="7"/>
      <c r="D52" s="7"/>
      <c r="E52" s="3"/>
      <c r="F52" s="5"/>
      <c r="G52" s="5"/>
      <c r="H52" s="15">
        <f>SUM(H38:H51)</f>
        <v>98</v>
      </c>
      <c r="I52" s="25"/>
      <c r="J52" s="5"/>
      <c r="K52" s="5"/>
      <c r="L52" s="5"/>
      <c r="M52" s="5"/>
      <c r="N52" s="5"/>
      <c r="O52" s="25"/>
      <c r="P52" s="5"/>
      <c r="Q52" s="5"/>
      <c r="R52" s="5"/>
      <c r="S52" s="5"/>
      <c r="T52" s="5"/>
      <c r="U52" s="45"/>
      <c r="V52" s="45"/>
      <c r="X52" s="32"/>
      <c r="Y52" s="32"/>
      <c r="Z52" s="32"/>
      <c r="AA52" s="32"/>
      <c r="AB52" s="32"/>
      <c r="AC52" s="32"/>
      <c r="AE52" s="53"/>
      <c r="AF52" s="53"/>
      <c r="AG52" s="54"/>
      <c r="AH52"/>
      <c r="AI52" s="53"/>
      <c r="AJ52" s="53"/>
      <c r="AK52" s="55"/>
    </row>
    <row r="53" spans="1:37" s="18" customFormat="1" ht="25.15" customHeight="1" x14ac:dyDescent="0.25">
      <c r="A53" s="17"/>
      <c r="B53" s="7"/>
      <c r="C53" s="7"/>
      <c r="D53" s="7"/>
      <c r="E53" s="3"/>
      <c r="F53" s="5"/>
      <c r="G53" s="5"/>
      <c r="H53" s="5"/>
      <c r="I53" s="25"/>
      <c r="J53" s="5"/>
      <c r="K53" s="5"/>
      <c r="L53" s="5"/>
      <c r="M53" s="5"/>
      <c r="N53" s="5"/>
      <c r="O53" s="25"/>
      <c r="P53" s="5"/>
      <c r="Q53" s="5"/>
      <c r="R53" s="5"/>
      <c r="S53" s="5"/>
      <c r="T53" s="5"/>
      <c r="U53" s="45"/>
      <c r="V53" s="45"/>
      <c r="X53" s="32"/>
      <c r="Y53" s="32"/>
      <c r="Z53" s="32"/>
      <c r="AA53" s="32"/>
      <c r="AB53" s="32"/>
      <c r="AC53" s="32"/>
      <c r="AE53" s="53"/>
      <c r="AF53" s="53"/>
      <c r="AG53" s="54"/>
      <c r="AH53"/>
      <c r="AI53" s="53"/>
      <c r="AJ53" s="53"/>
      <c r="AK53" s="55"/>
    </row>
    <row r="54" spans="1:37" s="18" customFormat="1" ht="25.15" customHeight="1" x14ac:dyDescent="0.25">
      <c r="A54" s="17"/>
      <c r="B54" s="7"/>
      <c r="C54" s="7"/>
      <c r="D54" s="7"/>
      <c r="E54" s="3"/>
      <c r="F54" s="5"/>
      <c r="G54" s="5"/>
      <c r="H54" s="5"/>
      <c r="I54" s="25"/>
      <c r="J54" s="5"/>
      <c r="K54" s="5"/>
      <c r="L54" s="5"/>
      <c r="M54" s="5"/>
      <c r="N54" s="5"/>
      <c r="O54" s="25"/>
      <c r="P54" s="5"/>
      <c r="Q54" s="5"/>
      <c r="R54" s="5"/>
      <c r="S54" s="5"/>
      <c r="T54" s="5"/>
      <c r="U54" s="45"/>
      <c r="V54" s="45"/>
      <c r="X54" s="32"/>
      <c r="Y54" s="32"/>
      <c r="Z54" s="32"/>
      <c r="AA54" s="32"/>
      <c r="AB54" s="32"/>
      <c r="AC54" s="32"/>
      <c r="AE54" s="53"/>
      <c r="AF54" s="53"/>
      <c r="AG54" s="54"/>
      <c r="AH54"/>
      <c r="AI54" s="53"/>
      <c r="AJ54" s="53"/>
      <c r="AK54" s="55"/>
    </row>
    <row r="55" spans="1:37" s="18" customFormat="1" ht="25.15" customHeight="1" x14ac:dyDescent="0.25">
      <c r="A55" s="17"/>
      <c r="B55" s="7"/>
      <c r="C55" s="7"/>
      <c r="D55" s="7"/>
      <c r="E55" s="3"/>
      <c r="F55" s="5"/>
      <c r="G55" s="5"/>
      <c r="H55" s="5"/>
      <c r="I55" s="25"/>
      <c r="J55" s="5"/>
      <c r="K55" s="5"/>
      <c r="L55" s="5"/>
      <c r="M55" s="5"/>
      <c r="N55" s="5"/>
      <c r="O55" s="25"/>
      <c r="P55" s="5"/>
      <c r="Q55" s="5"/>
      <c r="R55" s="5"/>
      <c r="S55" s="5"/>
      <c r="T55" s="5"/>
      <c r="U55" s="45"/>
      <c r="V55" s="45"/>
      <c r="X55" s="32"/>
      <c r="Y55" s="32"/>
      <c r="Z55" s="32"/>
      <c r="AA55" s="32"/>
      <c r="AB55" s="32"/>
      <c r="AC55" s="32"/>
      <c r="AE55" s="53"/>
      <c r="AF55" s="53"/>
      <c r="AG55" s="54"/>
      <c r="AH55"/>
      <c r="AI55" s="53"/>
      <c r="AJ55" s="53"/>
      <c r="AK55" s="55"/>
    </row>
    <row r="56" spans="1:37" s="18" customFormat="1" ht="25.15" customHeight="1" x14ac:dyDescent="0.25">
      <c r="A56" s="17"/>
      <c r="B56" s="7"/>
      <c r="C56" s="7"/>
      <c r="D56" s="7"/>
      <c r="E56" s="3"/>
      <c r="F56" s="5"/>
      <c r="G56" s="5"/>
      <c r="H56" s="5"/>
      <c r="I56" s="25"/>
      <c r="J56" s="5"/>
      <c r="K56" s="5"/>
      <c r="L56" s="5"/>
      <c r="M56" s="5"/>
      <c r="N56" s="5"/>
      <c r="O56" s="25"/>
      <c r="P56" s="5"/>
      <c r="Q56" s="5"/>
      <c r="R56" s="5"/>
      <c r="S56" s="5"/>
      <c r="T56" s="5"/>
      <c r="U56" s="45"/>
      <c r="V56" s="45"/>
      <c r="X56" s="32"/>
      <c r="Y56" s="32"/>
      <c r="Z56" s="32"/>
      <c r="AA56" s="32"/>
      <c r="AB56" s="32"/>
      <c r="AC56" s="32"/>
      <c r="AE56" s="53"/>
      <c r="AF56" s="53"/>
      <c r="AG56" s="54"/>
      <c r="AH56"/>
      <c r="AI56" s="53"/>
      <c r="AJ56" s="53"/>
      <c r="AK56" s="55"/>
    </row>
    <row r="57" spans="1:37" s="18" customFormat="1" ht="25.15" customHeight="1" x14ac:dyDescent="0.25">
      <c r="A57" s="17"/>
      <c r="B57" s="7"/>
      <c r="C57" s="7"/>
      <c r="D57" s="7"/>
      <c r="E57" s="3"/>
      <c r="F57" s="5"/>
      <c r="G57" s="5"/>
      <c r="H57" s="5"/>
      <c r="I57" s="25"/>
      <c r="J57" s="5"/>
      <c r="K57" s="5"/>
      <c r="L57" s="5"/>
      <c r="M57" s="5"/>
      <c r="N57" s="5"/>
      <c r="O57" s="25"/>
      <c r="P57" s="5"/>
      <c r="Q57" s="5"/>
      <c r="R57" s="5"/>
      <c r="S57" s="5"/>
      <c r="T57" s="5"/>
      <c r="U57" s="45"/>
      <c r="V57" s="45"/>
      <c r="X57" s="32"/>
      <c r="Y57" s="32"/>
      <c r="Z57" s="32"/>
      <c r="AA57" s="32"/>
      <c r="AB57" s="32"/>
      <c r="AC57" s="32"/>
      <c r="AE57" s="53"/>
      <c r="AF57" s="53"/>
      <c r="AG57" s="54"/>
      <c r="AH57"/>
      <c r="AI57" s="53"/>
      <c r="AJ57" s="53"/>
      <c r="AK57" s="55"/>
    </row>
    <row r="58" spans="1:37" s="18" customFormat="1" ht="25.15" customHeight="1" x14ac:dyDescent="0.25">
      <c r="A58" s="17"/>
      <c r="B58" s="7"/>
      <c r="C58" s="7"/>
      <c r="D58" s="7"/>
      <c r="E58" s="3"/>
      <c r="F58" s="5"/>
      <c r="G58" s="5"/>
      <c r="H58" s="5"/>
      <c r="I58" s="25"/>
      <c r="J58" s="5"/>
      <c r="K58" s="5"/>
      <c r="L58" s="5"/>
      <c r="M58" s="5"/>
      <c r="N58" s="5"/>
      <c r="O58" s="25"/>
      <c r="P58" s="5"/>
      <c r="Q58" s="5"/>
      <c r="R58" s="5"/>
      <c r="S58" s="5"/>
      <c r="T58" s="5"/>
      <c r="U58" s="45"/>
      <c r="V58" s="45"/>
      <c r="X58" s="32"/>
      <c r="Y58" s="32"/>
      <c r="Z58" s="32"/>
      <c r="AA58" s="32"/>
      <c r="AB58" s="32"/>
      <c r="AC58" s="32"/>
      <c r="AE58" s="53"/>
      <c r="AF58" s="53"/>
      <c r="AG58" s="54"/>
      <c r="AH58"/>
      <c r="AI58" s="53"/>
      <c r="AJ58" s="53"/>
      <c r="AK58" s="55"/>
    </row>
    <row r="59" spans="1:37" s="18" customFormat="1" ht="25.15" customHeight="1" x14ac:dyDescent="0.25">
      <c r="A59" s="17"/>
      <c r="B59" s="7"/>
      <c r="C59" s="7"/>
      <c r="D59" s="7"/>
      <c r="E59" s="3"/>
      <c r="F59" s="5"/>
      <c r="G59" s="5"/>
      <c r="H59" s="5"/>
      <c r="I59" s="25"/>
      <c r="J59" s="5"/>
      <c r="K59" s="5"/>
      <c r="L59" s="5"/>
      <c r="M59" s="5"/>
      <c r="N59" s="5"/>
      <c r="O59" s="25"/>
      <c r="P59" s="5"/>
      <c r="Q59" s="5"/>
      <c r="R59" s="5"/>
      <c r="S59" s="5"/>
      <c r="T59" s="5"/>
      <c r="U59" s="45"/>
      <c r="V59" s="45"/>
      <c r="X59" s="32"/>
      <c r="Y59" s="32"/>
      <c r="Z59" s="32"/>
      <c r="AA59" s="32"/>
      <c r="AB59" s="32"/>
      <c r="AC59" s="32"/>
      <c r="AE59" s="53"/>
      <c r="AF59" s="53"/>
      <c r="AG59" s="54"/>
      <c r="AH59"/>
      <c r="AI59" s="53"/>
      <c r="AJ59" s="53"/>
      <c r="AK59" s="55"/>
    </row>
    <row r="60" spans="1:37" s="18" customFormat="1" ht="25.15" customHeight="1" x14ac:dyDescent="0.25">
      <c r="A60" s="17"/>
      <c r="B60" s="7"/>
      <c r="C60" s="7"/>
      <c r="D60" s="7"/>
      <c r="E60" s="3"/>
      <c r="F60" s="5"/>
      <c r="G60" s="5"/>
      <c r="H60" s="5"/>
      <c r="I60" s="25"/>
      <c r="J60" s="5"/>
      <c r="K60" s="5"/>
      <c r="L60" s="5"/>
      <c r="M60" s="5"/>
      <c r="N60" s="5"/>
      <c r="O60" s="25"/>
      <c r="P60" s="5"/>
      <c r="Q60" s="5"/>
      <c r="R60" s="5"/>
      <c r="S60" s="5"/>
      <c r="T60" s="5"/>
      <c r="U60" s="45"/>
      <c r="V60" s="45"/>
      <c r="X60" s="32"/>
      <c r="Y60" s="32"/>
      <c r="Z60" s="32"/>
      <c r="AA60" s="32"/>
      <c r="AB60" s="32"/>
      <c r="AC60" s="32"/>
      <c r="AE60" s="53"/>
      <c r="AF60" s="53"/>
      <c r="AG60" s="54"/>
      <c r="AH60"/>
      <c r="AI60" s="53"/>
      <c r="AJ60" s="53"/>
      <c r="AK60" s="55"/>
    </row>
    <row r="61" spans="1:37" s="18" customFormat="1" ht="25.15" customHeight="1" x14ac:dyDescent="0.25">
      <c r="A61" s="17"/>
      <c r="B61" s="7"/>
      <c r="C61" s="7"/>
      <c r="D61" s="7"/>
      <c r="E61" s="3"/>
      <c r="F61" s="5"/>
      <c r="G61" s="5"/>
      <c r="H61" s="5"/>
      <c r="I61" s="25"/>
      <c r="J61" s="5"/>
      <c r="K61" s="5"/>
      <c r="L61" s="5"/>
      <c r="M61" s="5"/>
      <c r="N61" s="5"/>
      <c r="O61" s="25"/>
      <c r="P61" s="5"/>
      <c r="Q61" s="5"/>
      <c r="R61" s="5"/>
      <c r="S61" s="5"/>
      <c r="T61" s="5"/>
      <c r="U61" s="45"/>
      <c r="V61" s="45"/>
      <c r="X61" s="32"/>
      <c r="Y61" s="32"/>
      <c r="Z61" s="32"/>
      <c r="AA61" s="32"/>
      <c r="AB61" s="32"/>
      <c r="AC61" s="32"/>
      <c r="AE61" s="53"/>
      <c r="AF61" s="53"/>
      <c r="AG61" s="54"/>
      <c r="AH61"/>
      <c r="AI61" s="53"/>
      <c r="AJ61" s="53"/>
      <c r="AK61" s="55"/>
    </row>
    <row r="62" spans="1:37" s="18" customFormat="1" ht="25.15" customHeight="1" x14ac:dyDescent="0.25">
      <c r="A62" s="17"/>
      <c r="B62" s="7"/>
      <c r="C62" s="7"/>
      <c r="D62" s="7"/>
      <c r="E62" s="3"/>
      <c r="F62" s="5"/>
      <c r="G62" s="5"/>
      <c r="H62" s="5"/>
      <c r="I62" s="25"/>
      <c r="J62" s="5"/>
      <c r="K62" s="5"/>
      <c r="L62" s="5"/>
      <c r="M62" s="5"/>
      <c r="N62" s="5"/>
      <c r="O62" s="25"/>
      <c r="P62" s="5"/>
      <c r="Q62" s="5"/>
      <c r="R62" s="5"/>
      <c r="S62" s="5"/>
      <c r="T62" s="5"/>
      <c r="U62" s="45"/>
      <c r="V62" s="45"/>
      <c r="X62" s="32"/>
      <c r="Y62" s="32"/>
      <c r="Z62" s="32"/>
      <c r="AA62" s="32"/>
      <c r="AB62" s="32"/>
      <c r="AC62" s="32"/>
      <c r="AE62" s="53"/>
      <c r="AF62" s="53"/>
      <c r="AG62" s="54"/>
      <c r="AH62"/>
      <c r="AI62" s="53"/>
      <c r="AJ62" s="53"/>
      <c r="AK62" s="55"/>
    </row>
    <row r="63" spans="1:37" s="18" customFormat="1" ht="25.15" customHeight="1" x14ac:dyDescent="0.25">
      <c r="A63" s="17"/>
      <c r="B63" s="7"/>
      <c r="C63" s="7"/>
      <c r="D63" s="7"/>
      <c r="E63" s="3"/>
      <c r="F63" s="5"/>
      <c r="G63" s="5"/>
      <c r="H63" s="5"/>
      <c r="I63" s="25"/>
      <c r="J63" s="5"/>
      <c r="K63" s="5"/>
      <c r="L63" s="5"/>
      <c r="M63" s="5"/>
      <c r="N63" s="5"/>
      <c r="O63" s="25"/>
      <c r="P63" s="5"/>
      <c r="Q63" s="5"/>
      <c r="R63" s="5"/>
      <c r="S63" s="5"/>
      <c r="T63" s="5"/>
      <c r="U63" s="45"/>
      <c r="V63" s="45"/>
      <c r="X63" s="32"/>
      <c r="Y63" s="32"/>
      <c r="Z63" s="32"/>
      <c r="AA63" s="32"/>
      <c r="AB63" s="32"/>
      <c r="AC63" s="32"/>
      <c r="AE63" s="53"/>
      <c r="AF63" s="53"/>
      <c r="AG63" s="54"/>
      <c r="AH63"/>
      <c r="AI63" s="53"/>
      <c r="AJ63" s="53"/>
      <c r="AK63" s="55"/>
    </row>
    <row r="64" spans="1:37" s="18" customFormat="1" ht="25.15" customHeight="1" x14ac:dyDescent="0.25">
      <c r="A64" s="17"/>
      <c r="B64" s="7"/>
      <c r="C64" s="7"/>
      <c r="D64" s="7"/>
      <c r="E64" s="3"/>
      <c r="F64" s="5"/>
      <c r="G64" s="5"/>
      <c r="H64" s="5"/>
      <c r="I64" s="25"/>
      <c r="J64" s="5"/>
      <c r="K64" s="5"/>
      <c r="L64" s="5"/>
      <c r="M64" s="5"/>
      <c r="N64" s="5"/>
      <c r="O64" s="25"/>
      <c r="P64" s="5"/>
      <c r="Q64" s="5"/>
      <c r="R64" s="5"/>
      <c r="S64" s="5"/>
      <c r="T64" s="5"/>
      <c r="U64" s="45"/>
      <c r="V64" s="45"/>
      <c r="X64" s="32"/>
      <c r="Y64" s="32"/>
      <c r="Z64" s="32"/>
      <c r="AA64" s="32"/>
      <c r="AB64" s="32"/>
      <c r="AC64" s="32"/>
      <c r="AE64" s="53"/>
      <c r="AF64" s="53"/>
      <c r="AG64" s="54"/>
      <c r="AH64"/>
      <c r="AI64" s="53"/>
      <c r="AJ64" s="53"/>
      <c r="AK64" s="55"/>
    </row>
    <row r="65" spans="1:37" s="18" customFormat="1" ht="25.15" customHeight="1" x14ac:dyDescent="0.25">
      <c r="A65" s="17"/>
      <c r="B65" s="7"/>
      <c r="C65" s="7"/>
      <c r="D65" s="7"/>
      <c r="E65" s="3"/>
      <c r="F65" s="5"/>
      <c r="G65" s="5"/>
      <c r="H65" s="5"/>
      <c r="I65" s="25"/>
      <c r="J65" s="5"/>
      <c r="K65" s="5"/>
      <c r="L65" s="5"/>
      <c r="M65" s="5"/>
      <c r="N65" s="5"/>
      <c r="O65" s="25"/>
      <c r="P65" s="5"/>
      <c r="Q65" s="5"/>
      <c r="R65" s="5"/>
      <c r="S65" s="5"/>
      <c r="T65" s="5"/>
      <c r="U65" s="45"/>
      <c r="V65" s="45"/>
      <c r="X65" s="32"/>
      <c r="Y65" s="32"/>
      <c r="Z65" s="32"/>
      <c r="AA65" s="32"/>
      <c r="AB65" s="32"/>
      <c r="AC65" s="32"/>
      <c r="AE65" s="53"/>
      <c r="AF65" s="53"/>
      <c r="AG65" s="54"/>
      <c r="AH65"/>
      <c r="AI65" s="53"/>
      <c r="AJ65" s="53"/>
      <c r="AK65" s="55"/>
    </row>
    <row r="66" spans="1:37" s="18" customFormat="1" ht="25.15" customHeight="1" x14ac:dyDescent="0.25">
      <c r="A66" s="17"/>
      <c r="B66" s="7"/>
      <c r="C66" s="7"/>
      <c r="D66" s="7"/>
      <c r="E66" s="3"/>
      <c r="F66" s="5"/>
      <c r="G66" s="5"/>
      <c r="H66" s="5"/>
      <c r="I66" s="25"/>
      <c r="J66" s="5"/>
      <c r="K66" s="5"/>
      <c r="L66" s="5"/>
      <c r="M66" s="5"/>
      <c r="N66" s="5"/>
      <c r="O66" s="25"/>
      <c r="P66" s="5"/>
      <c r="Q66" s="5"/>
      <c r="R66" s="5"/>
      <c r="S66" s="5"/>
      <c r="T66" s="5"/>
      <c r="U66" s="45"/>
      <c r="V66" s="45"/>
      <c r="X66" s="32"/>
      <c r="Y66" s="32"/>
      <c r="Z66" s="32"/>
      <c r="AA66" s="32"/>
      <c r="AB66" s="32"/>
      <c r="AC66" s="32"/>
      <c r="AE66" s="53"/>
      <c r="AF66" s="53"/>
      <c r="AG66" s="54"/>
      <c r="AH66"/>
      <c r="AI66" s="53"/>
      <c r="AJ66" s="53"/>
      <c r="AK66" s="55"/>
    </row>
    <row r="67" spans="1:37" s="18" customFormat="1" ht="25.15" customHeight="1" x14ac:dyDescent="0.25">
      <c r="A67" s="17"/>
      <c r="B67" s="7"/>
      <c r="C67" s="7"/>
      <c r="D67" s="7"/>
      <c r="E67" s="3"/>
      <c r="F67" s="5"/>
      <c r="G67" s="5"/>
      <c r="H67" s="5"/>
      <c r="I67" s="25"/>
      <c r="J67" s="5"/>
      <c r="K67" s="5"/>
      <c r="L67" s="5"/>
      <c r="M67" s="5"/>
      <c r="N67" s="5"/>
      <c r="O67" s="25"/>
      <c r="P67" s="5"/>
      <c r="Q67" s="5"/>
      <c r="R67" s="5"/>
      <c r="S67" s="5"/>
      <c r="T67" s="5"/>
      <c r="U67" s="45"/>
      <c r="V67" s="45"/>
      <c r="X67" s="32"/>
      <c r="Y67" s="32"/>
      <c r="Z67" s="32"/>
      <c r="AA67" s="32"/>
      <c r="AB67" s="32"/>
      <c r="AC67" s="32"/>
      <c r="AE67" s="53"/>
      <c r="AF67" s="53"/>
      <c r="AG67" s="54"/>
      <c r="AH67"/>
      <c r="AI67" s="53"/>
      <c r="AJ67" s="53"/>
      <c r="AK67" s="55"/>
    </row>
    <row r="68" spans="1:37" s="18" customFormat="1" ht="25.15" customHeight="1" x14ac:dyDescent="0.25">
      <c r="A68" s="17"/>
      <c r="B68" s="7"/>
      <c r="C68" s="7"/>
      <c r="D68" s="7"/>
      <c r="E68" s="3"/>
      <c r="F68" s="5"/>
      <c r="G68" s="5"/>
      <c r="H68" s="5"/>
      <c r="I68" s="25"/>
      <c r="J68" s="5"/>
      <c r="K68" s="5"/>
      <c r="L68" s="5"/>
      <c r="M68" s="5"/>
      <c r="N68" s="5"/>
      <c r="O68" s="25"/>
      <c r="P68" s="5"/>
      <c r="Q68" s="5"/>
      <c r="R68" s="5"/>
      <c r="S68" s="5"/>
      <c r="T68" s="5"/>
      <c r="U68" s="45"/>
      <c r="V68" s="45"/>
      <c r="X68" s="32"/>
      <c r="Y68" s="32"/>
      <c r="Z68" s="32"/>
      <c r="AA68" s="32"/>
      <c r="AB68" s="32"/>
      <c r="AC68" s="32"/>
      <c r="AE68" s="53"/>
      <c r="AF68" s="53"/>
      <c r="AG68" s="54"/>
      <c r="AH68"/>
      <c r="AI68" s="53"/>
      <c r="AJ68" s="53"/>
      <c r="AK68" s="55"/>
    </row>
    <row r="69" spans="1:37" s="18" customFormat="1" ht="25.15" customHeight="1" x14ac:dyDescent="0.25">
      <c r="A69" s="17"/>
      <c r="B69" s="7"/>
      <c r="C69" s="7"/>
      <c r="D69" s="7"/>
      <c r="E69" s="3"/>
      <c r="F69" s="5"/>
      <c r="G69" s="5"/>
      <c r="H69" s="5"/>
      <c r="I69" s="25"/>
      <c r="J69" s="5"/>
      <c r="K69" s="5"/>
      <c r="L69" s="5"/>
      <c r="M69" s="5"/>
      <c r="N69" s="5"/>
      <c r="O69" s="25"/>
      <c r="P69" s="5"/>
      <c r="Q69" s="5"/>
      <c r="R69" s="5"/>
      <c r="S69" s="5"/>
      <c r="T69" s="5"/>
      <c r="U69" s="45"/>
      <c r="V69" s="45"/>
      <c r="X69" s="32"/>
      <c r="Y69" s="32"/>
      <c r="Z69" s="32"/>
      <c r="AA69" s="32"/>
      <c r="AB69" s="32"/>
      <c r="AC69" s="32"/>
      <c r="AE69" s="53"/>
      <c r="AF69" s="53"/>
      <c r="AG69" s="54"/>
      <c r="AH69"/>
      <c r="AI69" s="53"/>
      <c r="AJ69" s="53"/>
      <c r="AK69" s="55"/>
    </row>
    <row r="70" spans="1:37" s="18" customFormat="1" ht="25.15" customHeight="1" x14ac:dyDescent="0.25">
      <c r="A70" s="17"/>
      <c r="B70" s="7"/>
      <c r="C70" s="7"/>
      <c r="D70" s="7"/>
      <c r="E70" s="3"/>
      <c r="F70" s="5"/>
      <c r="G70" s="5"/>
      <c r="H70" s="5"/>
      <c r="I70" s="25"/>
      <c r="J70" s="5"/>
      <c r="K70" s="5"/>
      <c r="L70" s="5"/>
      <c r="M70" s="5"/>
      <c r="N70" s="5"/>
      <c r="O70" s="25"/>
      <c r="P70" s="5"/>
      <c r="Q70" s="5"/>
      <c r="R70" s="5"/>
      <c r="S70" s="5"/>
      <c r="T70" s="5"/>
      <c r="U70" s="45"/>
      <c r="V70" s="45"/>
      <c r="X70" s="32"/>
      <c r="Y70" s="32"/>
      <c r="Z70" s="32"/>
      <c r="AA70" s="32"/>
      <c r="AB70" s="32"/>
      <c r="AC70" s="32"/>
      <c r="AE70" s="53"/>
      <c r="AF70" s="53"/>
      <c r="AG70" s="54"/>
      <c r="AH70"/>
      <c r="AI70" s="53"/>
      <c r="AJ70" s="53"/>
      <c r="AK70" s="55"/>
    </row>
    <row r="71" spans="1:37" s="18" customFormat="1" ht="25.15" customHeight="1" x14ac:dyDescent="0.25">
      <c r="A71" s="17"/>
      <c r="B71" s="7"/>
      <c r="C71" s="7"/>
      <c r="D71" s="7"/>
      <c r="E71" s="3"/>
      <c r="F71" s="5"/>
      <c r="G71" s="5"/>
      <c r="H71" s="5"/>
      <c r="I71" s="25"/>
      <c r="J71" s="5"/>
      <c r="K71" s="5"/>
      <c r="L71" s="5"/>
      <c r="M71" s="5"/>
      <c r="N71" s="5"/>
      <c r="O71" s="25"/>
      <c r="P71" s="5"/>
      <c r="Q71" s="5"/>
      <c r="R71" s="5"/>
      <c r="S71" s="5"/>
      <c r="T71" s="5"/>
      <c r="U71" s="45"/>
      <c r="V71" s="45"/>
      <c r="X71" s="32"/>
      <c r="Y71" s="32"/>
      <c r="Z71" s="32"/>
      <c r="AA71" s="32"/>
      <c r="AB71" s="32"/>
      <c r="AC71" s="32"/>
      <c r="AE71" s="53"/>
      <c r="AF71" s="53"/>
      <c r="AG71" s="54"/>
      <c r="AH71"/>
      <c r="AI71" s="53"/>
      <c r="AJ71" s="53"/>
      <c r="AK71" s="55"/>
    </row>
    <row r="72" spans="1:37" s="18" customFormat="1" ht="25.15" customHeight="1" x14ac:dyDescent="0.25">
      <c r="A72" s="17"/>
      <c r="B72" s="7"/>
      <c r="C72" s="7"/>
      <c r="D72" s="7"/>
      <c r="E72" s="3"/>
      <c r="F72" s="5"/>
      <c r="G72" s="5"/>
      <c r="H72" s="5"/>
      <c r="I72" s="25"/>
      <c r="J72" s="5"/>
      <c r="K72" s="5"/>
      <c r="L72" s="5"/>
      <c r="M72" s="5"/>
      <c r="N72" s="5"/>
      <c r="O72" s="25"/>
      <c r="P72" s="5"/>
      <c r="Q72" s="5"/>
      <c r="R72" s="5"/>
      <c r="S72" s="5"/>
      <c r="T72" s="5"/>
      <c r="U72" s="45"/>
      <c r="V72" s="45"/>
      <c r="X72" s="32"/>
      <c r="Y72" s="32"/>
      <c r="Z72" s="32"/>
      <c r="AA72" s="32"/>
      <c r="AB72" s="32"/>
      <c r="AC72" s="32"/>
      <c r="AE72" s="53"/>
      <c r="AF72" s="53"/>
      <c r="AG72" s="54"/>
      <c r="AH72"/>
      <c r="AI72" s="53"/>
      <c r="AJ72" s="53"/>
      <c r="AK72" s="55"/>
    </row>
    <row r="73" spans="1:37" s="18" customFormat="1" ht="25.15" customHeight="1" x14ac:dyDescent="0.25">
      <c r="A73" s="17"/>
      <c r="B73" s="7"/>
      <c r="C73" s="7"/>
      <c r="D73" s="7"/>
      <c r="E73" s="3"/>
      <c r="F73" s="5"/>
      <c r="G73" s="5"/>
      <c r="H73" s="5"/>
      <c r="I73" s="25"/>
      <c r="J73" s="5"/>
      <c r="K73" s="5"/>
      <c r="L73" s="5"/>
      <c r="M73" s="5"/>
      <c r="N73" s="5"/>
      <c r="O73" s="25"/>
      <c r="P73" s="5"/>
      <c r="Q73" s="5"/>
      <c r="R73" s="5"/>
      <c r="S73" s="5"/>
      <c r="T73" s="5"/>
      <c r="U73" s="45"/>
      <c r="V73" s="45"/>
      <c r="X73" s="32"/>
      <c r="Y73" s="32"/>
      <c r="Z73" s="32"/>
      <c r="AA73" s="32"/>
      <c r="AB73" s="32"/>
      <c r="AC73" s="32"/>
      <c r="AE73" s="53"/>
      <c r="AF73" s="53"/>
      <c r="AG73" s="54"/>
      <c r="AH73"/>
      <c r="AI73" s="53"/>
      <c r="AJ73" s="53"/>
      <c r="AK73" s="55"/>
    </row>
    <row r="74" spans="1:37" ht="30" x14ac:dyDescent="0.25">
      <c r="H74" s="5"/>
    </row>
  </sheetData>
  <phoneticPr fontId="8" type="noConversion"/>
  <conditionalFormatting sqref="E2:T43">
    <cfRule type="cellIs" dxfId="26" priority="1" operator="lessThan">
      <formula>6</formula>
    </cfRule>
  </conditionalFormatting>
  <conditionalFormatting sqref="P1:T1 E44:G73 I44:T73 H44:H74">
    <cfRule type="cellIs" dxfId="25" priority="19" operator="lessThan">
      <formula>6</formula>
    </cfRule>
  </conditionalFormatting>
  <conditionalFormatting sqref="U1 U38:U73">
    <cfRule type="cellIs" dxfId="24" priority="18" operator="greaterThan">
      <formula>19</formula>
    </cfRule>
  </conditionalFormatting>
  <conditionalFormatting sqref="V1:V32 U2:U32 U33:V34 V38:V73">
    <cfRule type="cellIs" dxfId="23" priority="17" operator="greaterThan">
      <formula>5</formula>
    </cfRule>
  </conditionalFormatting>
  <conditionalFormatting sqref="AE1">
    <cfRule type="cellIs" dxfId="22" priority="16" operator="lessThan">
      <formula>6</formula>
    </cfRule>
  </conditionalFormatting>
  <conditionalFormatting sqref="AG1:AG32 AG35:AG73">
    <cfRule type="cellIs" dxfId="21" priority="14" operator="greaterThan">
      <formula>14</formula>
    </cfRule>
  </conditionalFormatting>
  <conditionalFormatting sqref="AK1:AK32 AK35:AK73">
    <cfRule type="cellIs" dxfId="20" priority="15" operator="greaterThan">
      <formula>4</formula>
    </cfRule>
  </conditionalFormatting>
  <dataValidations count="12">
    <dataValidation allowBlank="1" showInputMessage="1" showErrorMessage="1" promptTitle="Petunjuk Pengisian" prompt="Jumlah Nilai pelajaran siswi" sqref="X35:Y73 X1:Y32" xr:uid="{00000000-0002-0000-0A00-000000000000}"/>
    <dataValidation allowBlank="1" showInputMessage="1" showErrorMessage="1" promptTitle="Petunjuk pengisian" prompt="Jumlah Nilai Pelajaran siswi semester I &amp; II" sqref="Z35:Z73 Z1:Z32" xr:uid="{00000000-0002-0000-0A00-000001000000}"/>
    <dataValidation allowBlank="1" showInputMessage="1" showErrorMessage="1" promptTitle="Petunjuk Pengisian" prompt="Jumlah Mata pelajran semester I &amp; II" sqref="AA35:AA73 AA1:AA32" xr:uid="{00000000-0002-0000-0A00-000002000000}"/>
    <dataValidation allowBlank="1" showInputMessage="1" showErrorMessage="1" promptTitle="petunjuk pengisian" prompt="Jumlah Nilai siswi Semester I &amp; II dibagi Jumlah Pelajaran semster I &amp; II" sqref="AB35:AB73 AB1:AB32" xr:uid="{00000000-0002-0000-0A00-000003000000}"/>
    <dataValidation allowBlank="1" showInputMessage="1" showErrorMessage="1" promptTitle="PETUNJUK PENGISIAN" prompt="TIDAK IZIN 5 HARI DALAM 1 TAHUN (SEMESTER I &amp; II )MENURUNKAN SATU NILAI PRESTASI" sqref="AK35:AK73 AK1:AK32" xr:uid="{00000000-0002-0000-0A00-000004000000}"/>
    <dataValidation allowBlank="1" showInputMessage="1" showErrorMessage="1" promptTitle="PETUNJUIK PENGISIAN" prompt="IZIN 15 HARI DALAM 1 TAHUN (SEMESTER I &amp; II )MENURUNKAN SATU NILAI PRESTASI" sqref="AG35:AG73 AG1:AG32" xr:uid="{00000000-0002-0000-0A00-000005000000}"/>
    <dataValidation allowBlank="1" showInputMessage="1" showErrorMessage="1" promptTitle="petunjuk Pengisian " prompt="Izin 20 Hari dalam 1 Semester dapat menurunkan satu nilai akhlaq" sqref="U38:U73 U1" xr:uid="{00000000-0002-0000-0A00-000006000000}"/>
    <dataValidation allowBlank="1" showInputMessage="1" showErrorMessage="1" promptTitle="Petunjuk Pengisian" prompt="Tidak Izin 6 Hari dalam 1 Semester dapat menurunkan satu nilai akhlaq" sqref="V38:V73 U2:U34 V1:V34" xr:uid="{00000000-0002-0000-0A00-000007000000}"/>
    <dataValidation allowBlank="1" showInputMessage="1" showErrorMessage="1" promptTitle="Petunjuk pengisian" prompt="Izin 20 Hari dalam 1 Semester dapat menurunkan satu nilai akhlaq" sqref="AE1" xr:uid="{00000000-0002-0000-0A00-000008000000}"/>
    <dataValidation allowBlank="1" showInputMessage="1" showErrorMessage="1" promptTitle="Petunjuk Pengisian" prompt="jumlah nilai pelajaran seluruh siswi dibagi Jumlah siswi _x000a_- tanpa mengikutkan yang boyong _x000a_- cuty tetap diikutkan_x000a_- siswi yang her/ tanpa keterangan dikira kirakan 4 nilainya" sqref="H37 H52" xr:uid="{00000000-0002-0000-0A00-000009000000}"/>
    <dataValidation allowBlank="1" showInputMessage="1" showErrorMessage="1" promptTitle="Petunjuk Pengisian" prompt="jumlah nilai pelajaran seluruh siswi dibagi Jumlah siswi _x000a_- tanpa mengikutkan yang boyong/ cuty_x000a_- siswi yang her/ tanpa keterangan dikira kirakan 4 nilainya" sqref="H38:H51" xr:uid="{00000000-0002-0000-0A00-00000B000000}"/>
    <dataValidation allowBlank="1" showInputMessage="1" showErrorMessage="1" promptTitle="Petunjuk Pengisian" prompt="Jika Nilai Rata-ratanya mencapai_x000a_9 : الجيد الأول_x000a_8 : الجيد الثاني_x000a_7 : المتوسط الأول_x000a_6 : المتوسط الثاني_x000a_5 : الرديء/ المثبت" sqref="AC1:AC73" xr:uid="{00000000-0002-0000-0A00-00000A000000}"/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K61"/>
  <sheetViews>
    <sheetView zoomScale="80" zoomScaleNormal="80" workbookViewId="0">
      <selection activeCell="I20" sqref="I20"/>
    </sheetView>
  </sheetViews>
  <sheetFormatPr defaultRowHeight="15" x14ac:dyDescent="0.25"/>
  <cols>
    <col min="2" max="2" width="45.5703125" customWidth="1"/>
    <col min="4" max="4" width="13.28515625" customWidth="1"/>
    <col min="5" max="5" width="15.42578125" customWidth="1"/>
    <col min="6" max="6" width="12" customWidth="1"/>
    <col min="7" max="7" width="14.28515625" customWidth="1"/>
    <col min="8" max="8" width="18.42578125" customWidth="1"/>
    <col min="24" max="24" width="14.140625" customWidth="1"/>
    <col min="29" max="29" width="27.42578125" customWidth="1"/>
    <col min="31" max="32" width="8.7109375" customWidth="1"/>
    <col min="33" max="33" width="18.28515625" customWidth="1"/>
  </cols>
  <sheetData>
    <row r="1" spans="1:37" s="20" customFormat="1" ht="25.15" customHeight="1" thickBot="1" x14ac:dyDescent="0.3">
      <c r="A1" s="34" t="s">
        <v>1</v>
      </c>
      <c r="B1" s="11" t="s">
        <v>0</v>
      </c>
      <c r="C1" s="11" t="s">
        <v>2</v>
      </c>
      <c r="D1" s="11" t="s">
        <v>13</v>
      </c>
      <c r="E1" s="39" t="s">
        <v>3</v>
      </c>
      <c r="F1" s="36"/>
      <c r="G1" s="21" t="s">
        <v>51</v>
      </c>
      <c r="H1" s="21" t="s">
        <v>4</v>
      </c>
      <c r="I1" s="22" t="s">
        <v>52</v>
      </c>
      <c r="J1" s="21" t="s">
        <v>5</v>
      </c>
      <c r="K1" s="21" t="s">
        <v>53</v>
      </c>
      <c r="L1" s="21" t="s">
        <v>73</v>
      </c>
      <c r="M1" s="21" t="s">
        <v>54</v>
      </c>
      <c r="N1" s="21" t="s">
        <v>55</v>
      </c>
      <c r="O1" s="22" t="s">
        <v>57</v>
      </c>
      <c r="P1" s="12" t="s">
        <v>6</v>
      </c>
      <c r="Q1" s="12" t="s">
        <v>7</v>
      </c>
      <c r="R1" s="12" t="s">
        <v>8</v>
      </c>
      <c r="S1" s="12" t="s">
        <v>9</v>
      </c>
      <c r="T1" s="13" t="s">
        <v>10</v>
      </c>
      <c r="U1" s="43" t="s">
        <v>11</v>
      </c>
      <c r="V1" s="43" t="s">
        <v>12</v>
      </c>
      <c r="X1" s="26" t="s">
        <v>58</v>
      </c>
      <c r="Y1" s="26" t="s">
        <v>59</v>
      </c>
      <c r="Z1" s="26" t="s">
        <v>60</v>
      </c>
      <c r="AA1" s="26" t="s">
        <v>61</v>
      </c>
      <c r="AB1" s="26" t="s">
        <v>62</v>
      </c>
      <c r="AC1" s="26" t="s">
        <v>63</v>
      </c>
      <c r="AE1" s="47" t="s">
        <v>67</v>
      </c>
      <c r="AF1" s="48" t="s">
        <v>68</v>
      </c>
      <c r="AG1" s="49" t="s">
        <v>69</v>
      </c>
      <c r="AH1" s="42"/>
      <c r="AI1" s="50" t="s">
        <v>70</v>
      </c>
      <c r="AJ1" s="50" t="s">
        <v>71</v>
      </c>
      <c r="AK1" s="49" t="s">
        <v>72</v>
      </c>
    </row>
    <row r="2" spans="1:37" s="1" customFormat="1" ht="25.15" customHeight="1" thickBot="1" x14ac:dyDescent="0.3">
      <c r="A2" s="71" t="str">
        <f>'2 ALIYAH F'!A2</f>
        <v>01</v>
      </c>
      <c r="B2" s="40" t="str">
        <f>'2 ALIYAH F'!B2</f>
        <v>ALIYAH MIFTAHUL ULUM</v>
      </c>
      <c r="C2" s="68">
        <f>'2 ALIYAH F'!C2</f>
        <v>2723</v>
      </c>
      <c r="D2" s="19" t="s">
        <v>14</v>
      </c>
      <c r="E2" s="3" t="str">
        <f>TEXT(F2,"[$-2000000]0")</f>
        <v>٩</v>
      </c>
      <c r="F2" s="37">
        <v>9</v>
      </c>
      <c r="G2" s="37" t="s">
        <v>56</v>
      </c>
      <c r="H2" s="37">
        <v>6</v>
      </c>
      <c r="I2" s="37">
        <v>8</v>
      </c>
      <c r="J2" s="37">
        <v>7</v>
      </c>
      <c r="K2" s="37">
        <v>8</v>
      </c>
      <c r="L2" s="37">
        <v>9</v>
      </c>
      <c r="M2" s="37">
        <v>6</v>
      </c>
      <c r="N2" s="37">
        <v>5</v>
      </c>
      <c r="O2" s="37">
        <v>4</v>
      </c>
      <c r="P2" s="37">
        <v>7</v>
      </c>
      <c r="Q2" s="37">
        <v>7</v>
      </c>
      <c r="R2" s="37">
        <v>8</v>
      </c>
      <c r="S2" s="37">
        <v>8</v>
      </c>
      <c r="T2" s="4">
        <f t="shared" ref="T2:T32" si="0">SUM(E2:S2)</f>
        <v>92</v>
      </c>
      <c r="U2" s="44" t="s">
        <v>56</v>
      </c>
      <c r="V2" s="44" t="s">
        <v>56</v>
      </c>
      <c r="X2" s="27">
        <f>'2 ALIYAH F'!T2</f>
        <v>103</v>
      </c>
      <c r="Y2" s="27">
        <f t="shared" ref="Y2:Y32" si="1">T2</f>
        <v>92</v>
      </c>
      <c r="Z2" s="28">
        <f t="shared" ref="Z2:Z32" si="2">X2+Y2</f>
        <v>195</v>
      </c>
      <c r="AA2" s="27">
        <v>26</v>
      </c>
      <c r="AB2" s="28">
        <f t="shared" ref="AB2:AB32" si="3">Z2/AA2</f>
        <v>8</v>
      </c>
      <c r="AC2" s="29" t="str">
        <f t="shared" ref="AC2:AC32" si="4">IF(AB2&gt;=8.5,"الجيد الأول",IF(AB2&gt;=7.5,"الجيد الثاني",IF(AB2&gt;=6.5,"المتوسط الأول",IF(AB2&gt;=5.5,"المتوسط الثاني",IF(AB2&gt;=4.5,"الرديء",)))))</f>
        <v>الجيد الثاني</v>
      </c>
      <c r="AE2" s="51">
        <f>'2 ALIYAH F'!U2</f>
        <v>1</v>
      </c>
      <c r="AF2" s="51" t="str">
        <f>U2:U32</f>
        <v>-</v>
      </c>
      <c r="AG2" s="52">
        <f>SUM(AE2:AF2)</f>
        <v>1</v>
      </c>
      <c r="AI2" s="51" t="str">
        <f>'2 ALIYAH F'!V2</f>
        <v>-</v>
      </c>
      <c r="AJ2" s="51" t="str">
        <f>V2:V24</f>
        <v>-</v>
      </c>
      <c r="AK2" s="52">
        <f>SUM(AI2:AJ2)</f>
        <v>0</v>
      </c>
    </row>
    <row r="3" spans="1:37" s="1" customFormat="1" ht="25.15" customHeight="1" thickBot="1" x14ac:dyDescent="0.3">
      <c r="A3" s="71" t="str">
        <f>'2 ALIYAH F'!A3</f>
        <v>02</v>
      </c>
      <c r="B3" s="40" t="str">
        <f>'2 ALIYAH F'!B3</f>
        <v>AMNA VADILLA</v>
      </c>
      <c r="C3" s="68">
        <f>'2 ALIYAH F'!C3</f>
        <v>2819</v>
      </c>
      <c r="D3" s="19" t="s">
        <v>15</v>
      </c>
      <c r="E3" s="3" t="str">
        <f t="shared" ref="E3:E32" si="5">TEXT(F3,"[$-2000000]0")</f>
        <v>٩</v>
      </c>
      <c r="F3" s="37">
        <v>9</v>
      </c>
      <c r="G3" s="37" t="s">
        <v>56</v>
      </c>
      <c r="H3" s="37">
        <v>8</v>
      </c>
      <c r="I3" s="37">
        <v>9</v>
      </c>
      <c r="J3" s="37">
        <v>8</v>
      </c>
      <c r="K3" s="37">
        <v>8</v>
      </c>
      <c r="L3" s="37">
        <v>9</v>
      </c>
      <c r="M3" s="37">
        <v>9</v>
      </c>
      <c r="N3" s="37">
        <v>5</v>
      </c>
      <c r="O3" s="37">
        <v>7</v>
      </c>
      <c r="P3" s="37">
        <v>8</v>
      </c>
      <c r="Q3" s="37">
        <v>7</v>
      </c>
      <c r="R3" s="37">
        <v>8</v>
      </c>
      <c r="S3" s="37">
        <v>8</v>
      </c>
      <c r="T3" s="4">
        <f t="shared" si="0"/>
        <v>103</v>
      </c>
      <c r="U3" s="44" t="s">
        <v>56</v>
      </c>
      <c r="V3" s="44" t="s">
        <v>56</v>
      </c>
      <c r="X3" s="27">
        <f>'2 ALIYAH F'!T3</f>
        <v>103</v>
      </c>
      <c r="Y3" s="27">
        <f t="shared" si="1"/>
        <v>103</v>
      </c>
      <c r="Z3" s="28">
        <f t="shared" si="2"/>
        <v>206</v>
      </c>
      <c r="AA3" s="27">
        <v>26</v>
      </c>
      <c r="AB3" s="28">
        <f t="shared" si="3"/>
        <v>8</v>
      </c>
      <c r="AC3" s="29" t="str">
        <f t="shared" si="4"/>
        <v>الجيد الثاني</v>
      </c>
      <c r="AE3" s="51" t="str">
        <f>'2 ALIYAH F'!U3</f>
        <v>-</v>
      </c>
      <c r="AF3" s="51" t="str">
        <f>U3:U32</f>
        <v>-</v>
      </c>
      <c r="AG3" s="52">
        <f t="shared" ref="AG3:AG32" si="6">SUM(AE3:AF3)</f>
        <v>0</v>
      </c>
      <c r="AI3" s="51" t="str">
        <f>'2 ALIYAH F'!V3</f>
        <v>-</v>
      </c>
      <c r="AJ3" s="51" t="str">
        <f t="shared" ref="AJ3:AJ11" si="7">V3:V24</f>
        <v>-</v>
      </c>
      <c r="AK3" s="52">
        <f t="shared" ref="AK3:AK32" si="8">SUM(AI3:AJ3)</f>
        <v>0</v>
      </c>
    </row>
    <row r="4" spans="1:37" s="1" customFormat="1" ht="25.15" customHeight="1" thickBot="1" x14ac:dyDescent="0.3">
      <c r="A4" s="71" t="str">
        <f>'2 ALIYAH F'!A4</f>
        <v>03</v>
      </c>
      <c r="B4" s="40" t="str">
        <f>'2 ALIYAH F'!B4</f>
        <v>AULA ZIANA ABIDAH</v>
      </c>
      <c r="C4" s="68">
        <f>'2 ALIYAH F'!C4</f>
        <v>2887</v>
      </c>
      <c r="D4" s="19" t="s">
        <v>16</v>
      </c>
      <c r="E4" s="3" t="str">
        <f t="shared" si="5"/>
        <v>٩</v>
      </c>
      <c r="F4" s="37">
        <v>9</v>
      </c>
      <c r="G4" s="37" t="s">
        <v>56</v>
      </c>
      <c r="H4" s="37">
        <v>9</v>
      </c>
      <c r="I4" s="37">
        <v>9</v>
      </c>
      <c r="J4" s="37">
        <v>7</v>
      </c>
      <c r="K4" s="37">
        <v>9</v>
      </c>
      <c r="L4" s="37">
        <v>9</v>
      </c>
      <c r="M4" s="37">
        <v>9</v>
      </c>
      <c r="N4" s="37">
        <v>9</v>
      </c>
      <c r="O4" s="37">
        <v>9</v>
      </c>
      <c r="P4" s="37">
        <v>8</v>
      </c>
      <c r="Q4" s="37">
        <v>8</v>
      </c>
      <c r="R4" s="37">
        <v>8</v>
      </c>
      <c r="S4" s="37">
        <v>8</v>
      </c>
      <c r="T4" s="4">
        <f t="shared" si="0"/>
        <v>111</v>
      </c>
      <c r="U4" s="44">
        <v>1</v>
      </c>
      <c r="V4" s="44">
        <v>1</v>
      </c>
      <c r="X4" s="27">
        <f>'2 ALIYAH F'!T4</f>
        <v>112</v>
      </c>
      <c r="Y4" s="27">
        <f t="shared" si="1"/>
        <v>111</v>
      </c>
      <c r="Z4" s="28">
        <f t="shared" si="2"/>
        <v>223</v>
      </c>
      <c r="AA4" s="27">
        <v>26</v>
      </c>
      <c r="AB4" s="28">
        <f t="shared" si="3"/>
        <v>9</v>
      </c>
      <c r="AC4" s="29" t="str">
        <f t="shared" si="4"/>
        <v>الجيد الأول</v>
      </c>
      <c r="AE4" s="51">
        <f>'2 ALIYAH F'!U4</f>
        <v>2</v>
      </c>
      <c r="AF4" s="51">
        <f>U4:U32</f>
        <v>1</v>
      </c>
      <c r="AG4" s="52">
        <f t="shared" si="6"/>
        <v>3</v>
      </c>
      <c r="AI4" s="51" t="str">
        <f>'2 ALIYAH F'!V4</f>
        <v>-</v>
      </c>
      <c r="AJ4" s="51">
        <f t="shared" si="7"/>
        <v>1</v>
      </c>
      <c r="AK4" s="52">
        <f t="shared" si="8"/>
        <v>1</v>
      </c>
    </row>
    <row r="5" spans="1:37" s="1" customFormat="1" ht="25.15" customHeight="1" thickBot="1" x14ac:dyDescent="0.3">
      <c r="A5" s="71" t="str">
        <f>'2 ALIYAH F'!A5</f>
        <v>04</v>
      </c>
      <c r="B5" s="40" t="str">
        <f>'2 ALIYAH F'!B5</f>
        <v>AZIZAH ISTIKHOMAH</v>
      </c>
      <c r="C5" s="68">
        <f>'2 ALIYAH F'!C5</f>
        <v>2795</v>
      </c>
      <c r="D5" s="19" t="s">
        <v>17</v>
      </c>
      <c r="E5" s="3" t="str">
        <f t="shared" si="5"/>
        <v>٨</v>
      </c>
      <c r="F5" s="37">
        <v>8</v>
      </c>
      <c r="G5" s="37" t="s">
        <v>56</v>
      </c>
      <c r="H5" s="37">
        <v>7</v>
      </c>
      <c r="I5" s="37">
        <v>8</v>
      </c>
      <c r="J5" s="37">
        <v>6</v>
      </c>
      <c r="K5" s="37">
        <v>6</v>
      </c>
      <c r="L5" s="37">
        <v>8</v>
      </c>
      <c r="M5" s="37">
        <v>8</v>
      </c>
      <c r="N5" s="37">
        <v>4</v>
      </c>
      <c r="O5" s="37">
        <v>7</v>
      </c>
      <c r="P5" s="37">
        <v>7</v>
      </c>
      <c r="Q5" s="37">
        <v>7</v>
      </c>
      <c r="R5" s="37">
        <v>8</v>
      </c>
      <c r="S5" s="37">
        <v>8</v>
      </c>
      <c r="T5" s="4">
        <f t="shared" si="0"/>
        <v>92</v>
      </c>
      <c r="U5" s="44" t="s">
        <v>56</v>
      </c>
      <c r="V5" s="44" t="s">
        <v>56</v>
      </c>
      <c r="X5" s="27">
        <f>'2 ALIYAH F'!T5</f>
        <v>88</v>
      </c>
      <c r="Y5" s="27">
        <f t="shared" si="1"/>
        <v>92</v>
      </c>
      <c r="Z5" s="28">
        <f t="shared" si="2"/>
        <v>180</v>
      </c>
      <c r="AA5" s="27">
        <v>26</v>
      </c>
      <c r="AB5" s="28">
        <f t="shared" si="3"/>
        <v>7</v>
      </c>
      <c r="AC5" s="29" t="str">
        <f t="shared" si="4"/>
        <v>المتوسط الأول</v>
      </c>
      <c r="AE5" s="51" t="str">
        <f>'2 ALIYAH F'!U5</f>
        <v>-</v>
      </c>
      <c r="AF5" s="51" t="str">
        <f>U5:U32</f>
        <v>-</v>
      </c>
      <c r="AG5" s="52">
        <f t="shared" si="6"/>
        <v>0</v>
      </c>
      <c r="AI5" s="51">
        <f>'2 ALIYAH F'!V5</f>
        <v>1</v>
      </c>
      <c r="AJ5" s="51" t="str">
        <f t="shared" si="7"/>
        <v>-</v>
      </c>
      <c r="AK5" s="52">
        <f t="shared" si="8"/>
        <v>1</v>
      </c>
    </row>
    <row r="6" spans="1:37" s="1" customFormat="1" ht="25.15" customHeight="1" thickBot="1" x14ac:dyDescent="0.3">
      <c r="A6" s="71" t="str">
        <f>'2 ALIYAH F'!A6</f>
        <v>05</v>
      </c>
      <c r="B6" s="40" t="str">
        <f>'2 ALIYAH F'!B6</f>
        <v>AZKA AZKIA</v>
      </c>
      <c r="C6" s="68">
        <f>'2 ALIYAH F'!C6</f>
        <v>2853</v>
      </c>
      <c r="D6" s="19" t="s">
        <v>18</v>
      </c>
      <c r="E6" s="3" t="str">
        <f t="shared" si="5"/>
        <v>٩</v>
      </c>
      <c r="F6" s="37">
        <v>9</v>
      </c>
      <c r="G6" s="37" t="s">
        <v>56</v>
      </c>
      <c r="H6" s="37">
        <v>9</v>
      </c>
      <c r="I6" s="37">
        <v>9</v>
      </c>
      <c r="J6" s="37">
        <v>9</v>
      </c>
      <c r="K6" s="37">
        <v>9</v>
      </c>
      <c r="L6" s="37">
        <v>9</v>
      </c>
      <c r="M6" s="37">
        <v>9</v>
      </c>
      <c r="N6" s="37">
        <v>9</v>
      </c>
      <c r="O6" s="37">
        <v>9</v>
      </c>
      <c r="P6" s="37">
        <v>8</v>
      </c>
      <c r="Q6" s="37">
        <v>8</v>
      </c>
      <c r="R6" s="37">
        <v>8</v>
      </c>
      <c r="S6" s="37">
        <v>8</v>
      </c>
      <c r="T6" s="4">
        <f t="shared" si="0"/>
        <v>113</v>
      </c>
      <c r="U6" s="44">
        <v>1</v>
      </c>
      <c r="V6" s="44" t="s">
        <v>56</v>
      </c>
      <c r="X6" s="27">
        <f>'2 ALIYAH F'!T6</f>
        <v>112</v>
      </c>
      <c r="Y6" s="27">
        <f t="shared" si="1"/>
        <v>113</v>
      </c>
      <c r="Z6" s="28">
        <f t="shared" si="2"/>
        <v>225</v>
      </c>
      <c r="AA6" s="27">
        <v>26</v>
      </c>
      <c r="AB6" s="28">
        <f t="shared" si="3"/>
        <v>9</v>
      </c>
      <c r="AC6" s="29" t="str">
        <f t="shared" si="4"/>
        <v>الجيد الأول</v>
      </c>
      <c r="AE6" s="51" t="str">
        <f>'2 ALIYAH F'!U6</f>
        <v>-</v>
      </c>
      <c r="AF6" s="51">
        <f>U6:U32</f>
        <v>1</v>
      </c>
      <c r="AG6" s="52">
        <f t="shared" si="6"/>
        <v>1</v>
      </c>
      <c r="AI6" s="51" t="str">
        <f>'2 ALIYAH F'!V6</f>
        <v>-</v>
      </c>
      <c r="AJ6" s="51" t="str">
        <f t="shared" si="7"/>
        <v>-</v>
      </c>
      <c r="AK6" s="52">
        <f t="shared" si="8"/>
        <v>0</v>
      </c>
    </row>
    <row r="7" spans="1:37" s="1" customFormat="1" ht="25.15" customHeight="1" thickBot="1" x14ac:dyDescent="0.3">
      <c r="A7" s="71" t="str">
        <f>'2 ALIYAH F'!A7</f>
        <v>06</v>
      </c>
      <c r="B7" s="40" t="str">
        <f>'2 ALIYAH F'!B7</f>
        <v>BIKI ETHMANNA QOLBY</v>
      </c>
      <c r="C7" s="68">
        <f>'2 ALIYAH F'!C7</f>
        <v>2820</v>
      </c>
      <c r="D7" s="19" t="s">
        <v>19</v>
      </c>
      <c r="E7" s="3" t="str">
        <f t="shared" si="5"/>
        <v>٩</v>
      </c>
      <c r="F7" s="37">
        <v>9</v>
      </c>
      <c r="G7" s="37" t="s">
        <v>56</v>
      </c>
      <c r="H7" s="37">
        <v>9</v>
      </c>
      <c r="I7" s="37">
        <v>9</v>
      </c>
      <c r="J7" s="37">
        <v>9</v>
      </c>
      <c r="K7" s="37">
        <v>9</v>
      </c>
      <c r="L7" s="37">
        <v>9</v>
      </c>
      <c r="M7" s="37">
        <v>9</v>
      </c>
      <c r="N7" s="37">
        <v>9</v>
      </c>
      <c r="O7" s="37">
        <v>9</v>
      </c>
      <c r="P7" s="37">
        <v>8</v>
      </c>
      <c r="Q7" s="37">
        <v>8</v>
      </c>
      <c r="R7" s="37">
        <v>8</v>
      </c>
      <c r="S7" s="37">
        <v>8</v>
      </c>
      <c r="T7" s="4">
        <f t="shared" si="0"/>
        <v>113</v>
      </c>
      <c r="U7" s="44">
        <v>3</v>
      </c>
      <c r="V7" s="44" t="s">
        <v>56</v>
      </c>
      <c r="X7" s="27">
        <f>'2 ALIYAH F'!T7</f>
        <v>112</v>
      </c>
      <c r="Y7" s="27">
        <f t="shared" si="1"/>
        <v>113</v>
      </c>
      <c r="Z7" s="28">
        <f t="shared" si="2"/>
        <v>225</v>
      </c>
      <c r="AA7" s="27">
        <v>26</v>
      </c>
      <c r="AB7" s="28">
        <f t="shared" si="3"/>
        <v>9</v>
      </c>
      <c r="AC7" s="29" t="str">
        <f t="shared" si="4"/>
        <v>الجيد الأول</v>
      </c>
      <c r="AE7" s="51">
        <f>'2 ALIYAH F'!U7</f>
        <v>7</v>
      </c>
      <c r="AF7" s="51">
        <f>U7:U32</f>
        <v>3</v>
      </c>
      <c r="AG7" s="52">
        <f t="shared" si="6"/>
        <v>10</v>
      </c>
      <c r="AI7" s="51" t="str">
        <f>'2 ALIYAH F'!V7</f>
        <v>-</v>
      </c>
      <c r="AJ7" s="51" t="str">
        <f t="shared" si="7"/>
        <v>-</v>
      </c>
      <c r="AK7" s="52">
        <f t="shared" si="8"/>
        <v>0</v>
      </c>
    </row>
    <row r="8" spans="1:37" s="1" customFormat="1" ht="25.15" customHeight="1" thickBot="1" x14ac:dyDescent="0.3">
      <c r="A8" s="71" t="str">
        <f>'2 ALIYAH F'!A8</f>
        <v>07</v>
      </c>
      <c r="B8" s="40" t="str">
        <f>'2 ALIYAH F'!B8</f>
        <v>CHASYIFA ANNUKHBA</v>
      </c>
      <c r="C8" s="68">
        <f>'2 ALIYAH F'!C8</f>
        <v>2797</v>
      </c>
      <c r="D8" s="19" t="s">
        <v>20</v>
      </c>
      <c r="E8" s="3" t="str">
        <f t="shared" si="5"/>
        <v>٦</v>
      </c>
      <c r="F8" s="37">
        <v>6</v>
      </c>
      <c r="G8" s="37" t="s">
        <v>56</v>
      </c>
      <c r="H8" s="37">
        <v>8</v>
      </c>
      <c r="I8" s="37">
        <v>8</v>
      </c>
      <c r="J8" s="37">
        <v>9</v>
      </c>
      <c r="K8" s="37">
        <v>7</v>
      </c>
      <c r="L8" s="37">
        <v>9</v>
      </c>
      <c r="M8" s="37">
        <v>8</v>
      </c>
      <c r="N8" s="37">
        <v>7</v>
      </c>
      <c r="O8" s="37">
        <v>6</v>
      </c>
      <c r="P8" s="37">
        <v>8</v>
      </c>
      <c r="Q8" s="37">
        <v>8</v>
      </c>
      <c r="R8" s="37">
        <v>8</v>
      </c>
      <c r="S8" s="37">
        <v>8</v>
      </c>
      <c r="T8" s="4">
        <f>SUM(E8:S8)</f>
        <v>100</v>
      </c>
      <c r="U8" s="44" t="s">
        <v>56</v>
      </c>
      <c r="V8" s="44" t="s">
        <v>56</v>
      </c>
      <c r="X8" s="27">
        <f>'2 ALIYAH F'!T8</f>
        <v>98</v>
      </c>
      <c r="Y8" s="27">
        <f t="shared" si="1"/>
        <v>100</v>
      </c>
      <c r="Z8" s="28">
        <f t="shared" si="2"/>
        <v>198</v>
      </c>
      <c r="AA8" s="27">
        <v>26</v>
      </c>
      <c r="AB8" s="28">
        <f t="shared" si="3"/>
        <v>8</v>
      </c>
      <c r="AC8" s="29" t="str">
        <f t="shared" si="4"/>
        <v>الجيد الثاني</v>
      </c>
      <c r="AE8" s="51">
        <f>'2 ALIYAH F'!U8</f>
        <v>1</v>
      </c>
      <c r="AF8" s="51" t="str">
        <f>U8:U32</f>
        <v>-</v>
      </c>
      <c r="AG8" s="52">
        <f t="shared" si="6"/>
        <v>1</v>
      </c>
      <c r="AI8" s="51" t="str">
        <f>'2 ALIYAH F'!V8</f>
        <v>-</v>
      </c>
      <c r="AJ8" s="51" t="str">
        <f t="shared" si="7"/>
        <v>-</v>
      </c>
      <c r="AK8" s="52">
        <f t="shared" si="8"/>
        <v>0</v>
      </c>
    </row>
    <row r="9" spans="1:37" s="1" customFormat="1" ht="25.15" customHeight="1" thickBot="1" x14ac:dyDescent="0.3">
      <c r="A9" s="71" t="str">
        <f>'2 ALIYAH F'!A9</f>
        <v>08</v>
      </c>
      <c r="B9" s="40" t="str">
        <f>'2 ALIYAH F'!B9</f>
        <v>DINDA ANISATUL MUBAYYINAH</v>
      </c>
      <c r="C9" s="68">
        <f>'2 ALIYAH F'!C9</f>
        <v>2756</v>
      </c>
      <c r="D9" s="19" t="s">
        <v>21</v>
      </c>
      <c r="E9" s="3" t="str">
        <f t="shared" si="5"/>
        <v>٦</v>
      </c>
      <c r="F9" s="37">
        <v>6</v>
      </c>
      <c r="G9" s="37" t="s">
        <v>56</v>
      </c>
      <c r="H9" s="37">
        <v>7</v>
      </c>
      <c r="I9" s="37">
        <v>8</v>
      </c>
      <c r="J9" s="37">
        <v>5</v>
      </c>
      <c r="K9" s="37">
        <v>7</v>
      </c>
      <c r="L9" s="37">
        <v>9</v>
      </c>
      <c r="M9" s="37">
        <v>5</v>
      </c>
      <c r="N9" s="37">
        <v>6</v>
      </c>
      <c r="O9" s="37">
        <v>7</v>
      </c>
      <c r="P9" s="37">
        <v>7</v>
      </c>
      <c r="Q9" s="37">
        <v>7</v>
      </c>
      <c r="R9" s="37">
        <v>8</v>
      </c>
      <c r="S9" s="37">
        <v>7</v>
      </c>
      <c r="T9" s="4">
        <f t="shared" si="0"/>
        <v>89</v>
      </c>
      <c r="U9" s="44" t="s">
        <v>56</v>
      </c>
      <c r="V9" s="44" t="s">
        <v>56</v>
      </c>
      <c r="X9" s="27">
        <f>'2 ALIYAH F'!T9</f>
        <v>98</v>
      </c>
      <c r="Y9" s="27">
        <f t="shared" si="1"/>
        <v>89</v>
      </c>
      <c r="Z9" s="28">
        <f t="shared" si="2"/>
        <v>187</v>
      </c>
      <c r="AA9" s="27">
        <v>26</v>
      </c>
      <c r="AB9" s="28">
        <f t="shared" si="3"/>
        <v>7</v>
      </c>
      <c r="AC9" s="29" t="str">
        <f t="shared" si="4"/>
        <v>المتوسط الأول</v>
      </c>
      <c r="AE9" s="51" t="str">
        <f>'2 ALIYAH F'!U9</f>
        <v>-</v>
      </c>
      <c r="AF9" s="51" t="str">
        <f>U9:U32</f>
        <v>-</v>
      </c>
      <c r="AG9" s="52">
        <f t="shared" si="6"/>
        <v>0</v>
      </c>
      <c r="AI9" s="51" t="str">
        <f>'2 ALIYAH F'!V9</f>
        <v>-</v>
      </c>
      <c r="AJ9" s="51" t="str">
        <f t="shared" si="7"/>
        <v>-</v>
      </c>
      <c r="AK9" s="52">
        <f t="shared" si="8"/>
        <v>0</v>
      </c>
    </row>
    <row r="10" spans="1:37" s="1" customFormat="1" ht="25.15" customHeight="1" thickBot="1" x14ac:dyDescent="0.3">
      <c r="A10" s="71" t="str">
        <f>'2 ALIYAH F'!A10</f>
        <v>09</v>
      </c>
      <c r="B10" s="40" t="str">
        <f>'2 ALIYAH F'!B10</f>
        <v>FADHILA KHASANAH</v>
      </c>
      <c r="C10" s="68">
        <f>'2 ALIYAH F'!C10</f>
        <v>2856</v>
      </c>
      <c r="D10" s="19" t="s">
        <v>22</v>
      </c>
      <c r="E10" s="3" t="str">
        <f t="shared" si="5"/>
        <v>٥</v>
      </c>
      <c r="F10" s="37">
        <v>5</v>
      </c>
      <c r="G10" s="37" t="s">
        <v>56</v>
      </c>
      <c r="H10" s="37">
        <v>6</v>
      </c>
      <c r="I10" s="37">
        <v>6</v>
      </c>
      <c r="J10" s="37">
        <v>5</v>
      </c>
      <c r="K10" s="37">
        <v>4</v>
      </c>
      <c r="L10" s="37">
        <v>4</v>
      </c>
      <c r="M10" s="37">
        <v>6</v>
      </c>
      <c r="N10" s="37">
        <v>4</v>
      </c>
      <c r="O10" s="37">
        <v>4</v>
      </c>
      <c r="P10" s="37">
        <v>7</v>
      </c>
      <c r="Q10" s="37">
        <v>7</v>
      </c>
      <c r="R10" s="37">
        <v>8</v>
      </c>
      <c r="S10" s="37">
        <v>8</v>
      </c>
      <c r="T10" s="4">
        <f t="shared" si="0"/>
        <v>74</v>
      </c>
      <c r="U10" s="44" t="s">
        <v>56</v>
      </c>
      <c r="V10" s="44" t="s">
        <v>56</v>
      </c>
      <c r="X10" s="27">
        <f>'2 ALIYAH F'!T10</f>
        <v>75</v>
      </c>
      <c r="Y10" s="27">
        <f t="shared" si="1"/>
        <v>74</v>
      </c>
      <c r="Z10" s="28">
        <f t="shared" si="2"/>
        <v>149</v>
      </c>
      <c r="AA10" s="27">
        <v>26</v>
      </c>
      <c r="AB10" s="28">
        <f t="shared" si="3"/>
        <v>6</v>
      </c>
      <c r="AC10" s="29" t="str">
        <f t="shared" si="4"/>
        <v>المتوسط الثاني</v>
      </c>
      <c r="AE10" s="51" t="str">
        <f>'2 ALIYAH F'!U10</f>
        <v>-</v>
      </c>
      <c r="AF10" s="51" t="str">
        <f>U10:U32</f>
        <v>-</v>
      </c>
      <c r="AG10" s="52">
        <f t="shared" si="6"/>
        <v>0</v>
      </c>
      <c r="AI10" s="51" t="str">
        <f>'2 ALIYAH F'!V10</f>
        <v>-</v>
      </c>
      <c r="AJ10" s="51" t="str">
        <f t="shared" si="7"/>
        <v>-</v>
      </c>
      <c r="AK10" s="52">
        <f t="shared" si="8"/>
        <v>0</v>
      </c>
    </row>
    <row r="11" spans="1:37" s="1" customFormat="1" ht="25.15" customHeight="1" thickBot="1" x14ac:dyDescent="0.3">
      <c r="A11" s="71">
        <f>'2 ALIYAH F'!A11</f>
        <v>10</v>
      </c>
      <c r="B11" s="40" t="str">
        <f>'2 ALIYAH F'!B11</f>
        <v>FATIMAH AZZAHRO</v>
      </c>
      <c r="C11" s="68">
        <f>'2 ALIYAH F'!C11</f>
        <v>2858</v>
      </c>
      <c r="D11" s="19" t="s">
        <v>23</v>
      </c>
      <c r="E11" s="3" t="str">
        <f t="shared" si="5"/>
        <v>٩</v>
      </c>
      <c r="F11" s="37">
        <v>9</v>
      </c>
      <c r="G11" s="37" t="s">
        <v>56</v>
      </c>
      <c r="H11" s="37">
        <v>9</v>
      </c>
      <c r="I11" s="37">
        <v>9</v>
      </c>
      <c r="J11" s="37">
        <v>9</v>
      </c>
      <c r="K11" s="37">
        <v>9</v>
      </c>
      <c r="L11" s="37">
        <v>9</v>
      </c>
      <c r="M11" s="37">
        <v>9</v>
      </c>
      <c r="N11" s="37">
        <v>9</v>
      </c>
      <c r="O11" s="37">
        <v>9</v>
      </c>
      <c r="P11" s="37">
        <v>8</v>
      </c>
      <c r="Q11" s="37">
        <v>8</v>
      </c>
      <c r="R11" s="37">
        <v>8</v>
      </c>
      <c r="S11" s="37">
        <v>8</v>
      </c>
      <c r="T11" s="4">
        <f t="shared" si="0"/>
        <v>113</v>
      </c>
      <c r="U11" s="44">
        <v>1</v>
      </c>
      <c r="V11" s="44" t="s">
        <v>56</v>
      </c>
      <c r="X11" s="27">
        <f>'2 ALIYAH F'!T11</f>
        <v>113</v>
      </c>
      <c r="Y11" s="27">
        <f t="shared" si="1"/>
        <v>113</v>
      </c>
      <c r="Z11" s="28">
        <f t="shared" si="2"/>
        <v>226</v>
      </c>
      <c r="AA11" s="27">
        <v>26</v>
      </c>
      <c r="AB11" s="28">
        <f t="shared" si="3"/>
        <v>9</v>
      </c>
      <c r="AC11" s="29" t="str">
        <f t="shared" si="4"/>
        <v>الجيد الأول</v>
      </c>
      <c r="AE11" s="51" t="str">
        <f>'2 ALIYAH F'!U11</f>
        <v>-</v>
      </c>
      <c r="AF11" s="51">
        <f>U11:U32</f>
        <v>1</v>
      </c>
      <c r="AG11" s="52">
        <f t="shared" si="6"/>
        <v>1</v>
      </c>
      <c r="AI11" s="51" t="str">
        <f>'2 ALIYAH F'!V11</f>
        <v>-</v>
      </c>
      <c r="AJ11" s="51" t="str">
        <f t="shared" si="7"/>
        <v>-</v>
      </c>
      <c r="AK11" s="52">
        <f t="shared" si="8"/>
        <v>0</v>
      </c>
    </row>
    <row r="12" spans="1:37" s="59" customFormat="1" ht="25.15" customHeight="1" thickBot="1" x14ac:dyDescent="0.3">
      <c r="A12" s="204">
        <f>'2 ALIYAH F'!A12</f>
        <v>11</v>
      </c>
      <c r="B12" s="225" t="str">
        <f>'2 ALIYAH F'!B12</f>
        <v>ISMA FATIYAH</v>
      </c>
      <c r="C12" s="68">
        <f>'2 ALIYAH F'!C12</f>
        <v>2829</v>
      </c>
      <c r="D12" s="150" t="s">
        <v>24</v>
      </c>
      <c r="E12" s="151" t="str">
        <f t="shared" si="5"/>
        <v>٦</v>
      </c>
      <c r="F12" s="235">
        <v>6</v>
      </c>
      <c r="G12" s="235" t="s">
        <v>56</v>
      </c>
      <c r="H12" s="235">
        <v>9</v>
      </c>
      <c r="I12" s="235">
        <v>7</v>
      </c>
      <c r="J12" s="235">
        <v>5</v>
      </c>
      <c r="K12" s="235">
        <v>4</v>
      </c>
      <c r="L12" s="235">
        <v>7</v>
      </c>
      <c r="M12" s="235">
        <v>4</v>
      </c>
      <c r="N12" s="235">
        <v>5</v>
      </c>
      <c r="O12" s="235">
        <v>7</v>
      </c>
      <c r="P12" s="235">
        <v>7</v>
      </c>
      <c r="Q12" s="235">
        <v>8</v>
      </c>
      <c r="R12" s="235">
        <v>8</v>
      </c>
      <c r="S12" s="235">
        <v>8</v>
      </c>
      <c r="T12" s="151">
        <f t="shared" si="0"/>
        <v>85</v>
      </c>
      <c r="U12" s="152" t="s">
        <v>56</v>
      </c>
      <c r="V12" s="152" t="s">
        <v>56</v>
      </c>
      <c r="X12" s="60">
        <f>'2 ALIYAH F'!T12</f>
        <v>83</v>
      </c>
      <c r="Y12" s="60">
        <f t="shared" si="1"/>
        <v>85</v>
      </c>
      <c r="Z12" s="60">
        <f t="shared" si="2"/>
        <v>168</v>
      </c>
      <c r="AA12" s="60">
        <v>26</v>
      </c>
      <c r="AB12" s="60">
        <f t="shared" si="3"/>
        <v>6</v>
      </c>
      <c r="AC12" s="60" t="str">
        <f t="shared" si="4"/>
        <v>المتوسط الثاني</v>
      </c>
      <c r="AE12" s="61">
        <f>'2 ALIYAH F'!U12</f>
        <v>3</v>
      </c>
      <c r="AF12" s="61" t="str">
        <f>U12:U32</f>
        <v>-</v>
      </c>
      <c r="AG12" s="61">
        <f t="shared" si="6"/>
        <v>3</v>
      </c>
      <c r="AI12" s="61">
        <f>'2 ALIYAH F'!V12</f>
        <v>2</v>
      </c>
      <c r="AJ12" s="61" t="str">
        <f>V12:V32</f>
        <v>-</v>
      </c>
      <c r="AK12" s="61">
        <f t="shared" si="8"/>
        <v>2</v>
      </c>
    </row>
    <row r="13" spans="1:37" s="1" customFormat="1" ht="25.15" customHeight="1" thickBot="1" x14ac:dyDescent="0.3">
      <c r="A13" s="71">
        <f>'2 ALIYAH F'!A13</f>
        <v>12</v>
      </c>
      <c r="B13" s="40" t="str">
        <f>'2 ALIYAH F'!B13</f>
        <v>LISSARI NABILLA</v>
      </c>
      <c r="C13" s="68">
        <f>'2 ALIYAH F'!C13</f>
        <v>2893</v>
      </c>
      <c r="D13" s="19" t="s">
        <v>25</v>
      </c>
      <c r="E13" s="3" t="str">
        <f t="shared" si="5"/>
        <v>٩</v>
      </c>
      <c r="F13" s="37">
        <v>9</v>
      </c>
      <c r="G13" s="37" t="s">
        <v>56</v>
      </c>
      <c r="H13" s="37">
        <v>6</v>
      </c>
      <c r="I13" s="37">
        <v>9</v>
      </c>
      <c r="J13" s="37">
        <v>8</v>
      </c>
      <c r="K13" s="37">
        <v>8</v>
      </c>
      <c r="L13" s="37">
        <v>9</v>
      </c>
      <c r="M13" s="37">
        <v>5</v>
      </c>
      <c r="N13" s="37">
        <v>6</v>
      </c>
      <c r="O13" s="37">
        <v>9</v>
      </c>
      <c r="P13" s="37">
        <v>8</v>
      </c>
      <c r="Q13" s="37">
        <v>8</v>
      </c>
      <c r="R13" s="37">
        <v>8</v>
      </c>
      <c r="S13" s="37">
        <v>8</v>
      </c>
      <c r="T13" s="4">
        <f t="shared" si="0"/>
        <v>101</v>
      </c>
      <c r="U13" s="44" t="s">
        <v>56</v>
      </c>
      <c r="V13" s="44" t="s">
        <v>56</v>
      </c>
      <c r="X13" s="27">
        <f>'2 ALIYAH F'!T13</f>
        <v>101</v>
      </c>
      <c r="Y13" s="27">
        <f t="shared" si="1"/>
        <v>101</v>
      </c>
      <c r="Z13" s="28">
        <f t="shared" si="2"/>
        <v>202</v>
      </c>
      <c r="AA13" s="27">
        <v>26</v>
      </c>
      <c r="AB13" s="28">
        <f t="shared" si="3"/>
        <v>8</v>
      </c>
      <c r="AC13" s="29" t="str">
        <f t="shared" si="4"/>
        <v>الجيد الثاني</v>
      </c>
      <c r="AE13" s="51" t="str">
        <f>'2 ALIYAH F'!U13</f>
        <v>-</v>
      </c>
      <c r="AF13" s="51" t="str">
        <f>U13:U32</f>
        <v>-</v>
      </c>
      <c r="AG13" s="52">
        <f t="shared" si="6"/>
        <v>0</v>
      </c>
      <c r="AI13" s="51">
        <f>'2 ALIYAH F'!V13</f>
        <v>1</v>
      </c>
      <c r="AJ13" s="51" t="str">
        <f>V13:V32</f>
        <v>-</v>
      </c>
      <c r="AK13" s="52">
        <f t="shared" si="8"/>
        <v>1</v>
      </c>
    </row>
    <row r="14" spans="1:37" s="59" customFormat="1" ht="25.15" customHeight="1" thickBot="1" x14ac:dyDescent="0.3">
      <c r="A14" s="204">
        <f>'2 ALIYAH F'!A14</f>
        <v>13</v>
      </c>
      <c r="B14" s="225" t="str">
        <f>'2 ALIYAH F'!B14</f>
        <v>LU'LUIL HILDA MUNAYYA</v>
      </c>
      <c r="C14" s="68">
        <f>'2 ALIYAH F'!C14</f>
        <v>2868</v>
      </c>
      <c r="D14" s="19" t="s">
        <v>26</v>
      </c>
      <c r="E14" s="3" t="str">
        <f t="shared" si="5"/>
        <v>٧</v>
      </c>
      <c r="F14" s="235">
        <v>7</v>
      </c>
      <c r="G14" s="37" t="s">
        <v>56</v>
      </c>
      <c r="H14" s="235">
        <v>9</v>
      </c>
      <c r="I14" s="235">
        <v>7</v>
      </c>
      <c r="J14" s="235">
        <v>7</v>
      </c>
      <c r="K14" s="235">
        <v>8</v>
      </c>
      <c r="L14" s="235">
        <v>7</v>
      </c>
      <c r="M14" s="235">
        <v>7</v>
      </c>
      <c r="N14" s="235">
        <v>4</v>
      </c>
      <c r="O14" s="235">
        <v>5</v>
      </c>
      <c r="P14" s="235">
        <v>7</v>
      </c>
      <c r="Q14" s="235">
        <v>7</v>
      </c>
      <c r="R14" s="235">
        <v>8</v>
      </c>
      <c r="S14" s="235">
        <v>8</v>
      </c>
      <c r="T14" s="4">
        <f t="shared" si="0"/>
        <v>91</v>
      </c>
      <c r="U14" s="44" t="s">
        <v>56</v>
      </c>
      <c r="V14" s="44" t="s">
        <v>56</v>
      </c>
      <c r="X14" s="60">
        <f>'2 ALIYAH F'!T14</f>
        <v>90</v>
      </c>
      <c r="Y14" s="60">
        <f t="shared" si="1"/>
        <v>91</v>
      </c>
      <c r="Z14" s="60">
        <f t="shared" si="2"/>
        <v>181</v>
      </c>
      <c r="AA14" s="60">
        <v>26</v>
      </c>
      <c r="AB14" s="60">
        <f t="shared" si="3"/>
        <v>7</v>
      </c>
      <c r="AC14" s="60" t="str">
        <f t="shared" si="4"/>
        <v>المتوسط الأول</v>
      </c>
      <c r="AE14" s="61" t="str">
        <f>'2 ALIYAH F'!U14</f>
        <v>-</v>
      </c>
      <c r="AF14" s="61" t="str">
        <f>U14:U32</f>
        <v>-</v>
      </c>
      <c r="AG14" s="61">
        <f t="shared" si="6"/>
        <v>0</v>
      </c>
      <c r="AI14" s="61" t="str">
        <f>'2 ALIYAH F'!V14</f>
        <v>-</v>
      </c>
      <c r="AJ14" s="61" t="str">
        <f>V14:V32</f>
        <v>-</v>
      </c>
      <c r="AK14" s="61">
        <f t="shared" si="8"/>
        <v>0</v>
      </c>
    </row>
    <row r="15" spans="1:37" s="1" customFormat="1" ht="25.15" customHeight="1" thickBot="1" x14ac:dyDescent="0.3">
      <c r="A15" s="71">
        <f>'2 ALIYAH F'!A15</f>
        <v>14</v>
      </c>
      <c r="B15" s="40" t="str">
        <f>'2 ALIYAH F'!B15</f>
        <v>LUBNA MISKA SHOLIHAH</v>
      </c>
      <c r="C15" s="68">
        <f>'2 ALIYAH F'!C15</f>
        <v>2658</v>
      </c>
      <c r="D15" s="19" t="s">
        <v>27</v>
      </c>
      <c r="E15" s="3" t="str">
        <f t="shared" si="5"/>
        <v>٩</v>
      </c>
      <c r="F15" s="37">
        <v>9</v>
      </c>
      <c r="G15" s="37" t="s">
        <v>56</v>
      </c>
      <c r="H15" s="37">
        <v>8</v>
      </c>
      <c r="I15" s="37">
        <v>9</v>
      </c>
      <c r="J15" s="37">
        <v>9</v>
      </c>
      <c r="K15" s="37">
        <v>9</v>
      </c>
      <c r="L15" s="37">
        <v>9</v>
      </c>
      <c r="M15" s="37">
        <v>7</v>
      </c>
      <c r="N15" s="37">
        <v>8</v>
      </c>
      <c r="O15" s="37">
        <v>9</v>
      </c>
      <c r="P15" s="37">
        <v>8</v>
      </c>
      <c r="Q15" s="37">
        <v>8</v>
      </c>
      <c r="R15" s="37">
        <v>8</v>
      </c>
      <c r="S15" s="37">
        <v>8</v>
      </c>
      <c r="T15" s="4">
        <f t="shared" si="0"/>
        <v>109</v>
      </c>
      <c r="U15" s="44">
        <v>2</v>
      </c>
      <c r="V15" s="44" t="s">
        <v>56</v>
      </c>
      <c r="X15" s="27">
        <f>'2 ALIYAH F'!T15</f>
        <v>113</v>
      </c>
      <c r="Y15" s="27">
        <f t="shared" si="1"/>
        <v>109</v>
      </c>
      <c r="Z15" s="28">
        <f t="shared" si="2"/>
        <v>222</v>
      </c>
      <c r="AA15" s="27">
        <v>26</v>
      </c>
      <c r="AB15" s="28">
        <f t="shared" si="3"/>
        <v>9</v>
      </c>
      <c r="AC15" s="29" t="str">
        <f t="shared" si="4"/>
        <v>الجيد الأول</v>
      </c>
      <c r="AE15" s="51">
        <f>'2 ALIYAH F'!U15</f>
        <v>1</v>
      </c>
      <c r="AF15" s="51">
        <f>U15:U32</f>
        <v>2</v>
      </c>
      <c r="AG15" s="52">
        <f t="shared" si="6"/>
        <v>3</v>
      </c>
      <c r="AI15" s="51" t="str">
        <f>'2 ALIYAH F'!V15</f>
        <v>-</v>
      </c>
      <c r="AJ15" s="51" t="str">
        <f>V15:V32</f>
        <v>-</v>
      </c>
      <c r="AK15" s="52">
        <f t="shared" si="8"/>
        <v>0</v>
      </c>
    </row>
    <row r="16" spans="1:37" s="1" customFormat="1" ht="25.15" customHeight="1" thickBot="1" x14ac:dyDescent="0.3">
      <c r="A16" s="71">
        <f>'2 ALIYAH F'!A16</f>
        <v>15</v>
      </c>
      <c r="B16" s="40" t="str">
        <f>'2 ALIYAH F'!B16</f>
        <v>MADINATUL MUKARROMAH</v>
      </c>
      <c r="C16" s="68">
        <f>'2 ALIYAH F'!C16</f>
        <v>2737</v>
      </c>
      <c r="D16" s="19" t="s">
        <v>28</v>
      </c>
      <c r="E16" s="3" t="str">
        <f t="shared" si="5"/>
        <v>٩</v>
      </c>
      <c r="F16" s="37">
        <v>9</v>
      </c>
      <c r="G16" s="37" t="s">
        <v>56</v>
      </c>
      <c r="H16" s="37">
        <v>9</v>
      </c>
      <c r="I16" s="37">
        <v>9</v>
      </c>
      <c r="J16" s="37">
        <v>9</v>
      </c>
      <c r="K16" s="37">
        <v>8</v>
      </c>
      <c r="L16" s="37">
        <v>9</v>
      </c>
      <c r="M16" s="37">
        <v>7</v>
      </c>
      <c r="N16" s="37">
        <v>8</v>
      </c>
      <c r="O16" s="37">
        <v>9</v>
      </c>
      <c r="P16" s="37">
        <v>8</v>
      </c>
      <c r="Q16" s="37">
        <v>8</v>
      </c>
      <c r="R16" s="37">
        <v>8</v>
      </c>
      <c r="S16" s="37">
        <v>8</v>
      </c>
      <c r="T16" s="4">
        <f t="shared" si="0"/>
        <v>109</v>
      </c>
      <c r="U16" s="44" t="s">
        <v>56</v>
      </c>
      <c r="V16" s="44" t="s">
        <v>56</v>
      </c>
      <c r="X16" s="27">
        <f>'2 ALIYAH F'!T16</f>
        <v>105</v>
      </c>
      <c r="Y16" s="27">
        <f t="shared" si="1"/>
        <v>109</v>
      </c>
      <c r="Z16" s="28">
        <f t="shared" si="2"/>
        <v>214</v>
      </c>
      <c r="AA16" s="27">
        <v>26</v>
      </c>
      <c r="AB16" s="28">
        <f t="shared" si="3"/>
        <v>8</v>
      </c>
      <c r="AC16" s="29" t="str">
        <f t="shared" si="4"/>
        <v>الجيد الثاني</v>
      </c>
      <c r="AE16" s="51">
        <f>'2 ALIYAH F'!U16</f>
        <v>7</v>
      </c>
      <c r="AF16" s="51" t="str">
        <f>U16:U32</f>
        <v>-</v>
      </c>
      <c r="AG16" s="52">
        <f t="shared" si="6"/>
        <v>7</v>
      </c>
      <c r="AI16" s="51" t="str">
        <f>'2 ALIYAH F'!V16</f>
        <v>-</v>
      </c>
      <c r="AJ16" s="51" t="str">
        <f>V16:V32</f>
        <v>-</v>
      </c>
      <c r="AK16" s="52">
        <f t="shared" si="8"/>
        <v>0</v>
      </c>
    </row>
    <row r="17" spans="1:37" s="1" customFormat="1" ht="25.15" customHeight="1" thickBot="1" x14ac:dyDescent="0.3">
      <c r="A17" s="71">
        <f>'2 ALIYAH F'!A17</f>
        <v>17</v>
      </c>
      <c r="B17" s="40" t="str">
        <f>'2 ALIYAH F'!B17</f>
        <v>MAULIDIA TASYA RAFIKA</v>
      </c>
      <c r="C17" s="68">
        <f>'2 ALIYAH F'!C17</f>
        <v>2768</v>
      </c>
      <c r="D17" s="19" t="s">
        <v>29</v>
      </c>
      <c r="E17" s="3" t="str">
        <f t="shared" si="5"/>
        <v>٥</v>
      </c>
      <c r="F17" s="37">
        <v>5</v>
      </c>
      <c r="G17" s="37" t="s">
        <v>56</v>
      </c>
      <c r="H17" s="37">
        <v>8</v>
      </c>
      <c r="I17" s="37">
        <v>8</v>
      </c>
      <c r="J17" s="37">
        <v>6</v>
      </c>
      <c r="K17" s="37">
        <v>4</v>
      </c>
      <c r="L17" s="37">
        <v>6</v>
      </c>
      <c r="M17" s="37">
        <v>4</v>
      </c>
      <c r="N17" s="37">
        <v>4</v>
      </c>
      <c r="O17" s="37">
        <v>7</v>
      </c>
      <c r="P17" s="37">
        <v>7</v>
      </c>
      <c r="Q17" s="37">
        <v>7</v>
      </c>
      <c r="R17" s="37">
        <v>8</v>
      </c>
      <c r="S17" s="37">
        <v>8</v>
      </c>
      <c r="T17" s="4">
        <f t="shared" si="0"/>
        <v>82</v>
      </c>
      <c r="U17" s="44" t="s">
        <v>56</v>
      </c>
      <c r="V17" s="44" t="s">
        <v>56</v>
      </c>
      <c r="X17" s="27">
        <f>'2 ALIYAH F'!T17</f>
        <v>82</v>
      </c>
      <c r="Y17" s="27">
        <f t="shared" si="1"/>
        <v>82</v>
      </c>
      <c r="Z17" s="28">
        <f t="shared" si="2"/>
        <v>164</v>
      </c>
      <c r="AA17" s="27">
        <v>26</v>
      </c>
      <c r="AB17" s="28">
        <f t="shared" si="3"/>
        <v>6</v>
      </c>
      <c r="AC17" s="29" t="str">
        <f t="shared" si="4"/>
        <v>المتوسط الثاني</v>
      </c>
      <c r="AE17" s="51">
        <f>'2 ALIYAH F'!U17</f>
        <v>1</v>
      </c>
      <c r="AF17" s="51" t="str">
        <f>U17:U32</f>
        <v>-</v>
      </c>
      <c r="AG17" s="52">
        <f t="shared" si="6"/>
        <v>1</v>
      </c>
      <c r="AI17" s="51">
        <f>'2 ALIYAH F'!V17</f>
        <v>5</v>
      </c>
      <c r="AJ17" s="51" t="str">
        <f>V17:V32</f>
        <v>-</v>
      </c>
      <c r="AK17" s="52">
        <f t="shared" si="8"/>
        <v>5</v>
      </c>
    </row>
    <row r="18" spans="1:37" s="1" customFormat="1" ht="25.15" customHeight="1" thickBot="1" x14ac:dyDescent="0.3">
      <c r="A18" s="71">
        <f>'2 ALIYAH F'!A18</f>
        <v>18</v>
      </c>
      <c r="B18" s="40" t="str">
        <f>'2 ALIYAH F'!B18</f>
        <v>MILADIATUS SA'ADAH</v>
      </c>
      <c r="C18" s="68">
        <f>'2 ALIYAH F'!C18</f>
        <v>2739</v>
      </c>
      <c r="D18" s="19" t="s">
        <v>30</v>
      </c>
      <c r="E18" s="3" t="str">
        <f t="shared" si="5"/>
        <v>٨</v>
      </c>
      <c r="F18" s="37">
        <v>8</v>
      </c>
      <c r="G18" s="37" t="s">
        <v>56</v>
      </c>
      <c r="H18" s="37">
        <v>9</v>
      </c>
      <c r="I18" s="37">
        <v>9</v>
      </c>
      <c r="J18" s="37">
        <v>7</v>
      </c>
      <c r="K18" s="37">
        <v>9</v>
      </c>
      <c r="L18" s="37">
        <v>8</v>
      </c>
      <c r="M18" s="37">
        <v>7</v>
      </c>
      <c r="N18" s="37">
        <v>7</v>
      </c>
      <c r="O18" s="37">
        <v>7</v>
      </c>
      <c r="P18" s="37">
        <v>8</v>
      </c>
      <c r="Q18" s="37">
        <v>7</v>
      </c>
      <c r="R18" s="37">
        <v>8</v>
      </c>
      <c r="S18" s="37">
        <v>8</v>
      </c>
      <c r="T18" s="4">
        <f t="shared" si="0"/>
        <v>102</v>
      </c>
      <c r="U18" s="44" t="s">
        <v>56</v>
      </c>
      <c r="V18" s="44" t="s">
        <v>56</v>
      </c>
      <c r="X18" s="27">
        <f>'2 ALIYAH F'!T18</f>
        <v>101</v>
      </c>
      <c r="Y18" s="27">
        <f t="shared" si="1"/>
        <v>102</v>
      </c>
      <c r="Z18" s="28">
        <f t="shared" si="2"/>
        <v>203</v>
      </c>
      <c r="AA18" s="27">
        <v>26</v>
      </c>
      <c r="AB18" s="28">
        <f t="shared" si="3"/>
        <v>8</v>
      </c>
      <c r="AC18" s="29" t="str">
        <f t="shared" si="4"/>
        <v>الجيد الثاني</v>
      </c>
      <c r="AE18" s="51" t="str">
        <f>'2 ALIYAH F'!U18</f>
        <v>-</v>
      </c>
      <c r="AF18" s="51" t="str">
        <f>U18:U32</f>
        <v>-</v>
      </c>
      <c r="AG18" s="52">
        <f t="shared" si="6"/>
        <v>0</v>
      </c>
      <c r="AI18" s="51" t="str">
        <f>'2 ALIYAH F'!V18</f>
        <v>-</v>
      </c>
      <c r="AJ18" s="51" t="str">
        <f>V18:V32</f>
        <v>-</v>
      </c>
      <c r="AK18" s="52">
        <f t="shared" si="8"/>
        <v>0</v>
      </c>
    </row>
    <row r="19" spans="1:37" s="1" customFormat="1" ht="25.15" customHeight="1" thickBot="1" x14ac:dyDescent="0.3">
      <c r="A19" s="71">
        <f>'2 ALIYAH F'!A19</f>
        <v>19</v>
      </c>
      <c r="B19" s="40" t="str">
        <f>'2 ALIYAH F'!B19</f>
        <v>MUTIARA NUR AZIZAH</v>
      </c>
      <c r="C19" s="68">
        <f>'2 ALIYAH F'!C19</f>
        <v>2662</v>
      </c>
      <c r="D19" s="19" t="s">
        <v>31</v>
      </c>
      <c r="E19" s="3" t="str">
        <f t="shared" si="5"/>
        <v>٧</v>
      </c>
      <c r="F19" s="37">
        <v>7</v>
      </c>
      <c r="G19" s="37" t="s">
        <v>56</v>
      </c>
      <c r="H19" s="37">
        <v>7</v>
      </c>
      <c r="I19" s="37">
        <v>9</v>
      </c>
      <c r="J19" s="37">
        <v>7</v>
      </c>
      <c r="K19" s="37">
        <v>5</v>
      </c>
      <c r="L19" s="37">
        <v>9</v>
      </c>
      <c r="M19" s="37">
        <v>6</v>
      </c>
      <c r="N19" s="37">
        <v>6</v>
      </c>
      <c r="O19" s="37">
        <v>6</v>
      </c>
      <c r="P19" s="37">
        <v>8</v>
      </c>
      <c r="Q19" s="37">
        <v>7</v>
      </c>
      <c r="R19" s="37">
        <v>8</v>
      </c>
      <c r="S19" s="37">
        <v>8</v>
      </c>
      <c r="T19" s="4">
        <f t="shared" si="0"/>
        <v>93</v>
      </c>
      <c r="U19" s="44" t="s">
        <v>56</v>
      </c>
      <c r="V19" s="44" t="s">
        <v>56</v>
      </c>
      <c r="X19" s="27">
        <f>'2 ALIYAH F'!T19</f>
        <v>102</v>
      </c>
      <c r="Y19" s="27">
        <f t="shared" si="1"/>
        <v>93</v>
      </c>
      <c r="Z19" s="28">
        <f t="shared" si="2"/>
        <v>195</v>
      </c>
      <c r="AA19" s="27">
        <v>26</v>
      </c>
      <c r="AB19" s="28">
        <f t="shared" si="3"/>
        <v>8</v>
      </c>
      <c r="AC19" s="29" t="str">
        <f t="shared" si="4"/>
        <v>الجيد الثاني</v>
      </c>
      <c r="AE19" s="51">
        <f>'2 ALIYAH F'!U19</f>
        <v>1</v>
      </c>
      <c r="AF19" s="51" t="str">
        <f>U19:U32</f>
        <v>-</v>
      </c>
      <c r="AG19" s="52">
        <f t="shared" si="6"/>
        <v>1</v>
      </c>
      <c r="AI19" s="51" t="str">
        <f>'2 ALIYAH F'!V19</f>
        <v>-</v>
      </c>
      <c r="AJ19" s="51" t="str">
        <f>V19:V32</f>
        <v>-</v>
      </c>
      <c r="AK19" s="52">
        <f t="shared" si="8"/>
        <v>0</v>
      </c>
    </row>
    <row r="20" spans="1:37" s="118" customFormat="1" ht="25.15" customHeight="1" thickBot="1" x14ac:dyDescent="0.3">
      <c r="A20" s="120">
        <f>'2 ALIYAH F'!A20</f>
        <v>20</v>
      </c>
      <c r="B20" s="121" t="str">
        <f>'2 ALIYAH F'!B20</f>
        <v>NAILIL FITROH</v>
      </c>
      <c r="C20" s="122">
        <f>'2 ALIYAH F'!C20</f>
        <v>2899</v>
      </c>
      <c r="D20" s="19" t="s">
        <v>32</v>
      </c>
      <c r="E20" s="3" t="str">
        <f t="shared" si="5"/>
        <v>٧</v>
      </c>
      <c r="F20" s="37">
        <v>7</v>
      </c>
      <c r="G20" s="37" t="s">
        <v>56</v>
      </c>
      <c r="H20" s="37">
        <v>7</v>
      </c>
      <c r="I20" s="37">
        <v>9</v>
      </c>
      <c r="J20" s="37">
        <v>7</v>
      </c>
      <c r="K20" s="37">
        <v>5</v>
      </c>
      <c r="L20" s="37">
        <v>9</v>
      </c>
      <c r="M20" s="37">
        <v>6</v>
      </c>
      <c r="N20" s="37">
        <v>6</v>
      </c>
      <c r="O20" s="37">
        <v>6</v>
      </c>
      <c r="P20" s="37">
        <v>8</v>
      </c>
      <c r="Q20" s="37">
        <v>7</v>
      </c>
      <c r="R20" s="37">
        <v>8</v>
      </c>
      <c r="S20" s="37">
        <v>8</v>
      </c>
      <c r="T20" s="114">
        <f t="shared" si="0"/>
        <v>93</v>
      </c>
      <c r="U20" s="44" t="s">
        <v>56</v>
      </c>
      <c r="V20" s="44" t="s">
        <v>56</v>
      </c>
      <c r="X20" s="116">
        <f>'2 ALIYAH F'!T20</f>
        <v>87</v>
      </c>
      <c r="Y20" s="116">
        <f t="shared" si="1"/>
        <v>93</v>
      </c>
      <c r="Z20" s="116">
        <f t="shared" si="2"/>
        <v>180</v>
      </c>
      <c r="AA20" s="116">
        <v>26</v>
      </c>
      <c r="AB20" s="116">
        <f t="shared" si="3"/>
        <v>7</v>
      </c>
      <c r="AC20" s="29" t="str">
        <f t="shared" si="4"/>
        <v>المتوسط الأول</v>
      </c>
      <c r="AE20" s="117">
        <f>'2 ALIYAH F'!U20</f>
        <v>1</v>
      </c>
      <c r="AF20" s="117" t="str">
        <f>U20:U32</f>
        <v>-</v>
      </c>
      <c r="AG20" s="117">
        <f t="shared" si="6"/>
        <v>1</v>
      </c>
      <c r="AI20" s="117" t="str">
        <f>'2 ALIYAH F'!V20</f>
        <v>-</v>
      </c>
      <c r="AJ20" s="117" t="str">
        <f>V20:V32</f>
        <v>-</v>
      </c>
      <c r="AK20" s="117">
        <f t="shared" si="8"/>
        <v>0</v>
      </c>
    </row>
    <row r="21" spans="1:37" s="1" customFormat="1" ht="25.15" customHeight="1" thickBot="1" x14ac:dyDescent="0.3">
      <c r="A21" s="71">
        <f>'2 ALIYAH F'!A21</f>
        <v>21</v>
      </c>
      <c r="B21" s="40" t="str">
        <f>'2 ALIYAH F'!B21</f>
        <v>NOOR FATHIA WARDANIA</v>
      </c>
      <c r="C21" s="68">
        <f>'2 ALIYAH F'!C21</f>
        <v>2743</v>
      </c>
      <c r="D21" s="19" t="s">
        <v>33</v>
      </c>
      <c r="E21" s="3" t="str">
        <f t="shared" si="5"/>
        <v>٩</v>
      </c>
      <c r="F21" s="37">
        <v>9</v>
      </c>
      <c r="G21" s="37" t="s">
        <v>56</v>
      </c>
      <c r="H21" s="37">
        <v>9</v>
      </c>
      <c r="I21" s="37">
        <v>9</v>
      </c>
      <c r="J21" s="37">
        <v>9</v>
      </c>
      <c r="K21" s="37">
        <v>9</v>
      </c>
      <c r="L21" s="37">
        <v>9</v>
      </c>
      <c r="M21" s="37">
        <v>9</v>
      </c>
      <c r="N21" s="37">
        <v>9</v>
      </c>
      <c r="O21" s="37">
        <v>9</v>
      </c>
      <c r="P21" s="37">
        <v>8</v>
      </c>
      <c r="Q21" s="37">
        <v>8</v>
      </c>
      <c r="R21" s="37">
        <v>8</v>
      </c>
      <c r="S21" s="37">
        <v>8</v>
      </c>
      <c r="T21" s="4">
        <f t="shared" si="0"/>
        <v>113</v>
      </c>
      <c r="U21" s="44" t="s">
        <v>56</v>
      </c>
      <c r="V21" s="44" t="s">
        <v>56</v>
      </c>
      <c r="X21" s="27">
        <f>'2 ALIYAH F'!T21</f>
        <v>113</v>
      </c>
      <c r="Y21" s="27">
        <f t="shared" si="1"/>
        <v>113</v>
      </c>
      <c r="Z21" s="28">
        <f t="shared" si="2"/>
        <v>226</v>
      </c>
      <c r="AA21" s="27">
        <v>26</v>
      </c>
      <c r="AB21" s="28">
        <f t="shared" si="3"/>
        <v>9</v>
      </c>
      <c r="AC21" s="29" t="str">
        <f t="shared" si="4"/>
        <v>الجيد الأول</v>
      </c>
      <c r="AE21" s="51" t="str">
        <f>'2 ALIYAH F'!U21</f>
        <v>-</v>
      </c>
      <c r="AF21" s="51" t="str">
        <f>U21:U32</f>
        <v>-</v>
      </c>
      <c r="AG21" s="52">
        <f t="shared" si="6"/>
        <v>0</v>
      </c>
      <c r="AI21" s="51" t="str">
        <f>'2 ALIYAH F'!V21</f>
        <v>-</v>
      </c>
      <c r="AJ21" s="51" t="str">
        <f>V21:V32</f>
        <v>-</v>
      </c>
      <c r="AK21" s="52">
        <f t="shared" si="8"/>
        <v>0</v>
      </c>
    </row>
    <row r="22" spans="1:37" s="1" customFormat="1" ht="25.15" customHeight="1" thickBot="1" x14ac:dyDescent="0.3">
      <c r="A22" s="71">
        <f>'2 ALIYAH F'!A22</f>
        <v>22</v>
      </c>
      <c r="B22" s="40" t="str">
        <f>'2 ALIYAH F'!B22</f>
        <v>NUR LAILATUL MAFRISKA</v>
      </c>
      <c r="C22" s="68">
        <f>'2 ALIYAH F'!C22</f>
        <v>2775</v>
      </c>
      <c r="D22" s="19" t="s">
        <v>34</v>
      </c>
      <c r="E22" s="3" t="str">
        <f t="shared" si="5"/>
        <v>٨</v>
      </c>
      <c r="F22" s="37">
        <v>8</v>
      </c>
      <c r="G22" s="37" t="s">
        <v>56</v>
      </c>
      <c r="H22" s="37">
        <v>9</v>
      </c>
      <c r="I22" s="37">
        <v>8</v>
      </c>
      <c r="J22" s="37">
        <v>8</v>
      </c>
      <c r="K22" s="37">
        <v>8</v>
      </c>
      <c r="L22" s="37">
        <v>9</v>
      </c>
      <c r="M22" s="37">
        <v>7</v>
      </c>
      <c r="N22" s="37">
        <v>5</v>
      </c>
      <c r="O22" s="37">
        <v>9</v>
      </c>
      <c r="P22" s="37">
        <v>8</v>
      </c>
      <c r="Q22" s="37">
        <v>7</v>
      </c>
      <c r="R22" s="37">
        <v>8</v>
      </c>
      <c r="S22" s="37">
        <v>8</v>
      </c>
      <c r="T22" s="4">
        <f t="shared" si="0"/>
        <v>102</v>
      </c>
      <c r="U22" s="44" t="s">
        <v>56</v>
      </c>
      <c r="V22" s="44" t="s">
        <v>56</v>
      </c>
      <c r="X22" s="27">
        <f>'2 ALIYAH F'!T22</f>
        <v>99</v>
      </c>
      <c r="Y22" s="27">
        <f t="shared" si="1"/>
        <v>102</v>
      </c>
      <c r="Z22" s="28">
        <f t="shared" si="2"/>
        <v>201</v>
      </c>
      <c r="AA22" s="27">
        <v>26</v>
      </c>
      <c r="AB22" s="28">
        <f t="shared" si="3"/>
        <v>8</v>
      </c>
      <c r="AC22" s="29" t="str">
        <f t="shared" si="4"/>
        <v>الجيد الثاني</v>
      </c>
      <c r="AE22" s="51" t="str">
        <f>'2 ALIYAH F'!U22</f>
        <v>-</v>
      </c>
      <c r="AF22" s="51" t="str">
        <f>U22:U33</f>
        <v>-</v>
      </c>
      <c r="AG22" s="52">
        <f t="shared" si="6"/>
        <v>0</v>
      </c>
      <c r="AI22" s="51" t="str">
        <f>'2 ALIYAH F'!V22</f>
        <v>-</v>
      </c>
      <c r="AJ22" s="51" t="str">
        <f>V22:V32</f>
        <v>-</v>
      </c>
      <c r="AK22" s="52">
        <f t="shared" si="8"/>
        <v>0</v>
      </c>
    </row>
    <row r="23" spans="1:37" s="1" customFormat="1" ht="25.15" customHeight="1" thickBot="1" x14ac:dyDescent="0.3">
      <c r="A23" s="71">
        <f>'2 ALIYAH F'!A23</f>
        <v>23</v>
      </c>
      <c r="B23" s="40" t="str">
        <f>'2 ALIYAH F'!B23</f>
        <v>RIMA IZZULMILA</v>
      </c>
      <c r="C23" s="68">
        <f>'2 ALIYAH F'!C23</f>
        <v>2876</v>
      </c>
      <c r="D23" s="19" t="s">
        <v>35</v>
      </c>
      <c r="E23" s="3" t="str">
        <f t="shared" si="5"/>
        <v>٧</v>
      </c>
      <c r="F23" s="37">
        <v>7</v>
      </c>
      <c r="G23" s="37" t="s">
        <v>56</v>
      </c>
      <c r="H23" s="37">
        <v>8</v>
      </c>
      <c r="I23" s="37">
        <v>7</v>
      </c>
      <c r="J23" s="37">
        <v>6</v>
      </c>
      <c r="K23" s="37">
        <v>7</v>
      </c>
      <c r="L23" s="37">
        <v>7</v>
      </c>
      <c r="M23" s="37">
        <v>8</v>
      </c>
      <c r="N23" s="37">
        <v>4</v>
      </c>
      <c r="O23" s="37">
        <v>7</v>
      </c>
      <c r="P23" s="37">
        <v>8</v>
      </c>
      <c r="Q23" s="37">
        <v>8</v>
      </c>
      <c r="R23" s="37">
        <v>8</v>
      </c>
      <c r="S23" s="37">
        <v>8</v>
      </c>
      <c r="T23" s="4">
        <f t="shared" si="0"/>
        <v>93</v>
      </c>
      <c r="U23" s="44" t="s">
        <v>56</v>
      </c>
      <c r="V23" s="44" t="s">
        <v>56</v>
      </c>
      <c r="X23" s="27">
        <f>'2 ALIYAH F'!T23</f>
        <v>108</v>
      </c>
      <c r="Y23" s="27">
        <f t="shared" si="1"/>
        <v>93</v>
      </c>
      <c r="Z23" s="28">
        <f t="shared" si="2"/>
        <v>201</v>
      </c>
      <c r="AA23" s="27">
        <v>26</v>
      </c>
      <c r="AB23" s="28">
        <f t="shared" si="3"/>
        <v>8</v>
      </c>
      <c r="AC23" s="29" t="str">
        <f t="shared" si="4"/>
        <v>الجيد الثاني</v>
      </c>
      <c r="AE23" s="51">
        <f>'2 ALIYAH F'!U23</f>
        <v>1</v>
      </c>
      <c r="AF23" s="51" t="str">
        <f>U23:U34</f>
        <v>-</v>
      </c>
      <c r="AG23" s="52">
        <f t="shared" si="6"/>
        <v>1</v>
      </c>
      <c r="AI23" s="51" t="str">
        <f>'2 ALIYAH F'!V23</f>
        <v>-</v>
      </c>
      <c r="AJ23" s="51" t="str">
        <f>V23:V32</f>
        <v>-</v>
      </c>
      <c r="AK23" s="52">
        <f t="shared" si="8"/>
        <v>0</v>
      </c>
    </row>
    <row r="24" spans="1:37" s="1" customFormat="1" ht="25.15" customHeight="1" thickBot="1" x14ac:dyDescent="0.3">
      <c r="A24" s="71">
        <f>'2 ALIYAH F'!A24</f>
        <v>24</v>
      </c>
      <c r="B24" s="40" t="str">
        <f>'2 ALIYAH F'!B24</f>
        <v>RIRA ADELIA SAPUTRI</v>
      </c>
      <c r="C24" s="68">
        <f>'2 ALIYAH F'!C24</f>
        <v>2814</v>
      </c>
      <c r="D24" s="19" t="s">
        <v>36</v>
      </c>
      <c r="E24" s="3" t="str">
        <f t="shared" si="5"/>
        <v>٧</v>
      </c>
      <c r="F24" s="37">
        <v>7</v>
      </c>
      <c r="G24" s="37" t="s">
        <v>56</v>
      </c>
      <c r="H24" s="37">
        <v>8</v>
      </c>
      <c r="I24" s="37">
        <v>9</v>
      </c>
      <c r="J24" s="37">
        <v>9</v>
      </c>
      <c r="K24" s="37">
        <v>6</v>
      </c>
      <c r="L24" s="37">
        <v>8</v>
      </c>
      <c r="M24" s="37">
        <v>6</v>
      </c>
      <c r="N24" s="37">
        <v>5</v>
      </c>
      <c r="O24" s="37">
        <v>8</v>
      </c>
      <c r="P24" s="37">
        <v>8</v>
      </c>
      <c r="Q24" s="37">
        <v>7</v>
      </c>
      <c r="R24" s="37">
        <v>8</v>
      </c>
      <c r="S24" s="37">
        <v>8</v>
      </c>
      <c r="T24" s="4">
        <f t="shared" si="0"/>
        <v>97</v>
      </c>
      <c r="U24" s="44" t="s">
        <v>56</v>
      </c>
      <c r="V24" s="44" t="s">
        <v>56</v>
      </c>
      <c r="X24" s="27">
        <f>'2 ALIYAH F'!T24</f>
        <v>87</v>
      </c>
      <c r="Y24" s="27">
        <f t="shared" si="1"/>
        <v>97</v>
      </c>
      <c r="Z24" s="28">
        <f t="shared" si="2"/>
        <v>184</v>
      </c>
      <c r="AA24" s="27">
        <v>26</v>
      </c>
      <c r="AB24" s="28">
        <f t="shared" si="3"/>
        <v>7</v>
      </c>
      <c r="AC24" s="29" t="str">
        <f t="shared" si="4"/>
        <v>المتوسط الأول</v>
      </c>
      <c r="AE24" s="51">
        <f>'2 ALIYAH F'!U24</f>
        <v>1</v>
      </c>
      <c r="AF24" s="51" t="str">
        <f>U24:U35</f>
        <v>-</v>
      </c>
      <c r="AG24" s="52">
        <f t="shared" si="6"/>
        <v>1</v>
      </c>
      <c r="AI24" s="51">
        <f>'2 ALIYAH F'!V24</f>
        <v>1</v>
      </c>
      <c r="AJ24" s="51" t="str">
        <f>V24:V32</f>
        <v>-</v>
      </c>
      <c r="AK24" s="52">
        <f t="shared" si="8"/>
        <v>1</v>
      </c>
    </row>
    <row r="25" spans="1:37" s="2" customFormat="1" ht="25.15" customHeight="1" thickBot="1" x14ac:dyDescent="0.3">
      <c r="A25" s="71">
        <f>'2 ALIYAH F'!A25</f>
        <v>25</v>
      </c>
      <c r="B25" s="40" t="str">
        <f>'2 ALIYAH F'!B25</f>
        <v>ROUDLOTUL FIRDAUSIL HUSNA</v>
      </c>
      <c r="C25" s="68">
        <f>'2 ALIYAH F'!C25</f>
        <v>2747</v>
      </c>
      <c r="D25" s="19" t="s">
        <v>37</v>
      </c>
      <c r="E25" s="3" t="str">
        <f t="shared" si="5"/>
        <v>٩</v>
      </c>
      <c r="F25" s="37">
        <v>9</v>
      </c>
      <c r="G25" s="37" t="s">
        <v>56</v>
      </c>
      <c r="H25" s="37">
        <v>9</v>
      </c>
      <c r="I25" s="37">
        <v>9</v>
      </c>
      <c r="J25" s="37">
        <v>7</v>
      </c>
      <c r="K25" s="37">
        <v>5</v>
      </c>
      <c r="L25" s="37">
        <v>4</v>
      </c>
      <c r="M25" s="37">
        <v>5</v>
      </c>
      <c r="N25" s="37">
        <v>5</v>
      </c>
      <c r="O25" s="37">
        <v>8</v>
      </c>
      <c r="P25" s="37">
        <v>7</v>
      </c>
      <c r="Q25" s="37">
        <v>7</v>
      </c>
      <c r="R25" s="37">
        <v>8</v>
      </c>
      <c r="S25" s="37">
        <v>7</v>
      </c>
      <c r="T25" s="4">
        <f t="shared" si="0"/>
        <v>90</v>
      </c>
      <c r="U25" s="44" t="s">
        <v>56</v>
      </c>
      <c r="V25" s="44" t="s">
        <v>56</v>
      </c>
      <c r="X25" s="27">
        <f>'2 ALIYAH F'!T25</f>
        <v>97</v>
      </c>
      <c r="Y25" s="27">
        <f t="shared" si="1"/>
        <v>90</v>
      </c>
      <c r="Z25" s="28">
        <f t="shared" si="2"/>
        <v>187</v>
      </c>
      <c r="AA25" s="27">
        <v>26</v>
      </c>
      <c r="AB25" s="28">
        <f t="shared" si="3"/>
        <v>7</v>
      </c>
      <c r="AC25" s="29" t="str">
        <f t="shared" si="4"/>
        <v>المتوسط الأول</v>
      </c>
      <c r="AE25" s="51" t="str">
        <f>'2 ALIYAH F'!U25</f>
        <v>-</v>
      </c>
      <c r="AF25" s="51" t="str">
        <f t="shared" ref="AF25:AF32" si="9">U25:U37</f>
        <v>-</v>
      </c>
      <c r="AG25" s="52">
        <f t="shared" si="6"/>
        <v>0</v>
      </c>
      <c r="AH25" s="1"/>
      <c r="AI25" s="51">
        <f>'2 ALIYAH F'!V25</f>
        <v>1</v>
      </c>
      <c r="AJ25" s="51" t="str">
        <f>V25:V32</f>
        <v>-</v>
      </c>
      <c r="AK25" s="52">
        <f t="shared" si="8"/>
        <v>1</v>
      </c>
    </row>
    <row r="26" spans="1:37" s="2" customFormat="1" ht="25.15" customHeight="1" thickBot="1" x14ac:dyDescent="0.3">
      <c r="A26" s="71">
        <f>'2 ALIYAH F'!A26</f>
        <v>26</v>
      </c>
      <c r="B26" s="40" t="str">
        <f>'2 ALIYAH F'!B26</f>
        <v>SALMA NUR JANNAH</v>
      </c>
      <c r="C26" s="68">
        <f>'2 ALIYAH F'!C26</f>
        <v>2749</v>
      </c>
      <c r="D26" s="19" t="s">
        <v>38</v>
      </c>
      <c r="E26" s="3" t="str">
        <f t="shared" si="5"/>
        <v>٥</v>
      </c>
      <c r="F26" s="37">
        <v>5</v>
      </c>
      <c r="G26" s="37" t="s">
        <v>56</v>
      </c>
      <c r="H26" s="37">
        <v>8</v>
      </c>
      <c r="I26" s="37">
        <v>7</v>
      </c>
      <c r="J26" s="37">
        <v>5</v>
      </c>
      <c r="K26" s="37">
        <v>6</v>
      </c>
      <c r="L26" s="37">
        <v>6</v>
      </c>
      <c r="M26" s="37">
        <v>7</v>
      </c>
      <c r="N26" s="37">
        <v>6</v>
      </c>
      <c r="O26" s="37">
        <v>6</v>
      </c>
      <c r="P26" s="37">
        <v>8</v>
      </c>
      <c r="Q26" s="37">
        <v>7</v>
      </c>
      <c r="R26" s="37">
        <v>8</v>
      </c>
      <c r="S26" s="37">
        <v>8</v>
      </c>
      <c r="T26" s="4">
        <f t="shared" si="0"/>
        <v>87</v>
      </c>
      <c r="U26" s="44" t="s">
        <v>56</v>
      </c>
      <c r="V26" s="44" t="s">
        <v>56</v>
      </c>
      <c r="X26" s="27">
        <f>'2 ALIYAH F'!T26</f>
        <v>85</v>
      </c>
      <c r="Y26" s="27">
        <f t="shared" si="1"/>
        <v>87</v>
      </c>
      <c r="Z26" s="28">
        <f t="shared" si="2"/>
        <v>172</v>
      </c>
      <c r="AA26" s="27">
        <v>26</v>
      </c>
      <c r="AB26" s="28">
        <f t="shared" si="3"/>
        <v>7</v>
      </c>
      <c r="AC26" s="29" t="str">
        <f t="shared" si="4"/>
        <v>المتوسط الأول</v>
      </c>
      <c r="AE26" s="51">
        <f>'2 ALIYAH F'!U26</f>
        <v>1</v>
      </c>
      <c r="AF26" s="51" t="str">
        <f t="shared" si="9"/>
        <v>-</v>
      </c>
      <c r="AG26" s="52">
        <f t="shared" si="6"/>
        <v>1</v>
      </c>
      <c r="AH26" s="1"/>
      <c r="AI26" s="51" t="str">
        <f>'2 ALIYAH F'!V26</f>
        <v>-</v>
      </c>
      <c r="AJ26" s="51" t="str">
        <f>V26:V32</f>
        <v>-</v>
      </c>
      <c r="AK26" s="52">
        <f t="shared" si="8"/>
        <v>0</v>
      </c>
    </row>
    <row r="27" spans="1:37" s="2" customFormat="1" ht="25.15" customHeight="1" thickBot="1" x14ac:dyDescent="0.3">
      <c r="A27" s="71">
        <f>'2 ALIYAH F'!A27</f>
        <v>27</v>
      </c>
      <c r="B27" s="40" t="str">
        <f>'2 ALIYAH F'!B27</f>
        <v>SHERLINA CAHYA NINGRUM</v>
      </c>
      <c r="C27" s="68">
        <f>'2 ALIYAH F'!C27</f>
        <v>2879</v>
      </c>
      <c r="D27" s="19" t="s">
        <v>39</v>
      </c>
      <c r="E27" s="3" t="str">
        <f t="shared" si="5"/>
        <v>٨</v>
      </c>
      <c r="F27" s="37">
        <v>8</v>
      </c>
      <c r="G27" s="37" t="s">
        <v>56</v>
      </c>
      <c r="H27" s="37">
        <v>9</v>
      </c>
      <c r="I27" s="37">
        <v>9</v>
      </c>
      <c r="J27" s="37">
        <v>9</v>
      </c>
      <c r="K27" s="37">
        <v>9</v>
      </c>
      <c r="L27" s="37">
        <v>8</v>
      </c>
      <c r="M27" s="37">
        <v>4</v>
      </c>
      <c r="N27" s="37">
        <v>9</v>
      </c>
      <c r="O27" s="37">
        <v>9</v>
      </c>
      <c r="P27" s="37">
        <v>8</v>
      </c>
      <c r="Q27" s="37">
        <v>8</v>
      </c>
      <c r="R27" s="37">
        <v>8</v>
      </c>
      <c r="S27" s="37">
        <v>8</v>
      </c>
      <c r="T27" s="4">
        <f t="shared" si="0"/>
        <v>106</v>
      </c>
      <c r="U27" s="44">
        <v>6</v>
      </c>
      <c r="V27" s="44" t="s">
        <v>56</v>
      </c>
      <c r="X27" s="27">
        <f>'2 ALIYAH F'!T27</f>
        <v>111</v>
      </c>
      <c r="Y27" s="27">
        <f t="shared" si="1"/>
        <v>106</v>
      </c>
      <c r="Z27" s="28">
        <f t="shared" si="2"/>
        <v>217</v>
      </c>
      <c r="AA27" s="27">
        <v>26</v>
      </c>
      <c r="AB27" s="28">
        <f t="shared" si="3"/>
        <v>8</v>
      </c>
      <c r="AC27" s="29" t="str">
        <f t="shared" si="4"/>
        <v>الجيد الثاني</v>
      </c>
      <c r="AE27" s="51">
        <f>'2 ALIYAH F'!U27</f>
        <v>6</v>
      </c>
      <c r="AF27" s="51">
        <f t="shared" si="9"/>
        <v>6</v>
      </c>
      <c r="AG27" s="52">
        <f t="shared" si="6"/>
        <v>12</v>
      </c>
      <c r="AH27" s="1"/>
      <c r="AI27" s="51" t="str">
        <f>'2 ALIYAH F'!V27</f>
        <v>-</v>
      </c>
      <c r="AJ27" s="51" t="str">
        <f>V27:V32</f>
        <v>-</v>
      </c>
      <c r="AK27" s="52">
        <f t="shared" si="8"/>
        <v>0</v>
      </c>
    </row>
    <row r="28" spans="1:37" s="2" customFormat="1" ht="25.15" customHeight="1" thickBot="1" x14ac:dyDescent="0.3">
      <c r="A28" s="71">
        <f>'2 ALIYAH F'!A28</f>
        <v>28</v>
      </c>
      <c r="B28" s="40" t="str">
        <f>'2 ALIYAH F'!B28</f>
        <v>SITI MALIKATUROHMAH</v>
      </c>
      <c r="C28" s="68">
        <f>'2 ALIYAH F'!C28</f>
        <v>2906</v>
      </c>
      <c r="D28" s="19" t="s">
        <v>40</v>
      </c>
      <c r="E28" s="3" t="str">
        <f t="shared" si="5"/>
        <v>٥</v>
      </c>
      <c r="F28" s="37">
        <v>5</v>
      </c>
      <c r="G28" s="37" t="s">
        <v>56</v>
      </c>
      <c r="H28" s="37">
        <v>8</v>
      </c>
      <c r="I28" s="37">
        <v>7</v>
      </c>
      <c r="J28" s="37">
        <v>5</v>
      </c>
      <c r="K28" s="37">
        <v>5</v>
      </c>
      <c r="L28" s="37">
        <v>6</v>
      </c>
      <c r="M28" s="37">
        <v>4</v>
      </c>
      <c r="N28" s="37">
        <v>7</v>
      </c>
      <c r="O28" s="37">
        <v>5</v>
      </c>
      <c r="P28" s="37">
        <v>7</v>
      </c>
      <c r="Q28" s="37">
        <v>7</v>
      </c>
      <c r="R28" s="37">
        <v>8</v>
      </c>
      <c r="S28" s="37">
        <v>8</v>
      </c>
      <c r="T28" s="4">
        <f t="shared" si="0"/>
        <v>82</v>
      </c>
      <c r="U28" s="44" t="s">
        <v>56</v>
      </c>
      <c r="V28" s="44" t="s">
        <v>56</v>
      </c>
      <c r="X28" s="27">
        <f>'2 ALIYAH F'!T28</f>
        <v>87</v>
      </c>
      <c r="Y28" s="27">
        <f t="shared" si="1"/>
        <v>82</v>
      </c>
      <c r="Z28" s="28">
        <f t="shared" si="2"/>
        <v>169</v>
      </c>
      <c r="AA28" s="27">
        <v>26</v>
      </c>
      <c r="AB28" s="28">
        <f t="shared" si="3"/>
        <v>7</v>
      </c>
      <c r="AC28" s="29" t="str">
        <f t="shared" si="4"/>
        <v>المتوسط الأول</v>
      </c>
      <c r="AE28" s="51" t="str">
        <f>'2 ALIYAH F'!U28</f>
        <v>-</v>
      </c>
      <c r="AF28" s="51" t="str">
        <f t="shared" si="9"/>
        <v>-</v>
      </c>
      <c r="AG28" s="52">
        <f t="shared" si="6"/>
        <v>0</v>
      </c>
      <c r="AH28" s="1"/>
      <c r="AI28" s="51" t="str">
        <f>'2 ALIYAH F'!V28</f>
        <v>-</v>
      </c>
      <c r="AJ28" s="51" t="str">
        <f>V28:V32</f>
        <v>-</v>
      </c>
      <c r="AK28" s="52">
        <f t="shared" si="8"/>
        <v>0</v>
      </c>
    </row>
    <row r="29" spans="1:37" s="2" customFormat="1" ht="25.15" customHeight="1" thickBot="1" x14ac:dyDescent="0.3">
      <c r="A29" s="71">
        <f>'2 ALIYAH F'!A29</f>
        <v>29</v>
      </c>
      <c r="B29" s="40" t="str">
        <f>'2 ALIYAH F'!B29</f>
        <v>SURINAH</v>
      </c>
      <c r="C29" s="68">
        <f>'2 ALIYAH F'!C29</f>
        <v>2784</v>
      </c>
      <c r="D29" s="19" t="s">
        <v>41</v>
      </c>
      <c r="E29" s="3" t="str">
        <f t="shared" si="5"/>
        <v>٨</v>
      </c>
      <c r="F29" s="37">
        <v>8</v>
      </c>
      <c r="G29" s="37" t="s">
        <v>56</v>
      </c>
      <c r="H29" s="37">
        <v>6</v>
      </c>
      <c r="I29" s="37">
        <v>7</v>
      </c>
      <c r="J29" s="37">
        <v>6</v>
      </c>
      <c r="K29" s="37">
        <v>7</v>
      </c>
      <c r="L29" s="37">
        <v>8</v>
      </c>
      <c r="M29" s="37">
        <v>6</v>
      </c>
      <c r="N29" s="37">
        <v>6</v>
      </c>
      <c r="O29" s="37">
        <v>7</v>
      </c>
      <c r="P29" s="37">
        <v>7</v>
      </c>
      <c r="Q29" s="37">
        <v>7</v>
      </c>
      <c r="R29" s="37">
        <v>8</v>
      </c>
      <c r="S29" s="37">
        <v>7</v>
      </c>
      <c r="T29" s="4">
        <f t="shared" si="0"/>
        <v>90</v>
      </c>
      <c r="U29" s="44" t="s">
        <v>56</v>
      </c>
      <c r="V29" s="44" t="s">
        <v>56</v>
      </c>
      <c r="X29" s="27">
        <f>'2 ALIYAH F'!T29</f>
        <v>92</v>
      </c>
      <c r="Y29" s="27">
        <f t="shared" si="1"/>
        <v>90</v>
      </c>
      <c r="Z29" s="28">
        <f t="shared" si="2"/>
        <v>182</v>
      </c>
      <c r="AA29" s="27">
        <v>26</v>
      </c>
      <c r="AB29" s="28">
        <f t="shared" si="3"/>
        <v>7</v>
      </c>
      <c r="AC29" s="29" t="str">
        <f t="shared" si="4"/>
        <v>المتوسط الأول</v>
      </c>
      <c r="AE29" s="51">
        <f>'2 ALIYAH F'!U29</f>
        <v>2</v>
      </c>
      <c r="AF29" s="51" t="str">
        <f t="shared" si="9"/>
        <v>-</v>
      </c>
      <c r="AG29" s="52">
        <f t="shared" si="6"/>
        <v>2</v>
      </c>
      <c r="AH29" s="1"/>
      <c r="AI29" s="51" t="str">
        <f>'2 ALIYAH F'!V29</f>
        <v>-</v>
      </c>
      <c r="AJ29" s="51" t="str">
        <f>V29:V32</f>
        <v>-</v>
      </c>
      <c r="AK29" s="52">
        <f t="shared" si="8"/>
        <v>0</v>
      </c>
    </row>
    <row r="30" spans="1:37" s="2" customFormat="1" ht="25.15" customHeight="1" thickBot="1" x14ac:dyDescent="0.3">
      <c r="A30" s="71">
        <f>'2 ALIYAH F'!A30</f>
        <v>30</v>
      </c>
      <c r="B30" s="40" t="str">
        <f>'2 ALIYAH F'!B30</f>
        <v>SYAKIRA GHINA FALIHA</v>
      </c>
      <c r="C30" s="68">
        <f>'2 ALIYAH F'!C30</f>
        <v>2711</v>
      </c>
      <c r="D30" s="19" t="s">
        <v>42</v>
      </c>
      <c r="E30" s="3" t="str">
        <f t="shared" si="5"/>
        <v>٩</v>
      </c>
      <c r="F30" s="37">
        <v>9</v>
      </c>
      <c r="G30" s="37" t="s">
        <v>56</v>
      </c>
      <c r="H30" s="37">
        <v>9</v>
      </c>
      <c r="I30" s="37">
        <v>9</v>
      </c>
      <c r="J30" s="37">
        <v>7</v>
      </c>
      <c r="K30" s="37">
        <v>8</v>
      </c>
      <c r="L30" s="37">
        <v>8</v>
      </c>
      <c r="M30" s="37">
        <v>8</v>
      </c>
      <c r="N30" s="37">
        <v>8</v>
      </c>
      <c r="O30" s="37">
        <v>6</v>
      </c>
      <c r="P30" s="37">
        <v>8</v>
      </c>
      <c r="Q30" s="37">
        <v>7</v>
      </c>
      <c r="R30" s="37">
        <v>8</v>
      </c>
      <c r="S30" s="37">
        <v>8</v>
      </c>
      <c r="T30" s="4">
        <f t="shared" si="0"/>
        <v>103</v>
      </c>
      <c r="U30" s="44" t="s">
        <v>56</v>
      </c>
      <c r="V30" s="44" t="s">
        <v>56</v>
      </c>
      <c r="X30" s="27">
        <f>'2 ALIYAH F'!T30</f>
        <v>104</v>
      </c>
      <c r="Y30" s="27">
        <f t="shared" si="1"/>
        <v>103</v>
      </c>
      <c r="Z30" s="28">
        <f t="shared" si="2"/>
        <v>207</v>
      </c>
      <c r="AA30" s="27">
        <v>26</v>
      </c>
      <c r="AB30" s="28">
        <f t="shared" si="3"/>
        <v>8</v>
      </c>
      <c r="AC30" s="29" t="str">
        <f t="shared" si="4"/>
        <v>الجيد الثاني</v>
      </c>
      <c r="AE30" s="51" t="str">
        <f>'2 ALIYAH F'!U30</f>
        <v>-</v>
      </c>
      <c r="AF30" s="51" t="str">
        <f t="shared" si="9"/>
        <v>-</v>
      </c>
      <c r="AG30" s="52">
        <f t="shared" si="6"/>
        <v>0</v>
      </c>
      <c r="AH30" s="1"/>
      <c r="AI30" s="51" t="str">
        <f>'2 ALIYAH F'!V30</f>
        <v>-</v>
      </c>
      <c r="AJ30" s="51" t="str">
        <f>V30:V32</f>
        <v>-</v>
      </c>
      <c r="AK30" s="52">
        <f t="shared" si="8"/>
        <v>0</v>
      </c>
    </row>
    <row r="31" spans="1:37" s="2" customFormat="1" ht="25.15" customHeight="1" thickBot="1" x14ac:dyDescent="0.3">
      <c r="A31" s="71">
        <f>'2 ALIYAH F'!A31</f>
        <v>31</v>
      </c>
      <c r="B31" s="40" t="str">
        <f>'2 ALIYAH F'!B31</f>
        <v>ZAHRO' NAILUL ULYA</v>
      </c>
      <c r="C31" s="68">
        <f>'2 ALIYAH F'!C31</f>
        <v>2883</v>
      </c>
      <c r="D31" s="19" t="s">
        <v>43</v>
      </c>
      <c r="E31" s="3" t="str">
        <f t="shared" si="5"/>
        <v>٩</v>
      </c>
      <c r="F31" s="37">
        <v>9</v>
      </c>
      <c r="G31" s="37" t="s">
        <v>56</v>
      </c>
      <c r="H31" s="37">
        <v>9</v>
      </c>
      <c r="I31" s="37">
        <v>9</v>
      </c>
      <c r="J31" s="37">
        <v>8</v>
      </c>
      <c r="K31" s="37">
        <v>9</v>
      </c>
      <c r="L31" s="37">
        <v>9</v>
      </c>
      <c r="M31" s="37">
        <v>6</v>
      </c>
      <c r="N31" s="37">
        <v>7</v>
      </c>
      <c r="O31" s="37">
        <v>9</v>
      </c>
      <c r="P31" s="37">
        <v>8</v>
      </c>
      <c r="Q31" s="37">
        <v>8</v>
      </c>
      <c r="R31" s="37">
        <v>8</v>
      </c>
      <c r="S31" s="37">
        <v>8</v>
      </c>
      <c r="T31" s="4">
        <f t="shared" si="0"/>
        <v>107</v>
      </c>
      <c r="U31" s="44">
        <v>1</v>
      </c>
      <c r="V31" s="44" t="s">
        <v>56</v>
      </c>
      <c r="X31" s="27">
        <f>'2 ALIYAH F'!T31</f>
        <v>110</v>
      </c>
      <c r="Y31" s="27">
        <f t="shared" si="1"/>
        <v>107</v>
      </c>
      <c r="Z31" s="28">
        <f t="shared" si="2"/>
        <v>217</v>
      </c>
      <c r="AA31" s="27">
        <v>26</v>
      </c>
      <c r="AB31" s="28">
        <f t="shared" si="3"/>
        <v>8</v>
      </c>
      <c r="AC31" s="29" t="str">
        <f t="shared" si="4"/>
        <v>الجيد الثاني</v>
      </c>
      <c r="AE31" s="51" t="str">
        <f>'2 ALIYAH F'!U31</f>
        <v>-</v>
      </c>
      <c r="AF31" s="51">
        <f t="shared" si="9"/>
        <v>1</v>
      </c>
      <c r="AG31" s="52">
        <f t="shared" si="6"/>
        <v>1</v>
      </c>
      <c r="AH31" s="1"/>
      <c r="AI31" s="51" t="str">
        <f>'2 ALIYAH F'!V31</f>
        <v>-</v>
      </c>
      <c r="AJ31" s="51" t="str">
        <f>V31:V32</f>
        <v>-</v>
      </c>
      <c r="AK31" s="52">
        <f t="shared" si="8"/>
        <v>0</v>
      </c>
    </row>
    <row r="32" spans="1:37" s="2" customFormat="1" ht="25.15" customHeight="1" thickBot="1" x14ac:dyDescent="0.3">
      <c r="A32" s="71">
        <f>'2 ALIYAH F'!A32</f>
        <v>32</v>
      </c>
      <c r="B32" s="40" t="str">
        <f>'2 ALIYAH F'!B32</f>
        <v>ZULFA HAFIFAH</v>
      </c>
      <c r="C32" s="68">
        <f>'2 ALIYAH F'!C32</f>
        <v>2914</v>
      </c>
      <c r="D32" s="19" t="s">
        <v>44</v>
      </c>
      <c r="E32" s="3" t="str">
        <f t="shared" si="5"/>
        <v>٨</v>
      </c>
      <c r="F32" s="37">
        <v>8</v>
      </c>
      <c r="G32" s="37" t="s">
        <v>56</v>
      </c>
      <c r="H32" s="37">
        <v>9</v>
      </c>
      <c r="I32" s="37">
        <v>9</v>
      </c>
      <c r="J32" s="37">
        <v>8</v>
      </c>
      <c r="K32" s="37">
        <v>8</v>
      </c>
      <c r="L32" s="37">
        <v>9</v>
      </c>
      <c r="M32" s="37">
        <v>5</v>
      </c>
      <c r="N32" s="37">
        <v>8</v>
      </c>
      <c r="O32" s="37">
        <v>9</v>
      </c>
      <c r="P32" s="37">
        <v>8</v>
      </c>
      <c r="Q32" s="37">
        <v>8</v>
      </c>
      <c r="R32" s="37">
        <v>8</v>
      </c>
      <c r="S32" s="37">
        <v>8</v>
      </c>
      <c r="T32" s="4">
        <f t="shared" si="0"/>
        <v>105</v>
      </c>
      <c r="U32" s="44">
        <v>1</v>
      </c>
      <c r="V32" s="44" t="s">
        <v>56</v>
      </c>
      <c r="X32" s="27">
        <f>'2 ALIYAH F'!T32</f>
        <v>107</v>
      </c>
      <c r="Y32" s="27">
        <f t="shared" si="1"/>
        <v>105</v>
      </c>
      <c r="Z32" s="28">
        <f t="shared" si="2"/>
        <v>212</v>
      </c>
      <c r="AA32" s="27">
        <v>26</v>
      </c>
      <c r="AB32" s="28">
        <f t="shared" si="3"/>
        <v>8</v>
      </c>
      <c r="AC32" s="29" t="str">
        <f t="shared" si="4"/>
        <v>الجيد الثاني</v>
      </c>
      <c r="AE32" s="51" t="str">
        <f>'2 ALIYAH F'!U32</f>
        <v>-</v>
      </c>
      <c r="AF32" s="51">
        <f t="shared" si="9"/>
        <v>1</v>
      </c>
      <c r="AG32" s="52">
        <f t="shared" si="6"/>
        <v>1</v>
      </c>
      <c r="AH32" s="1"/>
      <c r="AI32" s="51" t="str">
        <f>'2 ALIYAH F'!V32</f>
        <v>-</v>
      </c>
      <c r="AJ32" s="51" t="str">
        <f>V32:V32</f>
        <v>-</v>
      </c>
      <c r="AK32" s="52">
        <f t="shared" si="8"/>
        <v>0</v>
      </c>
    </row>
    <row r="33" spans="1:37" s="2" customFormat="1" ht="25.15" customHeight="1" x14ac:dyDescent="0.25">
      <c r="A33" s="35"/>
      <c r="B33" s="10" t="s">
        <v>50</v>
      </c>
      <c r="C33" s="7"/>
      <c r="D33" s="7"/>
      <c r="E33" s="3" t="str">
        <f t="shared" ref="E33" si="10">TEXT(F33,"[$-2000000]0")</f>
        <v>٢٣٨</v>
      </c>
      <c r="F33" s="38">
        <f t="array" ref="F33">SUM(F2:F32)</f>
        <v>238</v>
      </c>
      <c r="G33" s="8">
        <f t="shared" ref="G33:S33" si="11">SUM(G2:G32)</f>
        <v>0</v>
      </c>
      <c r="H33" s="8">
        <f>SUM(H2:H32)</f>
        <v>251</v>
      </c>
      <c r="I33" s="24">
        <f t="shared" si="11"/>
        <v>258</v>
      </c>
      <c r="J33" s="8">
        <f t="shared" si="11"/>
        <v>226</v>
      </c>
      <c r="K33" s="8">
        <f t="shared" si="11"/>
        <v>223</v>
      </c>
      <c r="L33" s="8">
        <f t="shared" si="11"/>
        <v>248</v>
      </c>
      <c r="M33" s="8">
        <f t="shared" si="11"/>
        <v>206</v>
      </c>
      <c r="N33" s="8">
        <f t="shared" si="11"/>
        <v>200</v>
      </c>
      <c r="O33" s="24">
        <f t="shared" si="11"/>
        <v>228</v>
      </c>
      <c r="P33" s="8">
        <f t="shared" si="11"/>
        <v>238</v>
      </c>
      <c r="Q33" s="8">
        <f t="shared" si="11"/>
        <v>231</v>
      </c>
      <c r="R33" s="8">
        <f t="shared" si="11"/>
        <v>248</v>
      </c>
      <c r="S33" s="8">
        <f t="shared" si="11"/>
        <v>245</v>
      </c>
      <c r="T33" s="8"/>
      <c r="U33" s="44" t="s">
        <v>56</v>
      </c>
      <c r="V33" s="44" t="s">
        <v>56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 spans="1:37" s="2" customFormat="1" ht="25.15" customHeight="1" x14ac:dyDescent="0.25">
      <c r="A34" s="17"/>
      <c r="B34" s="7"/>
      <c r="C34" s="7"/>
      <c r="D34" s="7"/>
      <c r="E34" s="3"/>
      <c r="F34" s="5"/>
      <c r="G34" s="5"/>
      <c r="H34" s="5"/>
      <c r="I34" s="25"/>
      <c r="J34" s="5"/>
      <c r="K34" s="5"/>
      <c r="L34" s="5"/>
      <c r="M34" s="5"/>
      <c r="N34" s="5"/>
      <c r="O34" s="25"/>
      <c r="P34" s="5"/>
      <c r="Q34" s="5"/>
      <c r="R34" s="5"/>
      <c r="S34" s="5"/>
      <c r="T34" s="6"/>
      <c r="U34" s="44" t="s">
        <v>56</v>
      </c>
      <c r="V34" s="44" t="s">
        <v>56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 spans="1:37" s="2" customFormat="1" ht="25.15" customHeight="1" x14ac:dyDescent="0.25">
      <c r="A35" s="17"/>
      <c r="B35" s="221" t="s">
        <v>339</v>
      </c>
      <c r="C35" s="7"/>
      <c r="D35" s="7"/>
      <c r="E35" s="3"/>
      <c r="F35" s="5"/>
      <c r="G35" s="5"/>
      <c r="H35" s="5"/>
      <c r="I35" s="25"/>
      <c r="J35" s="5"/>
      <c r="K35" s="5"/>
      <c r="L35" s="5"/>
      <c r="M35" s="5"/>
      <c r="N35" s="5"/>
      <c r="O35" s="25"/>
      <c r="P35" s="5"/>
      <c r="Q35" s="5"/>
      <c r="R35" s="5"/>
      <c r="S35" s="5"/>
      <c r="T35" s="5"/>
      <c r="U35"/>
      <c r="V35"/>
      <c r="X35" s="28"/>
      <c r="Y35" s="28"/>
      <c r="Z35" s="28"/>
      <c r="AA35" s="28"/>
      <c r="AB35" s="28"/>
      <c r="AC35" s="28"/>
      <c r="AE35" s="53"/>
      <c r="AF35" s="53"/>
      <c r="AG35" s="54"/>
      <c r="AH35"/>
      <c r="AI35" s="53"/>
      <c r="AJ35" s="53"/>
      <c r="AK35" s="55"/>
    </row>
    <row r="36" spans="1:37" s="9" customFormat="1" ht="25.15" customHeight="1" x14ac:dyDescent="0.25">
      <c r="A36" s="17"/>
      <c r="B36" s="7"/>
      <c r="C36" s="7"/>
      <c r="D36" s="7"/>
      <c r="E36" s="3"/>
      <c r="F36" s="5"/>
      <c r="G36" s="5"/>
      <c r="H36" s="5"/>
      <c r="I36" s="25"/>
      <c r="J36" s="5"/>
      <c r="K36" s="5"/>
      <c r="L36" s="5"/>
      <c r="M36" s="5"/>
      <c r="N36" s="5"/>
      <c r="O36" s="25"/>
      <c r="P36" s="5"/>
      <c r="Q36" s="5"/>
      <c r="R36" s="5"/>
      <c r="S36" s="5"/>
      <c r="T36" s="5"/>
      <c r="U36"/>
      <c r="V36"/>
      <c r="W36" s="2"/>
      <c r="X36" s="32"/>
      <c r="Y36" s="32"/>
      <c r="Z36" s="32"/>
      <c r="AA36" s="32"/>
      <c r="AB36" s="32"/>
      <c r="AC36" s="32"/>
      <c r="AD36" s="2"/>
      <c r="AE36" s="53"/>
      <c r="AF36" s="53"/>
      <c r="AG36" s="54"/>
      <c r="AH36"/>
      <c r="AI36" s="53"/>
      <c r="AJ36" s="53"/>
      <c r="AK36" s="55"/>
    </row>
    <row r="37" spans="1:37" ht="25.15" customHeight="1" x14ac:dyDescent="0.25">
      <c r="A37" s="17"/>
      <c r="B37" s="7"/>
      <c r="C37" s="7"/>
      <c r="D37" s="7"/>
      <c r="E37" s="3"/>
      <c r="F37" s="5"/>
      <c r="G37" s="4"/>
      <c r="H37" s="14" t="s">
        <v>49</v>
      </c>
      <c r="I37" s="23"/>
      <c r="J37" s="5"/>
      <c r="K37" s="5"/>
      <c r="L37" s="5"/>
      <c r="M37" s="5"/>
      <c r="N37" s="5"/>
      <c r="O37" s="25"/>
      <c r="P37" s="5"/>
      <c r="Q37" s="5"/>
      <c r="R37" s="5"/>
      <c r="S37" s="5"/>
      <c r="T37" s="5"/>
      <c r="X37" s="32"/>
      <c r="Y37" s="32"/>
      <c r="Z37" s="32"/>
      <c r="AA37" s="32"/>
      <c r="AB37" s="32"/>
      <c r="AC37" s="32"/>
      <c r="AE37" s="53"/>
      <c r="AF37" s="53"/>
      <c r="AG37" s="54"/>
      <c r="AI37" s="53"/>
      <c r="AJ37" s="53"/>
      <c r="AK37" s="55"/>
    </row>
    <row r="38" spans="1:37" ht="25.15" customHeight="1" x14ac:dyDescent="0.25">
      <c r="A38" s="17"/>
      <c r="B38" s="7"/>
      <c r="C38" s="7"/>
      <c r="D38" s="7"/>
      <c r="E38" s="3"/>
      <c r="F38" s="5"/>
      <c r="G38" s="5"/>
      <c r="H38" s="16">
        <f>E33/D32</f>
        <v>8</v>
      </c>
      <c r="I38" s="251" t="s">
        <v>338</v>
      </c>
      <c r="J38" s="5"/>
      <c r="K38" s="5"/>
      <c r="L38" s="5"/>
      <c r="M38" s="5"/>
      <c r="N38" s="5"/>
      <c r="O38" s="25"/>
      <c r="P38" s="5"/>
      <c r="Q38" s="5"/>
      <c r="R38" s="5"/>
      <c r="S38" s="5"/>
      <c r="T38" s="5"/>
      <c r="U38" s="45"/>
      <c r="V38" s="45"/>
      <c r="X38" s="32"/>
      <c r="Y38" s="32"/>
      <c r="Z38" s="32"/>
      <c r="AA38" s="32"/>
      <c r="AB38" s="32"/>
      <c r="AC38" s="32"/>
      <c r="AE38" s="53"/>
      <c r="AF38" s="53"/>
      <c r="AG38" s="54"/>
      <c r="AI38" s="53"/>
      <c r="AJ38" s="53"/>
      <c r="AK38" s="55"/>
    </row>
    <row r="39" spans="1:37" s="18" customFormat="1" ht="25.15" customHeight="1" x14ac:dyDescent="0.25">
      <c r="A39" s="17"/>
      <c r="B39" s="7"/>
      <c r="C39" s="7"/>
      <c r="D39" s="7"/>
      <c r="E39" s="3"/>
      <c r="F39" s="5"/>
      <c r="G39" s="5"/>
      <c r="H39" s="33">
        <f>G33/D32</f>
        <v>0</v>
      </c>
      <c r="I39" s="25"/>
      <c r="J39" s="5"/>
      <c r="K39" s="5"/>
      <c r="L39" s="5"/>
      <c r="M39" s="5"/>
      <c r="N39" s="5"/>
      <c r="O39" s="25"/>
      <c r="P39" s="5"/>
      <c r="Q39" s="5"/>
      <c r="R39" s="5"/>
      <c r="S39" s="5"/>
      <c r="T39" s="5"/>
      <c r="U39" s="45"/>
      <c r="V39" s="45"/>
      <c r="X39" s="32"/>
      <c r="Y39" s="32"/>
      <c r="Z39" s="32"/>
      <c r="AA39" s="32"/>
      <c r="AB39" s="32"/>
      <c r="AC39" s="32"/>
      <c r="AE39" s="53"/>
      <c r="AF39" s="53"/>
      <c r="AG39" s="54"/>
      <c r="AH39"/>
      <c r="AI39" s="53"/>
      <c r="AJ39" s="53"/>
      <c r="AK39" s="55"/>
    </row>
    <row r="40" spans="1:37" s="18" customFormat="1" ht="25.15" customHeight="1" x14ac:dyDescent="0.25">
      <c r="A40" s="17"/>
      <c r="B40" s="7"/>
      <c r="C40" s="7"/>
      <c r="D40" s="7"/>
      <c r="E40" s="3"/>
      <c r="F40" s="5"/>
      <c r="G40" s="5"/>
      <c r="H40" s="16">
        <f>H33/D32</f>
        <v>8</v>
      </c>
      <c r="I40" s="25"/>
      <c r="J40" s="5"/>
      <c r="K40" s="5"/>
      <c r="L40" s="5"/>
      <c r="M40" s="5"/>
      <c r="N40" s="5"/>
      <c r="O40" s="25"/>
      <c r="P40" s="5"/>
      <c r="Q40" s="5"/>
      <c r="R40" s="5"/>
      <c r="S40" s="5"/>
      <c r="T40" s="5"/>
      <c r="U40" s="45"/>
      <c r="V40" s="45"/>
      <c r="X40" s="32"/>
      <c r="Y40" s="32"/>
      <c r="Z40" s="32"/>
      <c r="AA40" s="32"/>
      <c r="AB40" s="32"/>
      <c r="AC40" s="32"/>
      <c r="AE40" s="53"/>
      <c r="AF40" s="53"/>
      <c r="AG40" s="54"/>
      <c r="AH40"/>
      <c r="AI40" s="53"/>
      <c r="AJ40" s="53"/>
      <c r="AK40" s="55"/>
    </row>
    <row r="41" spans="1:37" s="18" customFormat="1" ht="25.15" customHeight="1" x14ac:dyDescent="0.25">
      <c r="A41" s="17"/>
      <c r="B41" s="7"/>
      <c r="C41" s="7"/>
      <c r="D41" s="7"/>
      <c r="E41" s="3"/>
      <c r="F41" s="5"/>
      <c r="G41" s="5"/>
      <c r="H41" s="16">
        <f>I33/D32</f>
        <v>8</v>
      </c>
      <c r="I41" s="25"/>
      <c r="J41" s="5"/>
      <c r="K41" s="5"/>
      <c r="L41" s="5"/>
      <c r="M41" s="5"/>
      <c r="N41" s="5"/>
      <c r="O41" s="25"/>
      <c r="P41" s="5"/>
      <c r="Q41" s="5"/>
      <c r="R41" s="5"/>
      <c r="S41" s="5"/>
      <c r="T41" s="5"/>
      <c r="U41" s="45"/>
      <c r="V41" s="45"/>
      <c r="X41" s="32"/>
      <c r="Y41" s="32"/>
      <c r="Z41" s="32"/>
      <c r="AA41" s="32"/>
      <c r="AB41" s="32"/>
      <c r="AC41" s="32"/>
      <c r="AE41" s="53"/>
      <c r="AF41" s="53"/>
      <c r="AG41" s="54"/>
      <c r="AH41"/>
      <c r="AI41" s="53"/>
      <c r="AJ41" s="53"/>
      <c r="AK41" s="55"/>
    </row>
    <row r="42" spans="1:37" s="18" customFormat="1" ht="25.15" customHeight="1" x14ac:dyDescent="0.25">
      <c r="A42" s="17"/>
      <c r="B42" s="7"/>
      <c r="C42" s="7"/>
      <c r="D42" s="7"/>
      <c r="E42" s="3"/>
      <c r="F42" s="5"/>
      <c r="G42" s="5"/>
      <c r="H42" s="16">
        <f>J33/D32</f>
        <v>7</v>
      </c>
      <c r="I42" s="25"/>
      <c r="J42" s="5"/>
      <c r="K42" s="5"/>
      <c r="L42" s="5"/>
      <c r="M42" s="5"/>
      <c r="N42" s="5"/>
      <c r="O42" s="25"/>
      <c r="P42" s="5"/>
      <c r="Q42" s="5"/>
      <c r="R42" s="5"/>
      <c r="S42" s="5"/>
      <c r="T42" s="5"/>
      <c r="U42" s="45"/>
      <c r="V42" s="45"/>
      <c r="X42" s="32"/>
      <c r="Y42" s="32"/>
      <c r="Z42" s="32"/>
      <c r="AA42" s="32"/>
      <c r="AB42" s="32"/>
      <c r="AC42" s="32"/>
      <c r="AE42" s="53"/>
      <c r="AF42" s="53"/>
      <c r="AG42" s="54"/>
      <c r="AH42"/>
      <c r="AI42" s="53"/>
      <c r="AJ42" s="53"/>
      <c r="AK42" s="55"/>
    </row>
    <row r="43" spans="1:37" s="18" customFormat="1" ht="25.15" customHeight="1" x14ac:dyDescent="0.25">
      <c r="A43" s="17"/>
      <c r="B43" s="7"/>
      <c r="C43" s="7"/>
      <c r="D43" s="7"/>
      <c r="E43" s="3"/>
      <c r="F43" s="5"/>
      <c r="G43" s="5"/>
      <c r="H43" s="16">
        <f>K33/D32</f>
        <v>7</v>
      </c>
      <c r="I43" s="25"/>
      <c r="J43" s="5"/>
      <c r="K43" s="5"/>
      <c r="L43" s="5"/>
      <c r="M43" s="5"/>
      <c r="N43" s="5"/>
      <c r="O43" s="25"/>
      <c r="P43" s="5"/>
      <c r="Q43" s="5"/>
      <c r="R43" s="5"/>
      <c r="S43" s="5"/>
      <c r="T43" s="5"/>
      <c r="U43" s="45"/>
      <c r="V43" s="45"/>
      <c r="X43" s="32"/>
      <c r="Y43" s="32"/>
      <c r="Z43" s="32"/>
      <c r="AA43" s="32"/>
      <c r="AB43" s="32"/>
      <c r="AC43" s="32"/>
      <c r="AE43" s="53"/>
      <c r="AF43" s="53"/>
      <c r="AG43" s="54"/>
      <c r="AH43"/>
      <c r="AI43" s="53"/>
      <c r="AJ43" s="53"/>
      <c r="AK43" s="55"/>
    </row>
    <row r="44" spans="1:37" s="18" customFormat="1" ht="25.15" customHeight="1" x14ac:dyDescent="0.25">
      <c r="A44" s="17"/>
      <c r="B44" s="7"/>
      <c r="C44" s="7"/>
      <c r="D44" s="7"/>
      <c r="E44" s="3"/>
      <c r="F44" s="5"/>
      <c r="G44" s="5"/>
      <c r="H44" s="16">
        <f>L33/D32</f>
        <v>8</v>
      </c>
      <c r="I44" s="25"/>
      <c r="J44" s="5"/>
      <c r="K44" s="5"/>
      <c r="L44" s="5"/>
      <c r="M44" s="5"/>
      <c r="N44" s="5"/>
      <c r="O44" s="25"/>
      <c r="P44" s="5"/>
      <c r="Q44" s="5"/>
      <c r="R44" s="5"/>
      <c r="S44" s="5"/>
      <c r="T44" s="5"/>
      <c r="U44" s="45"/>
      <c r="V44" s="45"/>
      <c r="X44" s="32"/>
      <c r="Y44" s="32"/>
      <c r="Z44" s="32"/>
      <c r="AA44" s="32"/>
      <c r="AB44" s="32"/>
      <c r="AC44" s="32"/>
      <c r="AE44" s="53"/>
      <c r="AF44" s="53"/>
      <c r="AG44" s="54"/>
      <c r="AH44"/>
      <c r="AI44" s="53"/>
      <c r="AJ44" s="53"/>
      <c r="AK44" s="55"/>
    </row>
    <row r="45" spans="1:37" s="18" customFormat="1" ht="25.15" customHeight="1" x14ac:dyDescent="0.25">
      <c r="A45" s="17"/>
      <c r="B45" s="7"/>
      <c r="C45" s="7"/>
      <c r="D45" s="7"/>
      <c r="E45" s="3"/>
      <c r="F45" s="5"/>
      <c r="G45" s="5"/>
      <c r="H45" s="16">
        <f>M33/D32</f>
        <v>7</v>
      </c>
      <c r="I45" s="25"/>
      <c r="J45" s="5"/>
      <c r="K45" s="5"/>
      <c r="L45" s="5"/>
      <c r="M45" s="5"/>
      <c r="N45" s="5"/>
      <c r="O45" s="25"/>
      <c r="P45" s="5"/>
      <c r="Q45" s="5"/>
      <c r="R45" s="5"/>
      <c r="S45" s="5"/>
      <c r="T45" s="5"/>
      <c r="U45" s="45"/>
      <c r="V45" s="45"/>
      <c r="X45" s="32"/>
      <c r="Y45" s="32"/>
      <c r="Z45" s="32"/>
      <c r="AA45" s="32"/>
      <c r="AB45" s="32"/>
      <c r="AC45" s="32"/>
      <c r="AE45" s="53"/>
      <c r="AF45" s="53"/>
      <c r="AG45" s="54"/>
      <c r="AH45"/>
      <c r="AI45" s="53"/>
      <c r="AJ45" s="53"/>
      <c r="AK45" s="55"/>
    </row>
    <row r="46" spans="1:37" s="18" customFormat="1" ht="25.15" customHeight="1" x14ac:dyDescent="0.25">
      <c r="A46" s="17"/>
      <c r="B46" s="7"/>
      <c r="C46" s="7"/>
      <c r="D46" s="7"/>
      <c r="E46" s="3"/>
      <c r="F46" s="5"/>
      <c r="G46" s="5"/>
      <c r="H46" s="106">
        <f>N33/D32</f>
        <v>6</v>
      </c>
      <c r="I46" s="25"/>
      <c r="J46" s="5"/>
      <c r="K46" s="5"/>
      <c r="L46" s="5"/>
      <c r="M46" s="5"/>
      <c r="N46" s="5"/>
      <c r="O46" s="25"/>
      <c r="P46" s="5"/>
      <c r="Q46" s="5"/>
      <c r="R46" s="5"/>
      <c r="S46" s="5"/>
      <c r="T46" s="5"/>
      <c r="U46" s="45"/>
      <c r="V46" s="45"/>
      <c r="X46" s="32"/>
      <c r="Y46" s="32"/>
      <c r="Z46" s="32"/>
      <c r="AA46" s="32"/>
      <c r="AB46" s="32"/>
      <c r="AC46" s="32"/>
      <c r="AE46" s="53"/>
      <c r="AF46" s="53"/>
      <c r="AG46" s="54"/>
      <c r="AH46"/>
      <c r="AI46" s="53"/>
      <c r="AJ46" s="53"/>
      <c r="AK46" s="55"/>
    </row>
    <row r="47" spans="1:37" s="18" customFormat="1" ht="25.15" customHeight="1" x14ac:dyDescent="0.25">
      <c r="A47" s="17"/>
      <c r="B47" s="7"/>
      <c r="C47" s="7"/>
      <c r="D47" s="7"/>
      <c r="E47" s="3"/>
      <c r="F47" s="5"/>
      <c r="G47" s="5"/>
      <c r="H47" s="16">
        <f>O33/D32</f>
        <v>7</v>
      </c>
      <c r="I47" s="25"/>
      <c r="J47" s="5"/>
      <c r="K47" s="5"/>
      <c r="L47" s="5"/>
      <c r="M47" s="5"/>
      <c r="N47" s="5"/>
      <c r="O47" s="25"/>
      <c r="P47" s="5"/>
      <c r="Q47" s="5"/>
      <c r="R47" s="5"/>
      <c r="S47" s="5"/>
      <c r="T47" s="5"/>
      <c r="U47" s="45"/>
      <c r="V47" s="45"/>
      <c r="X47" s="32"/>
      <c r="Y47" s="32"/>
      <c r="Z47" s="32"/>
      <c r="AA47" s="32"/>
      <c r="AB47" s="32"/>
      <c r="AC47" s="32"/>
      <c r="AE47" s="53"/>
      <c r="AF47" s="53"/>
      <c r="AG47" s="54"/>
      <c r="AH47"/>
      <c r="AI47" s="53"/>
      <c r="AJ47" s="53"/>
      <c r="AK47" s="55"/>
    </row>
    <row r="48" spans="1:37" s="18" customFormat="1" ht="25.15" customHeight="1" x14ac:dyDescent="0.25">
      <c r="A48" s="17"/>
      <c r="B48" s="7"/>
      <c r="C48" s="7"/>
      <c r="D48" s="7"/>
      <c r="E48" s="3"/>
      <c r="F48" s="5"/>
      <c r="G48" s="5"/>
      <c r="H48" s="16">
        <f>P33/D32</f>
        <v>8</v>
      </c>
      <c r="I48" s="25"/>
      <c r="J48" s="5"/>
      <c r="K48" s="5"/>
      <c r="L48" s="5"/>
      <c r="M48" s="5"/>
      <c r="N48" s="5"/>
      <c r="O48" s="25"/>
      <c r="P48" s="5"/>
      <c r="Q48" s="5"/>
      <c r="R48" s="5"/>
      <c r="S48" s="5"/>
      <c r="T48" s="5"/>
      <c r="U48" s="45"/>
      <c r="V48" s="45"/>
      <c r="X48" s="32"/>
      <c r="Y48" s="32"/>
      <c r="Z48" s="32"/>
      <c r="AA48" s="32"/>
      <c r="AB48" s="32"/>
      <c r="AC48" s="32"/>
      <c r="AE48" s="53"/>
      <c r="AF48" s="53"/>
      <c r="AG48" s="54"/>
      <c r="AH48"/>
      <c r="AI48" s="53"/>
      <c r="AJ48" s="53"/>
      <c r="AK48" s="55"/>
    </row>
    <row r="49" spans="1:37" s="18" customFormat="1" ht="25.15" customHeight="1" x14ac:dyDescent="0.25">
      <c r="A49" s="17"/>
      <c r="B49" s="7"/>
      <c r="C49" s="7"/>
      <c r="D49" s="7"/>
      <c r="E49" s="3"/>
      <c r="F49" s="5"/>
      <c r="G49" s="5"/>
      <c r="H49" s="106">
        <f>Q33/D32</f>
        <v>7</v>
      </c>
      <c r="I49" s="25"/>
      <c r="J49" s="5"/>
      <c r="K49" s="5"/>
      <c r="L49" s="5"/>
      <c r="M49" s="5"/>
      <c r="N49" s="5"/>
      <c r="O49" s="25"/>
      <c r="P49" s="5"/>
      <c r="Q49" s="5"/>
      <c r="R49" s="5"/>
      <c r="S49" s="5"/>
      <c r="T49" s="5"/>
      <c r="U49" s="45"/>
      <c r="V49" s="45"/>
      <c r="X49" s="32"/>
      <c r="Y49" s="32"/>
      <c r="Z49" s="32"/>
      <c r="AA49" s="32"/>
      <c r="AB49" s="32"/>
      <c r="AC49" s="32"/>
      <c r="AE49" s="53"/>
      <c r="AF49" s="53"/>
      <c r="AG49" s="54"/>
      <c r="AH49"/>
      <c r="AI49" s="53"/>
      <c r="AJ49" s="53"/>
      <c r="AK49" s="55"/>
    </row>
    <row r="50" spans="1:37" s="18" customFormat="1" ht="25.15" customHeight="1" x14ac:dyDescent="0.25">
      <c r="A50" s="17"/>
      <c r="B50" s="7"/>
      <c r="C50" s="7"/>
      <c r="D50" s="7"/>
      <c r="E50" s="3"/>
      <c r="F50" s="5"/>
      <c r="G50" s="5"/>
      <c r="H50" s="16">
        <f>R33/D32</f>
        <v>8</v>
      </c>
      <c r="I50" s="25"/>
      <c r="J50" s="5"/>
      <c r="K50" s="5"/>
      <c r="L50" s="5"/>
      <c r="M50" s="5"/>
      <c r="N50" s="5"/>
      <c r="O50" s="25"/>
      <c r="P50" s="5"/>
      <c r="Q50" s="5"/>
      <c r="R50" s="5"/>
      <c r="S50" s="5"/>
      <c r="T50" s="5"/>
      <c r="U50" s="45"/>
      <c r="V50" s="45"/>
      <c r="X50" s="32"/>
      <c r="Y50" s="32"/>
      <c r="Z50" s="32"/>
      <c r="AA50" s="32"/>
      <c r="AB50" s="32"/>
      <c r="AC50" s="32"/>
      <c r="AE50" s="53"/>
      <c r="AF50" s="53"/>
      <c r="AG50" s="54"/>
      <c r="AH50"/>
      <c r="AI50" s="53"/>
      <c r="AJ50" s="53"/>
      <c r="AK50" s="55"/>
    </row>
    <row r="51" spans="1:37" s="18" customFormat="1" ht="25.15" customHeight="1" x14ac:dyDescent="0.25">
      <c r="A51" s="17"/>
      <c r="B51" s="7"/>
      <c r="C51" s="7"/>
      <c r="D51" s="7"/>
      <c r="E51" s="3"/>
      <c r="F51" s="5"/>
      <c r="G51" s="5"/>
      <c r="H51" s="16">
        <f>S33/D32</f>
        <v>8</v>
      </c>
      <c r="I51" s="25"/>
      <c r="J51" s="5"/>
      <c r="K51" s="5"/>
      <c r="L51" s="5"/>
      <c r="M51" s="5"/>
      <c r="N51" s="5"/>
      <c r="O51" s="25"/>
      <c r="P51" s="5"/>
      <c r="Q51" s="5"/>
      <c r="R51" s="5"/>
      <c r="S51" s="5"/>
      <c r="T51" s="5"/>
      <c r="U51" s="45"/>
      <c r="V51" s="45"/>
      <c r="X51" s="32"/>
      <c r="Y51" s="32"/>
      <c r="Z51" s="32"/>
      <c r="AA51" s="32"/>
      <c r="AB51" s="32"/>
      <c r="AC51" s="32"/>
      <c r="AE51" s="53"/>
      <c r="AF51" s="53"/>
      <c r="AG51" s="54"/>
      <c r="AH51"/>
      <c r="AI51" s="53"/>
      <c r="AJ51" s="53"/>
      <c r="AK51" s="55"/>
    </row>
    <row r="52" spans="1:37" s="18" customFormat="1" ht="25.15" customHeight="1" x14ac:dyDescent="0.25">
      <c r="A52" s="17"/>
      <c r="B52" s="7"/>
      <c r="C52" s="7"/>
      <c r="D52" s="7"/>
      <c r="E52" s="3"/>
      <c r="F52" s="5"/>
      <c r="G52" s="5"/>
      <c r="H52" s="15">
        <f>SUM(H38:H51)</f>
        <v>97</v>
      </c>
      <c r="I52" s="25"/>
      <c r="J52" s="5"/>
      <c r="K52" s="5"/>
      <c r="L52" s="5"/>
      <c r="M52" s="5"/>
      <c r="N52" s="5"/>
      <c r="O52" s="25"/>
      <c r="P52" s="5"/>
      <c r="Q52" s="5"/>
      <c r="R52" s="5"/>
      <c r="S52" s="5"/>
      <c r="T52" s="5"/>
      <c r="U52" s="45"/>
      <c r="V52" s="45"/>
      <c r="X52" s="32"/>
      <c r="Y52" s="32"/>
      <c r="Z52" s="32"/>
      <c r="AA52" s="32"/>
      <c r="AB52" s="32"/>
      <c r="AC52" s="32"/>
      <c r="AE52" s="53"/>
      <c r="AF52" s="53"/>
      <c r="AG52" s="54"/>
      <c r="AH52"/>
      <c r="AI52" s="53"/>
      <c r="AJ52" s="53"/>
      <c r="AK52" s="55"/>
    </row>
    <row r="53" spans="1:37" s="18" customFormat="1" ht="25.15" customHeight="1" x14ac:dyDescent="0.25">
      <c r="A53" s="17"/>
      <c r="B53" s="7"/>
      <c r="C53" s="7"/>
      <c r="D53" s="7"/>
      <c r="E53" s="3"/>
      <c r="F53" s="5"/>
      <c r="G53" s="5"/>
      <c r="H53" s="5"/>
      <c r="I53" s="25"/>
      <c r="J53" s="5"/>
      <c r="K53" s="5"/>
      <c r="L53" s="5"/>
      <c r="M53" s="5"/>
      <c r="N53" s="5"/>
      <c r="O53" s="25"/>
      <c r="P53" s="5"/>
      <c r="Q53" s="5"/>
      <c r="R53" s="5"/>
      <c r="S53" s="5"/>
      <c r="T53" s="5"/>
      <c r="U53" s="45"/>
      <c r="V53" s="45"/>
      <c r="X53" s="32"/>
      <c r="Y53" s="32"/>
      <c r="Z53" s="32"/>
      <c r="AA53" s="32"/>
      <c r="AB53" s="32"/>
      <c r="AC53" s="32"/>
      <c r="AE53" s="53"/>
      <c r="AF53" s="53"/>
      <c r="AG53" s="54"/>
      <c r="AH53"/>
      <c r="AI53" s="53"/>
      <c r="AJ53" s="53"/>
      <c r="AK53" s="55"/>
    </row>
    <row r="54" spans="1:37" s="18" customFormat="1" ht="25.15" customHeight="1" x14ac:dyDescent="0.25">
      <c r="A54" s="17"/>
      <c r="B54" s="7"/>
      <c r="C54" s="7"/>
      <c r="D54" s="7"/>
      <c r="E54" s="3"/>
      <c r="F54" s="5"/>
      <c r="G54" s="5"/>
      <c r="H54" s="5"/>
      <c r="I54" s="25"/>
      <c r="J54" s="5"/>
      <c r="K54" s="5"/>
      <c r="L54" s="5"/>
      <c r="M54" s="5"/>
      <c r="N54" s="5"/>
      <c r="O54" s="25"/>
      <c r="P54" s="5"/>
      <c r="Q54" s="5"/>
      <c r="R54" s="5"/>
      <c r="S54" s="5"/>
      <c r="T54" s="5"/>
      <c r="U54" s="45"/>
      <c r="V54" s="45"/>
      <c r="X54" s="32"/>
      <c r="Y54" s="32"/>
      <c r="Z54" s="32"/>
      <c r="AA54" s="32"/>
      <c r="AB54" s="32"/>
      <c r="AC54" s="32"/>
      <c r="AE54" s="53"/>
      <c r="AF54" s="53"/>
      <c r="AG54" s="54"/>
      <c r="AH54"/>
      <c r="AI54" s="53"/>
      <c r="AJ54" s="53"/>
      <c r="AK54" s="55"/>
    </row>
    <row r="55" spans="1:37" s="18" customFormat="1" ht="25.15" customHeight="1" x14ac:dyDescent="0.25">
      <c r="A55" s="17"/>
      <c r="B55" s="7"/>
      <c r="C55" s="7"/>
      <c r="D55" s="7"/>
      <c r="E55" s="3"/>
      <c r="F55" s="5"/>
      <c r="G55" s="5"/>
      <c r="H55" s="5"/>
      <c r="I55" s="25"/>
      <c r="J55" s="5"/>
      <c r="K55" s="5"/>
      <c r="L55" s="5"/>
      <c r="M55" s="5"/>
      <c r="N55" s="5"/>
      <c r="O55" s="25"/>
      <c r="P55" s="5"/>
      <c r="Q55" s="5"/>
      <c r="R55" s="5"/>
      <c r="S55" s="5"/>
      <c r="T55" s="5"/>
      <c r="U55" s="45"/>
      <c r="V55" s="45"/>
      <c r="X55" s="32"/>
      <c r="Y55" s="32"/>
      <c r="Z55" s="32"/>
      <c r="AA55" s="32"/>
      <c r="AB55" s="32"/>
      <c r="AC55" s="32"/>
      <c r="AE55" s="53"/>
      <c r="AF55" s="53"/>
      <c r="AG55" s="54"/>
      <c r="AH55"/>
      <c r="AI55" s="53"/>
      <c r="AJ55" s="53"/>
      <c r="AK55" s="55"/>
    </row>
    <row r="56" spans="1:37" s="18" customFormat="1" ht="25.15" customHeight="1" x14ac:dyDescent="0.25">
      <c r="A56" s="17"/>
      <c r="B56" s="7"/>
      <c r="C56" s="7"/>
      <c r="D56" s="7"/>
      <c r="E56" s="3"/>
      <c r="F56" s="5"/>
      <c r="G56" s="5"/>
      <c r="H56" s="5"/>
      <c r="I56" s="25"/>
      <c r="J56" s="5"/>
      <c r="K56" s="5"/>
      <c r="L56" s="5"/>
      <c r="M56" s="5"/>
      <c r="N56" s="5"/>
      <c r="O56" s="25"/>
      <c r="P56" s="5"/>
      <c r="Q56" s="5"/>
      <c r="R56" s="5"/>
      <c r="S56" s="5"/>
      <c r="T56" s="5"/>
      <c r="U56" s="45"/>
      <c r="V56" s="45"/>
      <c r="X56" s="32"/>
      <c r="Y56" s="32"/>
      <c r="Z56" s="32"/>
      <c r="AA56" s="32"/>
      <c r="AB56" s="32"/>
      <c r="AC56" s="32"/>
      <c r="AE56" s="53"/>
      <c r="AF56" s="53"/>
      <c r="AG56" s="54"/>
      <c r="AH56"/>
      <c r="AI56" s="53"/>
      <c r="AJ56" s="53"/>
      <c r="AK56" s="55"/>
    </row>
    <row r="57" spans="1:37" s="18" customFormat="1" ht="25.15" customHeight="1" x14ac:dyDescent="0.25">
      <c r="A57" s="17"/>
      <c r="B57" s="7"/>
      <c r="C57" s="7"/>
      <c r="D57" s="7"/>
      <c r="E57" s="3"/>
      <c r="F57" s="5"/>
      <c r="G57" s="5"/>
      <c r="H57" s="5"/>
      <c r="I57" s="25"/>
      <c r="J57" s="5"/>
      <c r="K57" s="5"/>
      <c r="L57" s="5"/>
      <c r="M57" s="5"/>
      <c r="N57" s="5"/>
      <c r="O57" s="25"/>
      <c r="P57" s="5"/>
      <c r="Q57" s="5"/>
      <c r="R57" s="5"/>
      <c r="S57" s="5"/>
      <c r="T57" s="5"/>
      <c r="U57" s="45"/>
      <c r="V57" s="45"/>
      <c r="X57" s="32"/>
      <c r="Y57" s="32"/>
      <c r="Z57" s="32"/>
      <c r="AA57" s="32"/>
      <c r="AB57" s="32"/>
      <c r="AC57" s="32"/>
      <c r="AE57" s="53"/>
      <c r="AF57" s="53"/>
      <c r="AG57" s="54"/>
      <c r="AH57"/>
      <c r="AI57" s="53"/>
      <c r="AJ57" s="53"/>
      <c r="AK57" s="55"/>
    </row>
    <row r="58" spans="1:37" s="18" customFormat="1" ht="25.15" customHeight="1" x14ac:dyDescent="0.25">
      <c r="A58" s="17"/>
      <c r="B58" s="7"/>
      <c r="C58" s="7"/>
      <c r="D58" s="7"/>
      <c r="E58" s="3"/>
      <c r="F58" s="5"/>
      <c r="G58" s="5"/>
      <c r="H58" s="5"/>
      <c r="I58" s="25"/>
      <c r="J58" s="5"/>
      <c r="K58" s="5"/>
      <c r="L58" s="5"/>
      <c r="M58" s="5"/>
      <c r="N58" s="5"/>
      <c r="O58" s="25"/>
      <c r="P58" s="5"/>
      <c r="Q58" s="5"/>
      <c r="R58" s="5"/>
      <c r="S58" s="5"/>
      <c r="T58" s="5"/>
      <c r="U58" s="45"/>
      <c r="V58" s="45"/>
      <c r="X58" s="32"/>
      <c r="Y58" s="32"/>
      <c r="Z58" s="32"/>
      <c r="AA58" s="32"/>
      <c r="AB58" s="32"/>
      <c r="AC58" s="32"/>
      <c r="AE58" s="53"/>
      <c r="AF58" s="53"/>
      <c r="AG58" s="54"/>
      <c r="AH58"/>
      <c r="AI58" s="53"/>
      <c r="AJ58" s="53"/>
      <c r="AK58" s="55"/>
    </row>
    <row r="59" spans="1:37" s="18" customFormat="1" ht="25.15" customHeight="1" x14ac:dyDescent="0.25">
      <c r="A59" s="17"/>
      <c r="B59" s="7"/>
      <c r="C59" s="7"/>
      <c r="D59" s="7"/>
      <c r="E59" s="3"/>
      <c r="F59" s="5"/>
      <c r="G59" s="5"/>
      <c r="H59" s="5"/>
      <c r="I59" s="25"/>
      <c r="J59" s="5"/>
      <c r="K59" s="5"/>
      <c r="L59" s="5"/>
      <c r="M59" s="5"/>
      <c r="N59" s="5"/>
      <c r="O59" s="25"/>
      <c r="P59" s="5"/>
      <c r="Q59" s="5"/>
      <c r="R59" s="5"/>
      <c r="S59" s="5"/>
      <c r="T59" s="5"/>
      <c r="U59" s="45"/>
      <c r="V59" s="45"/>
      <c r="X59" s="32"/>
      <c r="Y59" s="32"/>
      <c r="Z59" s="32"/>
      <c r="AA59" s="32"/>
      <c r="AB59" s="32"/>
      <c r="AC59" s="32"/>
      <c r="AE59" s="53"/>
      <c r="AF59" s="53"/>
      <c r="AG59" s="54"/>
      <c r="AH59"/>
      <c r="AI59" s="53"/>
      <c r="AJ59" s="53"/>
      <c r="AK59" s="55"/>
    </row>
    <row r="60" spans="1:37" s="18" customFormat="1" ht="25.15" customHeight="1" x14ac:dyDescent="0.25">
      <c r="A60" s="17"/>
      <c r="B60" s="7"/>
      <c r="C60" s="7"/>
      <c r="D60" s="7"/>
      <c r="E60" s="3"/>
      <c r="F60" s="5"/>
      <c r="G60" s="5"/>
      <c r="H60" s="5"/>
      <c r="I60" s="25"/>
      <c r="J60" s="5"/>
      <c r="K60" s="5"/>
      <c r="L60" s="5"/>
      <c r="M60" s="5"/>
      <c r="N60" s="5"/>
      <c r="O60" s="25"/>
      <c r="P60" s="5"/>
      <c r="Q60" s="5"/>
      <c r="R60" s="5"/>
      <c r="S60" s="5"/>
      <c r="T60" s="5"/>
      <c r="U60" s="45"/>
      <c r="V60" s="45"/>
      <c r="X60" s="32"/>
      <c r="Y60" s="32"/>
      <c r="Z60" s="32"/>
      <c r="AA60" s="32"/>
      <c r="AB60" s="32"/>
      <c r="AC60" s="32"/>
      <c r="AE60" s="53"/>
      <c r="AF60" s="53"/>
      <c r="AG60" s="54"/>
      <c r="AH60"/>
      <c r="AI60" s="53"/>
      <c r="AJ60" s="53"/>
      <c r="AK60" s="55"/>
    </row>
    <row r="61" spans="1:37" s="18" customFormat="1" ht="25.15" customHeight="1" x14ac:dyDescent="0.25">
      <c r="A61" s="17"/>
      <c r="B61" s="7"/>
      <c r="C61" s="7"/>
      <c r="D61" s="7"/>
      <c r="E61" s="3"/>
      <c r="F61" s="5"/>
      <c r="G61" s="5"/>
      <c r="H61" s="5"/>
      <c r="I61" s="25"/>
      <c r="J61" s="5"/>
      <c r="K61" s="5"/>
      <c r="L61" s="5"/>
      <c r="M61" s="5"/>
      <c r="N61" s="5"/>
      <c r="O61" s="25"/>
      <c r="P61" s="5"/>
      <c r="Q61" s="5"/>
      <c r="R61" s="5"/>
      <c r="S61" s="5"/>
      <c r="T61" s="5"/>
      <c r="U61" s="45"/>
      <c r="V61" s="45"/>
      <c r="X61" s="32"/>
      <c r="Y61" s="32"/>
      <c r="Z61" s="32"/>
      <c r="AA61" s="32"/>
      <c r="AB61" s="32"/>
      <c r="AC61" s="32"/>
      <c r="AE61" s="53"/>
      <c r="AF61" s="53"/>
      <c r="AG61" s="54"/>
      <c r="AH61"/>
      <c r="AI61" s="53"/>
      <c r="AJ61" s="53"/>
      <c r="AK61" s="55"/>
    </row>
  </sheetData>
  <phoneticPr fontId="8" type="noConversion"/>
  <conditionalFormatting sqref="P1:T1 E2:T61">
    <cfRule type="cellIs" dxfId="19" priority="7" operator="lessThan">
      <formula>6</formula>
    </cfRule>
  </conditionalFormatting>
  <conditionalFormatting sqref="U1 U33:U34 U38:U61">
    <cfRule type="cellIs" dxfId="18" priority="6" operator="greaterThan">
      <formula>19</formula>
    </cfRule>
  </conditionalFormatting>
  <conditionalFormatting sqref="V1:V34 U2:U32 V38:V61">
    <cfRule type="cellIs" dxfId="17" priority="5" operator="greaterThan">
      <formula>5</formula>
    </cfRule>
  </conditionalFormatting>
  <conditionalFormatting sqref="AE1">
    <cfRule type="cellIs" dxfId="16" priority="4" operator="lessThan">
      <formula>6</formula>
    </cfRule>
  </conditionalFormatting>
  <conditionalFormatting sqref="AG1:AG32 AG35:AG61">
    <cfRule type="cellIs" dxfId="15" priority="2" operator="greaterThan">
      <formula>14</formula>
    </cfRule>
  </conditionalFormatting>
  <conditionalFormatting sqref="AK1:AK32 AK35:AK61">
    <cfRule type="cellIs" dxfId="14" priority="3" operator="greaterThan">
      <formula>4</formula>
    </cfRule>
  </conditionalFormatting>
  <dataValidations xWindow="855" yWindow="386" count="12">
    <dataValidation allowBlank="1" showInputMessage="1" showErrorMessage="1" promptTitle="Petunjuk Pengisian" prompt="jumlah nilai pelajaran seluruh siswi dibagi Jumlah siswi _x000a_- tanpa mengikutkan yang boyong _x000a_- cuty tetap diikutkan_x000a_- siswi yang her/ tanpa keterangan dikira kirakan 4 nilainya" sqref="H37 H52" xr:uid="{00000000-0002-0000-0B00-000000000000}"/>
    <dataValidation allowBlank="1" showInputMessage="1" showErrorMessage="1" promptTitle="Petunjuk pengisian" prompt="Izin 20 Hari dalam 1 Semester dapat menurunkan satu nilai akhlaq" sqref="AE1" xr:uid="{00000000-0002-0000-0B00-000001000000}"/>
    <dataValidation allowBlank="1" showInputMessage="1" showErrorMessage="1" promptTitle="Petunjuk Pengisian" prompt="Tidak Izin 6 Hari dalam 1 Semester dapat menurunkan satu nilai akhlaq" sqref="V38:V61 U2:U32 V1:V34" xr:uid="{00000000-0002-0000-0B00-000002000000}"/>
    <dataValidation allowBlank="1" showInputMessage="1" showErrorMessage="1" promptTitle="petunjuk Pengisian " prompt="Izin 20 Hari dalam 1 Semester dapat menurunkan satu nilai akhlaq" sqref="U38:U61 U1 U33:U34" xr:uid="{00000000-0002-0000-0B00-000003000000}"/>
    <dataValidation allowBlank="1" showInputMessage="1" showErrorMessage="1" promptTitle="PETUNJUIK PENGISIAN" prompt="IZIN 15 HARI DALAM 1 TAHUN (SEMESTER I &amp; II )MENURUNKAN SATU NILAI PRESTASI" sqref="AG35:AG61 AG1:AG32" xr:uid="{00000000-0002-0000-0B00-000004000000}"/>
    <dataValidation allowBlank="1" showInputMessage="1" showErrorMessage="1" promptTitle="PETUNJUK PENGISIAN" prompt="TIDAK IZIN 5 HARI DALAM 1 TAHUN (SEMESTER I &amp; II )MENURUNKAN SATU NILAI PRESTASI" sqref="AK35:AK61 AK1:AK32" xr:uid="{00000000-0002-0000-0B00-000005000000}"/>
    <dataValidation allowBlank="1" showInputMessage="1" showErrorMessage="1" promptTitle="petunjuk pengisian" prompt="Jumlah Nilai siswi Semester I &amp; II dibagi Jumlah Pelajaran semster I &amp; II" sqref="AB35:AB61 AB1:AB32" xr:uid="{00000000-0002-0000-0B00-000006000000}"/>
    <dataValidation allowBlank="1" showInputMessage="1" showErrorMessage="1" promptTitle="Petunjuk Pengisian" prompt="Jumlah Mata pelajran semester I &amp; II" sqref="AA35:AA61 AA1:AA32" xr:uid="{00000000-0002-0000-0B00-000007000000}"/>
    <dataValidation allowBlank="1" showInputMessage="1" showErrorMessage="1" promptTitle="Petunjuk pengisian" prompt="Jumlah Nilai Pelajaran siswi semester I &amp; II" sqref="Z35:Z61 Z1:Z32" xr:uid="{00000000-0002-0000-0B00-000008000000}"/>
    <dataValidation allowBlank="1" showInputMessage="1" showErrorMessage="1" promptTitle="Petunjuk Pengisian" prompt="Jumlah Nilai pelajaran siswi" sqref="X35:Y61 X1:Y32" xr:uid="{00000000-0002-0000-0B00-000009000000}"/>
    <dataValidation allowBlank="1" showInputMessage="1" showErrorMessage="1" promptTitle="Petunjuk Pengisian" prompt="jumlah nilai pelajaran seluruh siswi dibagi Jumlah siswi _x000a_- tanpa mengikutkan yang boyong/ cuty_x000a_- siswi yang her/ tanpa keterangan dikira kirakan 4 nilainya" sqref="H38:H51" xr:uid="{00000000-0002-0000-0B00-00000B000000}"/>
    <dataValidation allowBlank="1" showInputMessage="1" showErrorMessage="1" promptTitle="Petunjuk Pengisian" prompt="Jika Nilai Rata-ratanya mencapai_x000a_9 : الجيد الأول_x000a_8 : الجيد الثاني_x000a_7 : المتوسط الأول_x000a_6 : المتوسط الثاني_x000a_5 : الرديء/ المثبت" sqref="AC1:AC61" xr:uid="{00000000-0002-0000-0B00-00000A000000}"/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DF22-0876-48D1-9F04-878C6788A103}">
  <sheetPr>
    <tabColor rgb="FFFFFF00"/>
  </sheetPr>
  <dimension ref="A1:AK73"/>
  <sheetViews>
    <sheetView topLeftCell="A28" zoomScale="78" zoomScaleNormal="78" workbookViewId="0">
      <selection activeCell="H51" sqref="H51"/>
    </sheetView>
  </sheetViews>
  <sheetFormatPr defaultRowHeight="15" x14ac:dyDescent="0.25"/>
  <cols>
    <col min="1" max="1" width="15.85546875" customWidth="1"/>
    <col min="2" max="2" width="36.5703125" customWidth="1"/>
    <col min="3" max="3" width="17.140625" customWidth="1"/>
    <col min="4" max="4" width="15.85546875" customWidth="1"/>
    <col min="5" max="5" width="16.42578125" customWidth="1"/>
    <col min="7" max="7" width="18.140625" customWidth="1"/>
    <col min="8" max="8" width="17.28515625" customWidth="1"/>
    <col min="9" max="9" width="16" customWidth="1"/>
    <col min="10" max="10" width="14.28515625" customWidth="1"/>
    <col min="11" max="13" width="17" customWidth="1"/>
    <col min="14" max="14" width="16.28515625" customWidth="1"/>
    <col min="15" max="15" width="13.7109375" customWidth="1"/>
    <col min="16" max="17" width="16" customWidth="1"/>
    <col min="18" max="18" width="11.42578125" customWidth="1"/>
    <col min="20" max="20" width="30.42578125" customWidth="1"/>
    <col min="29" max="29" width="16.42578125" customWidth="1"/>
  </cols>
  <sheetData>
    <row r="1" spans="1:37" s="20" customFormat="1" ht="25.15" customHeight="1" thickBot="1" x14ac:dyDescent="0.3">
      <c r="A1" s="34" t="s">
        <v>1</v>
      </c>
      <c r="B1" s="11" t="s">
        <v>0</v>
      </c>
      <c r="C1" s="11" t="s">
        <v>2</v>
      </c>
      <c r="D1" s="11" t="s">
        <v>13</v>
      </c>
      <c r="E1" s="39" t="s">
        <v>3</v>
      </c>
      <c r="F1" s="36"/>
      <c r="G1" s="21" t="s">
        <v>51</v>
      </c>
      <c r="H1" s="21" t="s">
        <v>4</v>
      </c>
      <c r="I1" s="22" t="s">
        <v>52</v>
      </c>
      <c r="J1" s="21" t="s">
        <v>5</v>
      </c>
      <c r="K1" s="21" t="s">
        <v>53</v>
      </c>
      <c r="L1" s="21" t="s">
        <v>73</v>
      </c>
      <c r="M1" s="21" t="s">
        <v>54</v>
      </c>
      <c r="N1" s="21" t="s">
        <v>55</v>
      </c>
      <c r="O1" s="22" t="s">
        <v>57</v>
      </c>
      <c r="P1" s="12" t="s">
        <v>6</v>
      </c>
      <c r="Q1" s="12" t="s">
        <v>7</v>
      </c>
      <c r="R1" s="12" t="s">
        <v>8</v>
      </c>
      <c r="S1" s="12" t="s">
        <v>9</v>
      </c>
      <c r="T1" s="13" t="s">
        <v>10</v>
      </c>
      <c r="U1" s="43" t="s">
        <v>11</v>
      </c>
      <c r="V1" s="43" t="s">
        <v>12</v>
      </c>
      <c r="X1" s="26" t="s">
        <v>58</v>
      </c>
      <c r="Y1" s="26" t="s">
        <v>59</v>
      </c>
      <c r="Z1" s="26" t="s">
        <v>60</v>
      </c>
      <c r="AA1" s="26" t="s">
        <v>61</v>
      </c>
      <c r="AB1" s="26" t="s">
        <v>62</v>
      </c>
      <c r="AC1" s="26" t="s">
        <v>63</v>
      </c>
      <c r="AE1" s="47" t="s">
        <v>67</v>
      </c>
      <c r="AF1" s="48" t="s">
        <v>68</v>
      </c>
      <c r="AG1" s="49" t="s">
        <v>69</v>
      </c>
      <c r="AH1" s="42"/>
      <c r="AI1" s="50" t="s">
        <v>70</v>
      </c>
      <c r="AJ1" s="50" t="s">
        <v>71</v>
      </c>
      <c r="AK1" s="49" t="s">
        <v>72</v>
      </c>
    </row>
    <row r="2" spans="1:37" s="1" customFormat="1" ht="25.15" customHeight="1" thickBot="1" x14ac:dyDescent="0.3">
      <c r="A2" s="19" t="str">
        <f>'2 ALIYAH G'!A2</f>
        <v>01</v>
      </c>
      <c r="B2" s="123" t="str">
        <f>'2 ALIYAH G'!B2</f>
        <v>AISYATUL FIRDAUSY</v>
      </c>
      <c r="C2" s="84">
        <f>'2 ALIYAH G'!C2</f>
        <v>2789</v>
      </c>
      <c r="D2" s="19" t="s">
        <v>14</v>
      </c>
      <c r="E2" s="3" t="str">
        <f>TEXT(F2,"[$-2000000]0")</f>
        <v>٩</v>
      </c>
      <c r="F2" s="3">
        <v>9</v>
      </c>
      <c r="G2" s="3" t="s">
        <v>56</v>
      </c>
      <c r="H2" s="3">
        <v>9</v>
      </c>
      <c r="I2" s="3">
        <v>9</v>
      </c>
      <c r="J2" s="3">
        <v>9</v>
      </c>
      <c r="K2" s="3">
        <v>8</v>
      </c>
      <c r="L2" s="3">
        <v>9</v>
      </c>
      <c r="M2" s="3">
        <v>5</v>
      </c>
      <c r="N2" s="3">
        <v>7</v>
      </c>
      <c r="O2" s="3">
        <v>9</v>
      </c>
      <c r="P2" s="3">
        <v>9</v>
      </c>
      <c r="Q2" s="3">
        <v>9</v>
      </c>
      <c r="R2" s="3">
        <v>9</v>
      </c>
      <c r="S2" s="3">
        <v>8</v>
      </c>
      <c r="T2" s="4">
        <f>SUM(E2:S2)</f>
        <v>109</v>
      </c>
      <c r="U2" s="44" t="s">
        <v>56</v>
      </c>
      <c r="V2" s="44" t="s">
        <v>56</v>
      </c>
      <c r="X2" s="27">
        <f>'2 ALIYAH G'!T2</f>
        <v>109</v>
      </c>
      <c r="Y2" s="27">
        <f t="shared" ref="Y2:Y31" si="0">T2</f>
        <v>109</v>
      </c>
      <c r="Z2" s="28">
        <f t="shared" ref="Z2:Z31" si="1">X2+Y2</f>
        <v>218</v>
      </c>
      <c r="AA2" s="27">
        <v>26</v>
      </c>
      <c r="AB2" s="28">
        <f>Z2/AA2</f>
        <v>8</v>
      </c>
      <c r="AC2" s="29" t="str">
        <f t="shared" ref="AC2:AC31" si="2">IF(AB2&gt;=8.5,"الجيد الأول",IF(AB2&gt;=7.5,"الجيد الثاني",IF(AB2&gt;=6.5,"المتوسط الأول",IF(AB2&gt;=5.5,"المتوسط الثاني",IF(AB2&gt;=4.5,"الرديء",)))))</f>
        <v>الجيد الثاني</v>
      </c>
      <c r="AE2" s="51">
        <f>'2 ALIYAH G'!U2</f>
        <v>1</v>
      </c>
      <c r="AF2" s="51" t="str">
        <f>U2:U31</f>
        <v>-</v>
      </c>
      <c r="AG2" s="52">
        <f>SUM(AE2:AF2)</f>
        <v>1</v>
      </c>
      <c r="AI2" s="51" t="str">
        <f>'2 ALIYAH G'!V2</f>
        <v>-</v>
      </c>
      <c r="AJ2" s="51" t="str">
        <f>V2:V25</f>
        <v>-</v>
      </c>
      <c r="AK2" s="52">
        <f>SUM(AI2:AJ2)</f>
        <v>0</v>
      </c>
    </row>
    <row r="3" spans="1:37" s="1" customFormat="1" ht="25.15" customHeight="1" thickBot="1" x14ac:dyDescent="0.3">
      <c r="A3" s="19" t="str">
        <f>'2 ALIYAH G'!A3</f>
        <v>02</v>
      </c>
      <c r="B3" s="123" t="str">
        <f>'2 ALIYAH G'!B3</f>
        <v>ALFA PUTRI AZZAHRA</v>
      </c>
      <c r="C3" s="84">
        <f>'2 ALIYAH G'!C3</f>
        <v>2790</v>
      </c>
      <c r="D3" s="19" t="s">
        <v>15</v>
      </c>
      <c r="E3" s="3" t="str">
        <f t="shared" ref="E3:E31" si="3">TEXT(F3,"[$-2000000]0")</f>
        <v>٨</v>
      </c>
      <c r="F3" s="3">
        <v>8</v>
      </c>
      <c r="G3" s="3" t="s">
        <v>56</v>
      </c>
      <c r="H3" s="3">
        <v>9</v>
      </c>
      <c r="I3" s="3">
        <v>9</v>
      </c>
      <c r="J3" s="3">
        <v>9</v>
      </c>
      <c r="K3" s="3">
        <v>9</v>
      </c>
      <c r="L3" s="3">
        <v>9</v>
      </c>
      <c r="M3" s="3">
        <v>8</v>
      </c>
      <c r="N3" s="3">
        <v>8</v>
      </c>
      <c r="O3" s="3">
        <v>9</v>
      </c>
      <c r="P3" s="3">
        <v>9</v>
      </c>
      <c r="Q3" s="3">
        <v>9</v>
      </c>
      <c r="R3" s="3">
        <v>9</v>
      </c>
      <c r="S3" s="3">
        <v>8</v>
      </c>
      <c r="T3" s="4">
        <f t="shared" ref="T3:T32" si="4">SUM(E3:S3)</f>
        <v>113</v>
      </c>
      <c r="U3" s="44" t="s">
        <v>56</v>
      </c>
      <c r="V3" s="44" t="s">
        <v>56</v>
      </c>
      <c r="X3" s="27">
        <f>'2 ALIYAH G'!T3</f>
        <v>109</v>
      </c>
      <c r="Y3" s="27">
        <f t="shared" si="0"/>
        <v>113</v>
      </c>
      <c r="Z3" s="28">
        <f t="shared" si="1"/>
        <v>222</v>
      </c>
      <c r="AA3" s="27">
        <v>26</v>
      </c>
      <c r="AB3" s="28">
        <f t="shared" ref="AB3:AB31" si="5">Z3/AA3</f>
        <v>9</v>
      </c>
      <c r="AC3" s="29" t="str">
        <f t="shared" si="2"/>
        <v>الجيد الأول</v>
      </c>
      <c r="AE3" s="51" t="str">
        <f>'2 ALIYAH G'!U3</f>
        <v>-</v>
      </c>
      <c r="AF3" s="51" t="str">
        <f>U3:U31</f>
        <v>-</v>
      </c>
      <c r="AG3" s="52">
        <f t="shared" ref="AG3:AG31" si="6">SUM(AE3:AF3)</f>
        <v>0</v>
      </c>
      <c r="AI3" s="51" t="str">
        <f>'2 ALIYAH G'!V3</f>
        <v>-</v>
      </c>
      <c r="AJ3" s="51" t="str">
        <f>V3:V26</f>
        <v>-</v>
      </c>
      <c r="AK3" s="52">
        <f t="shared" ref="AK3:AK31" si="7">SUM(AI3:AJ3)</f>
        <v>0</v>
      </c>
    </row>
    <row r="4" spans="1:37" s="1" customFormat="1" ht="25.15" customHeight="1" thickBot="1" x14ac:dyDescent="0.3">
      <c r="A4" s="19" t="str">
        <f>'2 ALIYAH G'!A4</f>
        <v>03</v>
      </c>
      <c r="B4" s="123" t="str">
        <f>'2 ALIYAH G'!B4</f>
        <v>AMALIA NADLILAH</v>
      </c>
      <c r="C4" s="84">
        <f>'2 ALIYAH G'!C4</f>
        <v>2724</v>
      </c>
      <c r="D4" s="19" t="s">
        <v>16</v>
      </c>
      <c r="E4" s="3" t="str">
        <f t="shared" si="3"/>
        <v>٧</v>
      </c>
      <c r="F4" s="3">
        <v>7</v>
      </c>
      <c r="G4" s="3" t="s">
        <v>56</v>
      </c>
      <c r="H4" s="3">
        <v>7</v>
      </c>
      <c r="I4" s="3">
        <v>8</v>
      </c>
      <c r="J4" s="3">
        <v>7</v>
      </c>
      <c r="K4" s="3">
        <v>7</v>
      </c>
      <c r="L4" s="3">
        <v>7</v>
      </c>
      <c r="M4" s="3">
        <v>7</v>
      </c>
      <c r="N4" s="3">
        <v>9</v>
      </c>
      <c r="O4" s="3">
        <v>7</v>
      </c>
      <c r="P4" s="3">
        <v>9</v>
      </c>
      <c r="Q4" s="3">
        <v>7</v>
      </c>
      <c r="R4" s="3">
        <v>8</v>
      </c>
      <c r="S4" s="3">
        <v>8</v>
      </c>
      <c r="T4" s="4">
        <f t="shared" si="4"/>
        <v>98</v>
      </c>
      <c r="U4" s="44">
        <v>1</v>
      </c>
      <c r="V4" s="44" t="s">
        <v>56</v>
      </c>
      <c r="X4" s="27">
        <f>'2 ALIYAH G'!T4</f>
        <v>88</v>
      </c>
      <c r="Y4" s="27">
        <f t="shared" si="0"/>
        <v>98</v>
      </c>
      <c r="Z4" s="28">
        <f t="shared" si="1"/>
        <v>186</v>
      </c>
      <c r="AA4" s="27">
        <v>26</v>
      </c>
      <c r="AB4" s="28">
        <f t="shared" si="5"/>
        <v>7</v>
      </c>
      <c r="AC4" s="29" t="str">
        <f t="shared" si="2"/>
        <v>المتوسط الأول</v>
      </c>
      <c r="AE4" s="51">
        <f>'2 ALIYAH G'!U4</f>
        <v>1</v>
      </c>
      <c r="AF4" s="51">
        <f>U4:U31</f>
        <v>1</v>
      </c>
      <c r="AG4" s="52">
        <f t="shared" si="6"/>
        <v>2</v>
      </c>
      <c r="AI4" s="51" t="str">
        <f>'2 ALIYAH G'!V4</f>
        <v>-</v>
      </c>
      <c r="AJ4" s="51" t="str">
        <f>V4:V27</f>
        <v>-</v>
      </c>
      <c r="AK4" s="52">
        <f t="shared" si="7"/>
        <v>0</v>
      </c>
    </row>
    <row r="5" spans="1:37" s="1" customFormat="1" ht="25.15" customHeight="1" thickBot="1" x14ac:dyDescent="0.3">
      <c r="A5" s="19" t="str">
        <f>'2 ALIYAH G'!A5</f>
        <v>04</v>
      </c>
      <c r="B5" s="123" t="str">
        <f>'2 ALIYAH G'!B5</f>
        <v>ANNISA 'ULFATUN NAHDIYAH</v>
      </c>
      <c r="C5" s="84">
        <f>'2 ALIYAH G'!C5</f>
        <v>2688</v>
      </c>
      <c r="D5" s="19" t="s">
        <v>17</v>
      </c>
      <c r="E5" s="3" t="str">
        <f t="shared" si="3"/>
        <v>٨</v>
      </c>
      <c r="F5" s="3">
        <v>8</v>
      </c>
      <c r="G5" s="3" t="s">
        <v>56</v>
      </c>
      <c r="H5" s="3">
        <v>9</v>
      </c>
      <c r="I5" s="3">
        <v>9</v>
      </c>
      <c r="J5" s="3">
        <v>9</v>
      </c>
      <c r="K5" s="3">
        <v>6</v>
      </c>
      <c r="L5" s="3">
        <v>9</v>
      </c>
      <c r="M5" s="3">
        <v>8</v>
      </c>
      <c r="N5" s="3">
        <v>9</v>
      </c>
      <c r="O5" s="3">
        <v>9</v>
      </c>
      <c r="P5" s="3">
        <v>9</v>
      </c>
      <c r="Q5" s="3">
        <v>9</v>
      </c>
      <c r="R5" s="3">
        <v>9</v>
      </c>
      <c r="S5" s="3">
        <v>8</v>
      </c>
      <c r="T5" s="4">
        <f t="shared" si="4"/>
        <v>111</v>
      </c>
      <c r="U5" s="44" t="s">
        <v>56</v>
      </c>
      <c r="V5" s="44" t="s">
        <v>56</v>
      </c>
      <c r="X5" s="27">
        <f>'2 ALIYAH G'!T5</f>
        <v>103</v>
      </c>
      <c r="Y5" s="27">
        <f t="shared" si="0"/>
        <v>111</v>
      </c>
      <c r="Z5" s="28">
        <f t="shared" si="1"/>
        <v>214</v>
      </c>
      <c r="AA5" s="27">
        <v>26</v>
      </c>
      <c r="AB5" s="28">
        <f t="shared" si="5"/>
        <v>8</v>
      </c>
      <c r="AC5" s="29" t="str">
        <f t="shared" si="2"/>
        <v>الجيد الثاني</v>
      </c>
      <c r="AE5" s="51">
        <f>'2 ALIYAH G'!U5</f>
        <v>4</v>
      </c>
      <c r="AF5" s="51" t="str">
        <f>U5:U31</f>
        <v>-</v>
      </c>
      <c r="AG5" s="52">
        <f t="shared" si="6"/>
        <v>4</v>
      </c>
      <c r="AI5" s="51">
        <f>'2 ALIYAH G'!V5</f>
        <v>5</v>
      </c>
      <c r="AJ5" s="51" t="str">
        <f>V5:V28</f>
        <v>-</v>
      </c>
      <c r="AK5" s="52">
        <f t="shared" si="7"/>
        <v>5</v>
      </c>
    </row>
    <row r="6" spans="1:37" s="1" customFormat="1" ht="25.15" customHeight="1" thickBot="1" x14ac:dyDescent="0.3">
      <c r="A6" s="19" t="str">
        <f>'2 ALIYAH G'!A6</f>
        <v>05</v>
      </c>
      <c r="B6" s="123" t="str">
        <f>'2 ALIYAH G'!B6</f>
        <v>ANNISA NIDAUL HUSNA</v>
      </c>
      <c r="C6" s="84">
        <f>'2 ALIYAH G'!C6</f>
        <v>2886</v>
      </c>
      <c r="D6" s="19" t="s">
        <v>18</v>
      </c>
      <c r="E6" s="3" t="str">
        <f t="shared" si="3"/>
        <v>٤</v>
      </c>
      <c r="F6" s="3">
        <v>4</v>
      </c>
      <c r="G6" s="3" t="s">
        <v>56</v>
      </c>
      <c r="H6" s="3">
        <v>7</v>
      </c>
      <c r="I6" s="3">
        <v>7</v>
      </c>
      <c r="J6" s="3">
        <v>5</v>
      </c>
      <c r="K6" s="3">
        <v>4</v>
      </c>
      <c r="L6" s="3">
        <v>5</v>
      </c>
      <c r="M6" s="3">
        <v>5</v>
      </c>
      <c r="N6" s="3">
        <v>4</v>
      </c>
      <c r="O6" s="3">
        <v>5</v>
      </c>
      <c r="P6" s="3">
        <v>8</v>
      </c>
      <c r="Q6" s="3">
        <v>7</v>
      </c>
      <c r="R6" s="3">
        <v>9</v>
      </c>
      <c r="S6" s="3">
        <v>8</v>
      </c>
      <c r="T6" s="4">
        <f t="shared" si="4"/>
        <v>78</v>
      </c>
      <c r="U6" s="44" t="s">
        <v>56</v>
      </c>
      <c r="V6" s="44" t="s">
        <v>56</v>
      </c>
      <c r="X6" s="27">
        <f>'2 ALIYAH G'!T6</f>
        <v>79</v>
      </c>
      <c r="Y6" s="27">
        <f t="shared" si="0"/>
        <v>78</v>
      </c>
      <c r="Z6" s="28">
        <f t="shared" si="1"/>
        <v>157</v>
      </c>
      <c r="AA6" s="27">
        <v>26</v>
      </c>
      <c r="AB6" s="28">
        <f t="shared" si="5"/>
        <v>6</v>
      </c>
      <c r="AC6" s="29" t="str">
        <f t="shared" si="2"/>
        <v>المتوسط الثاني</v>
      </c>
      <c r="AE6" s="51" t="str">
        <f>'2 ALIYAH G'!U6</f>
        <v>-</v>
      </c>
      <c r="AF6" s="51" t="str">
        <f>U6:U32</f>
        <v>-</v>
      </c>
      <c r="AG6" s="52">
        <f t="shared" si="6"/>
        <v>0</v>
      </c>
      <c r="AI6" s="51" t="str">
        <f>'2 ALIYAH G'!V6</f>
        <v>-</v>
      </c>
      <c r="AJ6" s="51" t="str">
        <f>V6:V29</f>
        <v>-</v>
      </c>
      <c r="AK6" s="52">
        <f t="shared" si="7"/>
        <v>0</v>
      </c>
    </row>
    <row r="7" spans="1:37" s="1" customFormat="1" ht="25.15" customHeight="1" thickBot="1" x14ac:dyDescent="0.3">
      <c r="A7" s="19" t="str">
        <f>'2 ALIYAH G'!A7</f>
        <v>07</v>
      </c>
      <c r="B7" s="123" t="str">
        <f>'2 ALIYAH G'!B7</f>
        <v>AULIA NAFAIDA</v>
      </c>
      <c r="C7" s="84">
        <f>'2 ALIYAH G'!C7</f>
        <v>2794</v>
      </c>
      <c r="D7" s="19" t="s">
        <v>19</v>
      </c>
      <c r="E7" s="3" t="str">
        <f t="shared" si="3"/>
        <v>٩</v>
      </c>
      <c r="F7" s="3">
        <v>9</v>
      </c>
      <c r="G7" s="3" t="s">
        <v>56</v>
      </c>
      <c r="H7" s="3">
        <v>9</v>
      </c>
      <c r="I7" s="3">
        <v>9</v>
      </c>
      <c r="J7" s="3">
        <v>9</v>
      </c>
      <c r="K7" s="3">
        <v>9</v>
      </c>
      <c r="L7" s="3">
        <v>9</v>
      </c>
      <c r="M7" s="3">
        <v>9</v>
      </c>
      <c r="N7" s="3">
        <v>9</v>
      </c>
      <c r="O7" s="3">
        <v>9</v>
      </c>
      <c r="P7" s="3">
        <v>9</v>
      </c>
      <c r="Q7" s="3">
        <v>9</v>
      </c>
      <c r="R7" s="3">
        <v>9</v>
      </c>
      <c r="S7" s="3">
        <v>8</v>
      </c>
      <c r="T7" s="4">
        <f t="shared" si="4"/>
        <v>116</v>
      </c>
      <c r="U7" s="44" t="s">
        <v>56</v>
      </c>
      <c r="V7" s="44" t="s">
        <v>56</v>
      </c>
      <c r="X7" s="27">
        <f>'2 ALIYAH G'!T7</f>
        <v>114</v>
      </c>
      <c r="Y7" s="27">
        <f t="shared" si="0"/>
        <v>116</v>
      </c>
      <c r="Z7" s="28">
        <f t="shared" si="1"/>
        <v>230</v>
      </c>
      <c r="AA7" s="27">
        <v>26</v>
      </c>
      <c r="AB7" s="28">
        <f t="shared" si="5"/>
        <v>9</v>
      </c>
      <c r="AC7" s="29" t="str">
        <f t="shared" si="2"/>
        <v>الجيد الأول</v>
      </c>
      <c r="AE7" s="51" t="str">
        <f>'2 ALIYAH G'!U7</f>
        <v>-</v>
      </c>
      <c r="AF7" s="51" t="str">
        <f>U7:U34</f>
        <v>-</v>
      </c>
      <c r="AG7" s="52">
        <f t="shared" si="6"/>
        <v>0</v>
      </c>
      <c r="AI7" s="51" t="str">
        <f>'2 ALIYAH G'!V7</f>
        <v>-</v>
      </c>
      <c r="AJ7" s="51" t="str">
        <f>V7:V31</f>
        <v>-</v>
      </c>
      <c r="AK7" s="52">
        <f t="shared" si="7"/>
        <v>0</v>
      </c>
    </row>
    <row r="8" spans="1:37" s="1" customFormat="1" ht="25.15" customHeight="1" thickBot="1" x14ac:dyDescent="0.3">
      <c r="A8" s="19" t="str">
        <f>'2 ALIYAH G'!A8</f>
        <v>08</v>
      </c>
      <c r="B8" s="123" t="str">
        <f>'2 ALIYAH G'!B8</f>
        <v>DARISSALMA</v>
      </c>
      <c r="C8" s="84">
        <f>'2 ALIYAH G'!C8</f>
        <v>2753</v>
      </c>
      <c r="D8" s="19" t="s">
        <v>20</v>
      </c>
      <c r="E8" s="3" t="str">
        <f t="shared" si="3"/>
        <v>٧</v>
      </c>
      <c r="F8" s="3">
        <v>7</v>
      </c>
      <c r="G8" s="3" t="s">
        <v>56</v>
      </c>
      <c r="H8" s="3">
        <v>9</v>
      </c>
      <c r="I8" s="3">
        <v>9</v>
      </c>
      <c r="J8" s="3">
        <v>9</v>
      </c>
      <c r="K8" s="3">
        <v>7</v>
      </c>
      <c r="L8" s="3">
        <v>9</v>
      </c>
      <c r="M8" s="3">
        <v>7</v>
      </c>
      <c r="N8" s="3">
        <v>6</v>
      </c>
      <c r="O8" s="3">
        <v>9</v>
      </c>
      <c r="P8" s="3">
        <v>9</v>
      </c>
      <c r="Q8" s="3">
        <v>8</v>
      </c>
      <c r="R8" s="3">
        <v>8</v>
      </c>
      <c r="S8" s="3">
        <v>8</v>
      </c>
      <c r="T8" s="4">
        <f t="shared" si="4"/>
        <v>105</v>
      </c>
      <c r="U8" s="44">
        <v>1</v>
      </c>
      <c r="V8" s="44" t="s">
        <v>56</v>
      </c>
      <c r="X8" s="27">
        <f>'2 ALIYAH G'!T8</f>
        <v>91</v>
      </c>
      <c r="Y8" s="27">
        <f t="shared" si="0"/>
        <v>105</v>
      </c>
      <c r="Z8" s="28">
        <f t="shared" si="1"/>
        <v>196</v>
      </c>
      <c r="AA8" s="27">
        <v>26</v>
      </c>
      <c r="AB8" s="28">
        <f t="shared" si="5"/>
        <v>8</v>
      </c>
      <c r="AC8" s="29" t="str">
        <f t="shared" si="2"/>
        <v>الجيد الثاني</v>
      </c>
      <c r="AE8" s="51" t="str">
        <f>'2 ALIYAH G'!U8</f>
        <v>-</v>
      </c>
      <c r="AF8" s="51">
        <f>U8:U35</f>
        <v>1</v>
      </c>
      <c r="AG8" s="52">
        <f t="shared" si="6"/>
        <v>1</v>
      </c>
      <c r="AI8" s="51" t="str">
        <f>'2 ALIYAH G'!V8</f>
        <v>-</v>
      </c>
      <c r="AJ8" s="51" t="str">
        <f>V8:V31</f>
        <v>-</v>
      </c>
      <c r="AK8" s="52">
        <f t="shared" si="7"/>
        <v>0</v>
      </c>
    </row>
    <row r="9" spans="1:37" s="1" customFormat="1" ht="25.15" customHeight="1" thickBot="1" x14ac:dyDescent="0.3">
      <c r="A9" s="19" t="str">
        <f>'2 ALIYAH G'!A9</f>
        <v>10</v>
      </c>
      <c r="B9" s="123" t="str">
        <f>'2 ALIYAH G'!B9</f>
        <v>DEWI NAYLA AZIZATUR ROHMAH</v>
      </c>
      <c r="C9" s="84">
        <f>'2 ALIYAH G'!C9</f>
        <v>2798</v>
      </c>
      <c r="D9" s="19" t="s">
        <v>21</v>
      </c>
      <c r="E9" s="3" t="str">
        <f t="shared" si="3"/>
        <v>٩</v>
      </c>
      <c r="F9" s="3">
        <v>9</v>
      </c>
      <c r="G9" s="3" t="s">
        <v>56</v>
      </c>
      <c r="H9" s="3">
        <v>9</v>
      </c>
      <c r="I9" s="3">
        <v>9</v>
      </c>
      <c r="J9" s="3">
        <v>9</v>
      </c>
      <c r="K9" s="3">
        <v>9</v>
      </c>
      <c r="L9" s="3">
        <v>9</v>
      </c>
      <c r="M9" s="3">
        <v>9</v>
      </c>
      <c r="N9" s="3">
        <v>7</v>
      </c>
      <c r="O9" s="3">
        <v>8</v>
      </c>
      <c r="P9" s="3">
        <v>9</v>
      </c>
      <c r="Q9" s="3">
        <v>9</v>
      </c>
      <c r="R9" s="3">
        <v>8</v>
      </c>
      <c r="S9" s="3">
        <v>8</v>
      </c>
      <c r="T9" s="4">
        <f t="shared" si="4"/>
        <v>112</v>
      </c>
      <c r="U9" s="44" t="s">
        <v>56</v>
      </c>
      <c r="V9" s="44" t="s">
        <v>56</v>
      </c>
      <c r="X9" s="27">
        <f>'2 ALIYAH G'!T9</f>
        <v>109</v>
      </c>
      <c r="Y9" s="27">
        <f t="shared" si="0"/>
        <v>112</v>
      </c>
      <c r="Z9" s="28">
        <f t="shared" si="1"/>
        <v>221</v>
      </c>
      <c r="AA9" s="27">
        <v>26</v>
      </c>
      <c r="AB9" s="28">
        <f t="shared" si="5"/>
        <v>9</v>
      </c>
      <c r="AC9" s="29" t="str">
        <f t="shared" si="2"/>
        <v>الجيد الأول</v>
      </c>
      <c r="AE9" s="51" t="str">
        <f>'2 ALIYAH G'!U9</f>
        <v>-</v>
      </c>
      <c r="AF9" s="51" t="str">
        <f t="shared" ref="AF9:AF31" si="8">U9:U37</f>
        <v>-</v>
      </c>
      <c r="AG9" s="52">
        <f t="shared" si="6"/>
        <v>0</v>
      </c>
      <c r="AI9" s="51" t="str">
        <f>'2 ALIYAH G'!V9</f>
        <v>-</v>
      </c>
      <c r="AJ9" s="51" t="str">
        <f>V9:V31</f>
        <v>-</v>
      </c>
      <c r="AK9" s="52">
        <f t="shared" si="7"/>
        <v>0</v>
      </c>
    </row>
    <row r="10" spans="1:37" s="1" customFormat="1" ht="25.15" customHeight="1" thickBot="1" x14ac:dyDescent="0.3">
      <c r="A10" s="19" t="str">
        <f>'2 ALIYAH G'!A10</f>
        <v>11</v>
      </c>
      <c r="B10" s="123" t="str">
        <f>'2 ALIYAH G'!B10</f>
        <v>DWI TRI MULYANI</v>
      </c>
      <c r="C10" s="84">
        <f>'2 ALIYAH G'!C10</f>
        <v>2801</v>
      </c>
      <c r="D10" s="19" t="s">
        <v>22</v>
      </c>
      <c r="E10" s="3" t="str">
        <f t="shared" si="3"/>
        <v>٦</v>
      </c>
      <c r="F10" s="3">
        <v>6</v>
      </c>
      <c r="G10" s="3" t="s">
        <v>56</v>
      </c>
      <c r="H10" s="3">
        <v>8</v>
      </c>
      <c r="I10" s="3">
        <v>8</v>
      </c>
      <c r="J10" s="3">
        <v>7</v>
      </c>
      <c r="K10" s="3">
        <v>7</v>
      </c>
      <c r="L10" s="3">
        <v>9</v>
      </c>
      <c r="M10" s="3">
        <v>4</v>
      </c>
      <c r="N10" s="3">
        <v>4</v>
      </c>
      <c r="O10" s="3">
        <v>5</v>
      </c>
      <c r="P10" s="3">
        <v>8</v>
      </c>
      <c r="Q10" s="3">
        <v>7</v>
      </c>
      <c r="R10" s="3">
        <v>8</v>
      </c>
      <c r="S10" s="3">
        <v>7</v>
      </c>
      <c r="T10" s="4">
        <f t="shared" si="4"/>
        <v>88</v>
      </c>
      <c r="U10" s="44" t="s">
        <v>56</v>
      </c>
      <c r="V10" s="44" t="s">
        <v>56</v>
      </c>
      <c r="X10" s="27">
        <f>'2 ALIYAH G'!T10</f>
        <v>88</v>
      </c>
      <c r="Y10" s="27">
        <f t="shared" si="0"/>
        <v>88</v>
      </c>
      <c r="Z10" s="28">
        <f t="shared" si="1"/>
        <v>176</v>
      </c>
      <c r="AA10" s="27">
        <v>26</v>
      </c>
      <c r="AB10" s="28">
        <f t="shared" si="5"/>
        <v>7</v>
      </c>
      <c r="AC10" s="29" t="str">
        <f t="shared" si="2"/>
        <v>المتوسط الأول</v>
      </c>
      <c r="AE10" s="51" t="str">
        <f>'2 ALIYAH G'!U10</f>
        <v>-</v>
      </c>
      <c r="AF10" s="51" t="str">
        <f t="shared" si="8"/>
        <v>-</v>
      </c>
      <c r="AG10" s="52">
        <f t="shared" si="6"/>
        <v>0</v>
      </c>
      <c r="AI10" s="51" t="str">
        <f>'2 ALIYAH G'!V10</f>
        <v>-</v>
      </c>
      <c r="AJ10" s="51" t="str">
        <f>V10:V31</f>
        <v>-</v>
      </c>
      <c r="AK10" s="52">
        <f t="shared" si="7"/>
        <v>0</v>
      </c>
    </row>
    <row r="11" spans="1:37" s="1" customFormat="1" ht="25.15" customHeight="1" thickBot="1" x14ac:dyDescent="0.3">
      <c r="A11" s="19" t="str">
        <f>'2 ALIYAH G'!A11</f>
        <v>12</v>
      </c>
      <c r="B11" s="123" t="str">
        <f>'2 ALIYAH G'!B11</f>
        <v>GHINAYA AFANI KHOLIDIA</v>
      </c>
      <c r="C11" s="84">
        <f>'2 ALIYAH G'!C11</f>
        <v>2860</v>
      </c>
      <c r="D11" s="19" t="s">
        <v>23</v>
      </c>
      <c r="E11" s="3" t="str">
        <f t="shared" si="3"/>
        <v>٩</v>
      </c>
      <c r="F11" s="3">
        <v>9</v>
      </c>
      <c r="G11" s="3" t="s">
        <v>56</v>
      </c>
      <c r="H11" s="3">
        <v>9</v>
      </c>
      <c r="I11" s="3">
        <v>9</v>
      </c>
      <c r="J11" s="3">
        <v>9</v>
      </c>
      <c r="K11" s="3">
        <v>9</v>
      </c>
      <c r="L11" s="3">
        <v>9</v>
      </c>
      <c r="M11" s="3">
        <v>9</v>
      </c>
      <c r="N11" s="3">
        <v>9</v>
      </c>
      <c r="O11" s="3">
        <v>9</v>
      </c>
      <c r="P11" s="3">
        <v>9</v>
      </c>
      <c r="Q11" s="3">
        <v>9</v>
      </c>
      <c r="R11" s="3">
        <v>9</v>
      </c>
      <c r="S11" s="3">
        <v>8</v>
      </c>
      <c r="T11" s="4">
        <f t="shared" si="4"/>
        <v>116</v>
      </c>
      <c r="U11" s="44" t="s">
        <v>56</v>
      </c>
      <c r="V11" s="44" t="s">
        <v>56</v>
      </c>
      <c r="X11" s="27">
        <f>'2 ALIYAH G'!T11</f>
        <v>116</v>
      </c>
      <c r="Y11" s="27">
        <f t="shared" si="0"/>
        <v>116</v>
      </c>
      <c r="Z11" s="28">
        <f t="shared" si="1"/>
        <v>232</v>
      </c>
      <c r="AA11" s="27">
        <v>26</v>
      </c>
      <c r="AB11" s="28">
        <f t="shared" si="5"/>
        <v>9</v>
      </c>
      <c r="AC11" s="29" t="str">
        <f t="shared" si="2"/>
        <v>الجيد الأول</v>
      </c>
      <c r="AE11" s="51">
        <f>'2 ALIYAH G'!U11</f>
        <v>3</v>
      </c>
      <c r="AF11" s="51" t="str">
        <f t="shared" si="8"/>
        <v>-</v>
      </c>
      <c r="AG11" s="52">
        <f t="shared" si="6"/>
        <v>3</v>
      </c>
      <c r="AI11" s="51" t="str">
        <f>'2 ALIYAH G'!V11</f>
        <v>-</v>
      </c>
      <c r="AJ11" s="51" t="str">
        <f>V11:V31</f>
        <v>-</v>
      </c>
      <c r="AK11" s="52">
        <f t="shared" si="7"/>
        <v>0</v>
      </c>
    </row>
    <row r="12" spans="1:37" s="1" customFormat="1" ht="25.15" customHeight="1" thickBot="1" x14ac:dyDescent="0.3">
      <c r="A12" s="19" t="str">
        <f>'2 ALIYAH G'!A12</f>
        <v>13</v>
      </c>
      <c r="B12" s="123" t="str">
        <f>'2 ALIYAH G'!B12</f>
        <v>KAMALA SAFIRUL ARWA</v>
      </c>
      <c r="C12" s="84">
        <f>'2 ALIYAH G'!C12</f>
        <v>2696</v>
      </c>
      <c r="D12" s="19" t="s">
        <v>24</v>
      </c>
      <c r="E12" s="3" t="str">
        <f t="shared" si="3"/>
        <v>٥</v>
      </c>
      <c r="F12" s="3">
        <v>5</v>
      </c>
      <c r="G12" s="3" t="s">
        <v>56</v>
      </c>
      <c r="H12" s="3">
        <v>9</v>
      </c>
      <c r="I12" s="3">
        <v>9</v>
      </c>
      <c r="J12" s="3">
        <v>8</v>
      </c>
      <c r="K12" s="3">
        <v>8</v>
      </c>
      <c r="L12" s="3">
        <v>9</v>
      </c>
      <c r="M12" s="3">
        <v>8</v>
      </c>
      <c r="N12" s="3">
        <v>5</v>
      </c>
      <c r="O12" s="3">
        <v>8</v>
      </c>
      <c r="P12" s="3">
        <v>7</v>
      </c>
      <c r="Q12" s="3">
        <v>7</v>
      </c>
      <c r="R12" s="3">
        <v>8</v>
      </c>
      <c r="S12" s="3">
        <v>7</v>
      </c>
      <c r="T12" s="4">
        <f t="shared" si="4"/>
        <v>98</v>
      </c>
      <c r="U12" s="44" t="s">
        <v>56</v>
      </c>
      <c r="V12" s="44" t="s">
        <v>56</v>
      </c>
      <c r="X12" s="27">
        <f>'2 ALIYAH G'!T12</f>
        <v>100</v>
      </c>
      <c r="Y12" s="27">
        <f t="shared" si="0"/>
        <v>98</v>
      </c>
      <c r="Z12" s="28">
        <f t="shared" si="1"/>
        <v>198</v>
      </c>
      <c r="AA12" s="27">
        <v>26</v>
      </c>
      <c r="AB12" s="28">
        <f t="shared" si="5"/>
        <v>8</v>
      </c>
      <c r="AC12" s="29" t="str">
        <f t="shared" si="2"/>
        <v>الجيد الثاني</v>
      </c>
      <c r="AE12" s="51" t="str">
        <f>'2 ALIYAH G'!U12</f>
        <v>-</v>
      </c>
      <c r="AF12" s="51" t="str">
        <f t="shared" si="8"/>
        <v>-</v>
      </c>
      <c r="AG12" s="52">
        <f t="shared" si="6"/>
        <v>0</v>
      </c>
      <c r="AI12" s="51" t="str">
        <f>'2 ALIYAH G'!V12</f>
        <v>-</v>
      </c>
      <c r="AJ12" s="51" t="str">
        <f>V12:V31</f>
        <v>-</v>
      </c>
      <c r="AK12" s="52">
        <f t="shared" si="7"/>
        <v>0</v>
      </c>
    </row>
    <row r="13" spans="1:37" s="1" customFormat="1" ht="25.15" customHeight="1" thickBot="1" x14ac:dyDescent="0.3">
      <c r="A13" s="19" t="str">
        <f>'2 ALIYAH G'!A13</f>
        <v>14</v>
      </c>
      <c r="B13" s="123" t="str">
        <f>'2 ALIYAH G'!B13</f>
        <v>KHASNA NILNAL MUNA THOHA PUTRI</v>
      </c>
      <c r="C13" s="84">
        <f>'2 ALIYAH G'!C13</f>
        <v>2864</v>
      </c>
      <c r="D13" s="19" t="s">
        <v>25</v>
      </c>
      <c r="E13" s="3" t="str">
        <f t="shared" si="3"/>
        <v>٩</v>
      </c>
      <c r="F13" s="3">
        <v>9</v>
      </c>
      <c r="G13" s="3" t="s">
        <v>56</v>
      </c>
      <c r="H13" s="3">
        <v>9</v>
      </c>
      <c r="I13" s="3">
        <v>9</v>
      </c>
      <c r="J13" s="3">
        <v>9</v>
      </c>
      <c r="K13" s="3">
        <v>9</v>
      </c>
      <c r="L13" s="3">
        <v>9</v>
      </c>
      <c r="M13" s="3">
        <v>9</v>
      </c>
      <c r="N13" s="3">
        <v>9</v>
      </c>
      <c r="O13" s="3">
        <v>9</v>
      </c>
      <c r="P13" s="3">
        <v>9</v>
      </c>
      <c r="Q13" s="3">
        <v>9</v>
      </c>
      <c r="R13" s="3">
        <v>9</v>
      </c>
      <c r="S13" s="3">
        <v>8</v>
      </c>
      <c r="T13" s="4">
        <f t="shared" si="4"/>
        <v>116</v>
      </c>
      <c r="U13" s="44">
        <v>10</v>
      </c>
      <c r="V13" s="44" t="s">
        <v>56</v>
      </c>
      <c r="X13" s="27">
        <f>'2 ALIYAH G'!T13</f>
        <v>115</v>
      </c>
      <c r="Y13" s="27">
        <f t="shared" si="0"/>
        <v>116</v>
      </c>
      <c r="Z13" s="28">
        <f t="shared" si="1"/>
        <v>231</v>
      </c>
      <c r="AA13" s="27">
        <v>26</v>
      </c>
      <c r="AB13" s="28">
        <f t="shared" si="5"/>
        <v>9</v>
      </c>
      <c r="AC13" s="29" t="str">
        <f t="shared" si="2"/>
        <v>الجيد الأول</v>
      </c>
      <c r="AE13" s="51">
        <f>'2 ALIYAH G'!U13</f>
        <v>1</v>
      </c>
      <c r="AF13" s="51">
        <f t="shared" si="8"/>
        <v>10</v>
      </c>
      <c r="AG13" s="52">
        <f t="shared" si="6"/>
        <v>11</v>
      </c>
      <c r="AI13" s="51" t="str">
        <f>'2 ALIYAH G'!V13</f>
        <v>-</v>
      </c>
      <c r="AJ13" s="51" t="str">
        <f>V13:V31</f>
        <v>-</v>
      </c>
      <c r="AK13" s="52">
        <f t="shared" si="7"/>
        <v>0</v>
      </c>
    </row>
    <row r="14" spans="1:37" s="59" customFormat="1" ht="25.15" customHeight="1" thickBot="1" x14ac:dyDescent="0.3">
      <c r="A14" s="19" t="str">
        <f>'2 ALIYAH G'!A14</f>
        <v>15</v>
      </c>
      <c r="B14" s="123" t="str">
        <f>'2 ALIYAH G'!B14</f>
        <v>KURNIA DWITA HAPSARI</v>
      </c>
      <c r="C14" s="84">
        <f>'2 ALIYAH G'!C14</f>
        <v>2830</v>
      </c>
      <c r="D14" s="19" t="s">
        <v>26</v>
      </c>
      <c r="E14" s="151" t="str">
        <f t="shared" si="3"/>
        <v>٦</v>
      </c>
      <c r="F14" s="151">
        <v>6</v>
      </c>
      <c r="G14" s="151" t="s">
        <v>56</v>
      </c>
      <c r="H14" s="151">
        <v>9</v>
      </c>
      <c r="I14" s="151">
        <v>8</v>
      </c>
      <c r="J14" s="151">
        <v>5</v>
      </c>
      <c r="K14" s="151">
        <v>4</v>
      </c>
      <c r="L14" s="151">
        <v>6</v>
      </c>
      <c r="M14" s="151">
        <v>5</v>
      </c>
      <c r="N14" s="151">
        <v>4</v>
      </c>
      <c r="O14" s="151">
        <v>4</v>
      </c>
      <c r="P14" s="151">
        <v>8</v>
      </c>
      <c r="Q14" s="151">
        <v>7</v>
      </c>
      <c r="R14" s="151">
        <v>9</v>
      </c>
      <c r="S14" s="151">
        <v>8</v>
      </c>
      <c r="T14" s="4">
        <f t="shared" si="4"/>
        <v>83</v>
      </c>
      <c r="U14" s="44">
        <v>10</v>
      </c>
      <c r="V14" s="44" t="s">
        <v>56</v>
      </c>
      <c r="X14" s="27">
        <f>'2 ALIYAH G'!T14</f>
        <v>88</v>
      </c>
      <c r="Y14" s="27">
        <f t="shared" si="0"/>
        <v>83</v>
      </c>
      <c r="Z14" s="60">
        <f t="shared" si="1"/>
        <v>171</v>
      </c>
      <c r="AA14" s="27">
        <v>26</v>
      </c>
      <c r="AB14" s="60">
        <f t="shared" si="5"/>
        <v>7</v>
      </c>
      <c r="AC14" s="29" t="str">
        <f t="shared" si="2"/>
        <v>المتوسط الأول</v>
      </c>
      <c r="AE14" s="61">
        <f>'2 ALIYAH G'!U13</f>
        <v>1</v>
      </c>
      <c r="AF14" s="61">
        <f t="shared" si="8"/>
        <v>10</v>
      </c>
      <c r="AG14" s="61">
        <f t="shared" si="6"/>
        <v>11</v>
      </c>
      <c r="AI14" s="61" t="str">
        <f>'2 ALIYAH G'!V13</f>
        <v>-</v>
      </c>
      <c r="AJ14" s="61" t="str">
        <f t="shared" ref="AJ14:AJ31" si="9">V14:V31</f>
        <v>-</v>
      </c>
      <c r="AK14" s="61">
        <f t="shared" si="7"/>
        <v>0</v>
      </c>
    </row>
    <row r="15" spans="1:37" s="1" customFormat="1" ht="25.15" customHeight="1" thickBot="1" x14ac:dyDescent="0.3">
      <c r="A15" s="19" t="str">
        <f>'2 ALIYAH G'!A15</f>
        <v>16</v>
      </c>
      <c r="B15" s="123" t="str">
        <f>'2 ALIYAH G'!B15</f>
        <v>LU'LUATUL AZIZAH</v>
      </c>
      <c r="C15" s="84">
        <f>'2 ALIYAH G'!C15</f>
        <v>2659</v>
      </c>
      <c r="D15" s="19" t="s">
        <v>27</v>
      </c>
      <c r="E15" s="3" t="str">
        <f t="shared" si="3"/>
        <v>٧</v>
      </c>
      <c r="F15" s="3">
        <v>7</v>
      </c>
      <c r="G15" s="3" t="s">
        <v>56</v>
      </c>
      <c r="H15" s="3">
        <v>7</v>
      </c>
      <c r="I15" s="3">
        <v>7</v>
      </c>
      <c r="J15" s="3">
        <v>7</v>
      </c>
      <c r="K15" s="3">
        <v>8</v>
      </c>
      <c r="L15" s="3">
        <v>5</v>
      </c>
      <c r="M15" s="3">
        <v>4</v>
      </c>
      <c r="N15" s="3">
        <v>4</v>
      </c>
      <c r="O15" s="3">
        <v>6</v>
      </c>
      <c r="P15" s="3">
        <v>8</v>
      </c>
      <c r="Q15" s="3">
        <v>7</v>
      </c>
      <c r="R15" s="3">
        <v>8</v>
      </c>
      <c r="S15" s="3">
        <v>8</v>
      </c>
      <c r="T15" s="4">
        <f t="shared" si="4"/>
        <v>86</v>
      </c>
      <c r="U15" s="44">
        <v>1</v>
      </c>
      <c r="V15" s="44" t="s">
        <v>56</v>
      </c>
      <c r="X15" s="27">
        <f>'2 ALIYAH G'!T15</f>
        <v>90</v>
      </c>
      <c r="Y15" s="27">
        <f t="shared" si="0"/>
        <v>86</v>
      </c>
      <c r="Z15" s="28">
        <f t="shared" si="1"/>
        <v>176</v>
      </c>
      <c r="AA15" s="27">
        <v>26</v>
      </c>
      <c r="AB15" s="28">
        <f t="shared" si="5"/>
        <v>7</v>
      </c>
      <c r="AC15" s="29" t="str">
        <f t="shared" si="2"/>
        <v>المتوسط الأول</v>
      </c>
      <c r="AE15" s="51">
        <f>'2 ALIYAH G'!U14</f>
        <v>2</v>
      </c>
      <c r="AF15" s="51">
        <f t="shared" si="8"/>
        <v>1</v>
      </c>
      <c r="AG15" s="52">
        <f t="shared" si="6"/>
        <v>3</v>
      </c>
      <c r="AI15" s="51" t="str">
        <f>'2 ALIYAH G'!V14</f>
        <v>-</v>
      </c>
      <c r="AJ15" s="51" t="str">
        <f t="shared" si="9"/>
        <v>-</v>
      </c>
      <c r="AK15" s="52">
        <f t="shared" si="7"/>
        <v>0</v>
      </c>
    </row>
    <row r="16" spans="1:37" s="1" customFormat="1" ht="25.15" customHeight="1" thickBot="1" x14ac:dyDescent="0.3">
      <c r="A16" s="19" t="str">
        <f>'2 ALIYAH G'!A16</f>
        <v>17</v>
      </c>
      <c r="B16" s="123" t="str">
        <f>'2 ALIYAH G'!B16</f>
        <v>LUM'ATUNNISRINA</v>
      </c>
      <c r="C16" s="84">
        <f>'2 ALIYAH G'!C16</f>
        <v>2736</v>
      </c>
      <c r="D16" s="19" t="s">
        <v>28</v>
      </c>
      <c r="E16" s="3" t="str">
        <f t="shared" si="3"/>
        <v>٨</v>
      </c>
      <c r="F16" s="3">
        <v>8</v>
      </c>
      <c r="G16" s="3" t="s">
        <v>56</v>
      </c>
      <c r="H16" s="3">
        <v>8</v>
      </c>
      <c r="I16" s="3">
        <v>7</v>
      </c>
      <c r="J16" s="3">
        <v>7</v>
      </c>
      <c r="K16" s="3">
        <v>7</v>
      </c>
      <c r="L16" s="3">
        <v>9</v>
      </c>
      <c r="M16" s="3">
        <v>8</v>
      </c>
      <c r="N16" s="3">
        <v>5</v>
      </c>
      <c r="O16" s="3">
        <v>6</v>
      </c>
      <c r="P16" s="3">
        <v>8</v>
      </c>
      <c r="Q16" s="3">
        <v>7</v>
      </c>
      <c r="R16" s="3">
        <v>8</v>
      </c>
      <c r="S16" s="3">
        <v>8</v>
      </c>
      <c r="T16" s="4">
        <f t="shared" si="4"/>
        <v>96</v>
      </c>
      <c r="U16" s="44" t="s">
        <v>56</v>
      </c>
      <c r="V16" s="44" t="s">
        <v>56</v>
      </c>
      <c r="X16" s="27">
        <f>'2 ALIYAH G'!T16</f>
        <v>101</v>
      </c>
      <c r="Y16" s="27">
        <f t="shared" si="0"/>
        <v>96</v>
      </c>
      <c r="Z16" s="28">
        <f t="shared" si="1"/>
        <v>197</v>
      </c>
      <c r="AA16" s="27">
        <v>26</v>
      </c>
      <c r="AB16" s="28">
        <f t="shared" si="5"/>
        <v>8</v>
      </c>
      <c r="AC16" s="29" t="str">
        <f t="shared" si="2"/>
        <v>الجيد الثاني</v>
      </c>
      <c r="AE16" s="51">
        <f>'2 ALIYAH G'!U15</f>
        <v>2</v>
      </c>
      <c r="AF16" s="51" t="str">
        <f t="shared" si="8"/>
        <v>-</v>
      </c>
      <c r="AG16" s="52">
        <f t="shared" si="6"/>
        <v>2</v>
      </c>
      <c r="AI16" s="51" t="str">
        <f>'2 ALIYAH G'!V15</f>
        <v>-</v>
      </c>
      <c r="AJ16" s="51" t="str">
        <f t="shared" si="9"/>
        <v>-</v>
      </c>
      <c r="AK16" s="52">
        <f t="shared" si="7"/>
        <v>0</v>
      </c>
    </row>
    <row r="17" spans="1:37" s="1" customFormat="1" ht="25.15" customHeight="1" thickBot="1" x14ac:dyDescent="0.3">
      <c r="A17" s="19">
        <f>'2 ALIYAH G'!A17</f>
        <v>18</v>
      </c>
      <c r="B17" s="123" t="str">
        <f>'2 ALIYAH G'!B17</f>
        <v>NABILA NAILI ALVI KAROMAH</v>
      </c>
      <c r="C17" s="84">
        <f>'2 ALIYAH G'!C17</f>
        <v>2873</v>
      </c>
      <c r="D17" s="19" t="s">
        <v>29</v>
      </c>
      <c r="E17" s="3" t="str">
        <f t="shared" si="3"/>
        <v>٧</v>
      </c>
      <c r="F17" s="3">
        <v>7</v>
      </c>
      <c r="G17" s="3" t="s">
        <v>56</v>
      </c>
      <c r="H17" s="3">
        <v>8</v>
      </c>
      <c r="I17" s="3">
        <v>8</v>
      </c>
      <c r="J17" s="3">
        <v>7</v>
      </c>
      <c r="K17" s="3">
        <v>9</v>
      </c>
      <c r="L17" s="3">
        <v>9</v>
      </c>
      <c r="M17" s="3">
        <v>9</v>
      </c>
      <c r="N17" s="3">
        <v>6</v>
      </c>
      <c r="O17" s="3">
        <v>9</v>
      </c>
      <c r="P17" s="3">
        <v>9</v>
      </c>
      <c r="Q17" s="3">
        <v>8</v>
      </c>
      <c r="R17" s="3">
        <v>9</v>
      </c>
      <c r="S17" s="3">
        <v>8</v>
      </c>
      <c r="T17" s="4">
        <f t="shared" si="4"/>
        <v>106</v>
      </c>
      <c r="U17" s="44">
        <v>2</v>
      </c>
      <c r="V17" s="44" t="s">
        <v>56</v>
      </c>
      <c r="X17" s="27">
        <f>'2 ALIYAH G'!T17</f>
        <v>100</v>
      </c>
      <c r="Y17" s="27">
        <f t="shared" si="0"/>
        <v>106</v>
      </c>
      <c r="Z17" s="28">
        <f t="shared" si="1"/>
        <v>206</v>
      </c>
      <c r="AA17" s="27">
        <v>26</v>
      </c>
      <c r="AB17" s="28">
        <f t="shared" si="5"/>
        <v>8</v>
      </c>
      <c r="AC17" s="29" t="str">
        <f t="shared" si="2"/>
        <v>الجيد الثاني</v>
      </c>
      <c r="AE17" s="51">
        <f>'2 ALIYAH G'!U16</f>
        <v>3</v>
      </c>
      <c r="AF17" s="51">
        <f t="shared" si="8"/>
        <v>2</v>
      </c>
      <c r="AG17" s="52">
        <f t="shared" si="6"/>
        <v>5</v>
      </c>
      <c r="AI17" s="51" t="str">
        <f>'2 ALIYAH G'!V16</f>
        <v>-</v>
      </c>
      <c r="AJ17" s="51" t="str">
        <f t="shared" si="9"/>
        <v>-</v>
      </c>
      <c r="AK17" s="52">
        <f t="shared" si="7"/>
        <v>0</v>
      </c>
    </row>
    <row r="18" spans="1:37" s="1" customFormat="1" ht="25.15" customHeight="1" thickBot="1" x14ac:dyDescent="0.3">
      <c r="A18" s="19" t="str">
        <f>'2 ALIYAH G'!A18</f>
        <v>19</v>
      </c>
      <c r="B18" s="123" t="str">
        <f>'2 ALIYAH G'!B18</f>
        <v>NADYA IZZATUL MAULA SALSABILA</v>
      </c>
      <c r="C18" s="84">
        <f>'2 ALIYAH G'!C18</f>
        <v>2770</v>
      </c>
      <c r="D18" s="19" t="s">
        <v>30</v>
      </c>
      <c r="E18" s="3" t="str">
        <f t="shared" si="3"/>
        <v>٦</v>
      </c>
      <c r="F18" s="3">
        <v>6</v>
      </c>
      <c r="G18" s="3" t="s">
        <v>56</v>
      </c>
      <c r="H18" s="3">
        <v>9</v>
      </c>
      <c r="I18" s="3">
        <v>8</v>
      </c>
      <c r="J18" s="3">
        <v>9</v>
      </c>
      <c r="K18" s="3">
        <v>8</v>
      </c>
      <c r="L18" s="3">
        <v>9</v>
      </c>
      <c r="M18" s="3">
        <v>7</v>
      </c>
      <c r="N18" s="3">
        <v>5</v>
      </c>
      <c r="O18" s="3">
        <v>5</v>
      </c>
      <c r="P18" s="3">
        <v>9</v>
      </c>
      <c r="Q18" s="3">
        <v>9</v>
      </c>
      <c r="R18" s="3">
        <v>9</v>
      </c>
      <c r="S18" s="3">
        <v>8</v>
      </c>
      <c r="T18" s="4">
        <f t="shared" si="4"/>
        <v>101</v>
      </c>
      <c r="U18" s="44" t="s">
        <v>56</v>
      </c>
      <c r="V18" s="44" t="s">
        <v>56</v>
      </c>
      <c r="X18" s="27">
        <f>'2 ALIYAH G'!T18</f>
        <v>101</v>
      </c>
      <c r="Y18" s="27">
        <f t="shared" si="0"/>
        <v>101</v>
      </c>
      <c r="Z18" s="28">
        <f t="shared" si="1"/>
        <v>202</v>
      </c>
      <c r="AA18" s="27">
        <v>26</v>
      </c>
      <c r="AB18" s="28">
        <f t="shared" si="5"/>
        <v>8</v>
      </c>
      <c r="AC18" s="29" t="str">
        <f t="shared" si="2"/>
        <v>الجيد الثاني</v>
      </c>
      <c r="AE18" s="51">
        <f>'2 ALIYAH G'!U17</f>
        <v>2</v>
      </c>
      <c r="AF18" s="51" t="str">
        <f t="shared" si="8"/>
        <v>-</v>
      </c>
      <c r="AG18" s="52">
        <f t="shared" si="6"/>
        <v>2</v>
      </c>
      <c r="AI18" s="51" t="str">
        <f>'2 ALIYAH G'!V17</f>
        <v>-</v>
      </c>
      <c r="AJ18" s="51" t="str">
        <f t="shared" si="9"/>
        <v>-</v>
      </c>
      <c r="AK18" s="52">
        <f t="shared" si="7"/>
        <v>0</v>
      </c>
    </row>
    <row r="19" spans="1:37" s="1" customFormat="1" ht="25.15" customHeight="1" thickBot="1" x14ac:dyDescent="0.3">
      <c r="A19" s="19">
        <f>'2 ALIYAH G'!A19</f>
        <v>20</v>
      </c>
      <c r="B19" s="123" t="str">
        <f>'2 ALIYAH G'!B19</f>
        <v>NAELA AENAN NABILAH</v>
      </c>
      <c r="C19" s="84">
        <f>'2 ALIYAH G'!C19</f>
        <v>2740</v>
      </c>
      <c r="D19" s="19" t="s">
        <v>31</v>
      </c>
      <c r="E19" s="3" t="str">
        <f t="shared" si="3"/>
        <v>٧</v>
      </c>
      <c r="F19" s="3">
        <v>7</v>
      </c>
      <c r="G19" s="3" t="s">
        <v>56</v>
      </c>
      <c r="H19" s="3">
        <v>9</v>
      </c>
      <c r="I19" s="3">
        <v>7</v>
      </c>
      <c r="J19" s="3">
        <v>9</v>
      </c>
      <c r="K19" s="3">
        <v>9</v>
      </c>
      <c r="L19" s="3">
        <v>8</v>
      </c>
      <c r="M19" s="3">
        <v>4</v>
      </c>
      <c r="N19" s="3">
        <v>7</v>
      </c>
      <c r="O19" s="3">
        <v>8</v>
      </c>
      <c r="P19" s="3">
        <v>8</v>
      </c>
      <c r="Q19" s="3">
        <v>7</v>
      </c>
      <c r="R19" s="3">
        <v>8</v>
      </c>
      <c r="S19" s="3">
        <v>8</v>
      </c>
      <c r="T19" s="4">
        <f t="shared" si="4"/>
        <v>99</v>
      </c>
      <c r="U19" s="44" t="s">
        <v>56</v>
      </c>
      <c r="V19" s="44" t="s">
        <v>56</v>
      </c>
      <c r="X19" s="27">
        <f>'2 ALIYAH G'!T19</f>
        <v>94</v>
      </c>
      <c r="Y19" s="27">
        <f t="shared" si="0"/>
        <v>99</v>
      </c>
      <c r="Z19" s="28">
        <f t="shared" si="1"/>
        <v>193</v>
      </c>
      <c r="AA19" s="27">
        <v>26</v>
      </c>
      <c r="AB19" s="28">
        <f t="shared" si="5"/>
        <v>7</v>
      </c>
      <c r="AC19" s="29" t="str">
        <f t="shared" si="2"/>
        <v>المتوسط الأول</v>
      </c>
      <c r="AE19" s="51" t="str">
        <f>'2 ALIYAH G'!U18</f>
        <v>-</v>
      </c>
      <c r="AF19" s="51" t="str">
        <f t="shared" si="8"/>
        <v>-</v>
      </c>
      <c r="AG19" s="52">
        <f t="shared" si="6"/>
        <v>0</v>
      </c>
      <c r="AI19" s="51" t="str">
        <f>'2 ALIYAH G'!V18</f>
        <v>-</v>
      </c>
      <c r="AJ19" s="51" t="str">
        <f t="shared" si="9"/>
        <v>-</v>
      </c>
      <c r="AK19" s="52">
        <f t="shared" si="7"/>
        <v>0</v>
      </c>
    </row>
    <row r="20" spans="1:37" s="1" customFormat="1" ht="25.15" customHeight="1" thickBot="1" x14ac:dyDescent="0.3">
      <c r="A20" s="19">
        <f>'2 ALIYAH G'!A20</f>
        <v>21</v>
      </c>
      <c r="B20" s="123" t="str">
        <f>'2 ALIYAH G'!B20</f>
        <v>NAJWA DAROIN</v>
      </c>
      <c r="C20" s="84">
        <f>'2 ALIYAH G'!C20</f>
        <v>2667</v>
      </c>
      <c r="D20" s="19" t="s">
        <v>32</v>
      </c>
      <c r="E20" s="3" t="str">
        <f t="shared" si="3"/>
        <v>٨</v>
      </c>
      <c r="F20" s="3">
        <v>8</v>
      </c>
      <c r="G20" s="3" t="s">
        <v>56</v>
      </c>
      <c r="H20" s="3">
        <v>9</v>
      </c>
      <c r="I20" s="3">
        <v>9</v>
      </c>
      <c r="J20" s="3">
        <v>8</v>
      </c>
      <c r="K20" s="3">
        <v>8</v>
      </c>
      <c r="L20" s="3">
        <v>9</v>
      </c>
      <c r="M20" s="3">
        <v>8</v>
      </c>
      <c r="N20" s="3">
        <v>9</v>
      </c>
      <c r="O20" s="3">
        <v>6</v>
      </c>
      <c r="P20" s="3">
        <v>8</v>
      </c>
      <c r="Q20" s="3">
        <v>7</v>
      </c>
      <c r="R20" s="3">
        <v>8</v>
      </c>
      <c r="S20" s="3">
        <v>8</v>
      </c>
      <c r="T20" s="4">
        <f t="shared" si="4"/>
        <v>105</v>
      </c>
      <c r="U20" s="44" t="s">
        <v>56</v>
      </c>
      <c r="V20" s="44" t="s">
        <v>56</v>
      </c>
      <c r="X20" s="27">
        <f>'2 ALIYAH G'!T20</f>
        <v>108</v>
      </c>
      <c r="Y20" s="27">
        <f t="shared" si="0"/>
        <v>105</v>
      </c>
      <c r="Z20" s="28">
        <f t="shared" si="1"/>
        <v>213</v>
      </c>
      <c r="AA20" s="27">
        <v>26</v>
      </c>
      <c r="AB20" s="28">
        <f t="shared" si="5"/>
        <v>8</v>
      </c>
      <c r="AC20" s="29" t="str">
        <f t="shared" si="2"/>
        <v>الجيد الثاني</v>
      </c>
      <c r="AE20" s="51" t="str">
        <f>'2 ALIYAH G'!U19</f>
        <v>-</v>
      </c>
      <c r="AF20" s="51" t="str">
        <f t="shared" si="8"/>
        <v>-</v>
      </c>
      <c r="AG20" s="52">
        <f t="shared" si="6"/>
        <v>0</v>
      </c>
      <c r="AI20" s="51" t="str">
        <f>'2 ALIYAH G'!V19</f>
        <v>-</v>
      </c>
      <c r="AJ20" s="51" t="str">
        <f t="shared" si="9"/>
        <v>-</v>
      </c>
      <c r="AK20" s="52">
        <f t="shared" si="7"/>
        <v>0</v>
      </c>
    </row>
    <row r="21" spans="1:37" s="1" customFormat="1" ht="25.15" customHeight="1" thickBot="1" x14ac:dyDescent="0.3">
      <c r="A21" s="19">
        <f>'2 ALIYAH G'!A21</f>
        <v>22</v>
      </c>
      <c r="B21" s="123" t="str">
        <f>'2 ALIYAH G'!B21</f>
        <v>PUTRI INDAH WANTI</v>
      </c>
      <c r="C21" s="84">
        <f>'2 ALIYAH G'!C21</f>
        <v>2671</v>
      </c>
      <c r="D21" s="19" t="s">
        <v>33</v>
      </c>
      <c r="E21" s="3" t="str">
        <f t="shared" si="3"/>
        <v>٩</v>
      </c>
      <c r="F21" s="3">
        <v>9</v>
      </c>
      <c r="G21" s="3" t="s">
        <v>56</v>
      </c>
      <c r="H21" s="3">
        <v>8</v>
      </c>
      <c r="I21" s="3">
        <v>9</v>
      </c>
      <c r="J21" s="3">
        <v>8</v>
      </c>
      <c r="K21" s="3">
        <v>7</v>
      </c>
      <c r="L21" s="3">
        <v>9</v>
      </c>
      <c r="M21" s="3">
        <v>4</v>
      </c>
      <c r="N21" s="3">
        <v>7</v>
      </c>
      <c r="O21" s="3">
        <v>7</v>
      </c>
      <c r="P21" s="3">
        <v>7</v>
      </c>
      <c r="Q21" s="3">
        <v>7</v>
      </c>
      <c r="R21" s="3">
        <v>8</v>
      </c>
      <c r="S21" s="3">
        <v>8</v>
      </c>
      <c r="T21" s="4">
        <f t="shared" si="4"/>
        <v>98</v>
      </c>
      <c r="U21" s="44">
        <v>3</v>
      </c>
      <c r="V21" s="44" t="s">
        <v>56</v>
      </c>
      <c r="X21" s="27">
        <f>'2 ALIYAH G'!T21</f>
        <v>90</v>
      </c>
      <c r="Y21" s="27">
        <f t="shared" si="0"/>
        <v>98</v>
      </c>
      <c r="Z21" s="28">
        <f t="shared" si="1"/>
        <v>188</v>
      </c>
      <c r="AA21" s="27">
        <v>26</v>
      </c>
      <c r="AB21" s="28">
        <f t="shared" si="5"/>
        <v>7</v>
      </c>
      <c r="AC21" s="29" t="str">
        <f t="shared" si="2"/>
        <v>المتوسط الأول</v>
      </c>
      <c r="AE21" s="51" t="str">
        <f>'2 ALIYAH G'!U20</f>
        <v>-</v>
      </c>
      <c r="AF21" s="51">
        <f t="shared" si="8"/>
        <v>3</v>
      </c>
      <c r="AG21" s="52">
        <f t="shared" si="6"/>
        <v>3</v>
      </c>
      <c r="AI21" s="51" t="str">
        <f>'2 ALIYAH G'!V20</f>
        <v>-</v>
      </c>
      <c r="AJ21" s="51" t="str">
        <f t="shared" si="9"/>
        <v>-</v>
      </c>
      <c r="AK21" s="52">
        <f t="shared" si="7"/>
        <v>0</v>
      </c>
    </row>
    <row r="22" spans="1:37" s="1" customFormat="1" ht="25.15" customHeight="1" thickBot="1" x14ac:dyDescent="0.3">
      <c r="A22" s="19">
        <f>'2 ALIYAH G'!A22</f>
        <v>23</v>
      </c>
      <c r="B22" s="123" t="str">
        <f>'2 ALIYAH G'!B22</f>
        <v>QURROTA A'YUN</v>
      </c>
      <c r="C22" s="84">
        <f>'2 ALIYAH G'!C22</f>
        <v>2842</v>
      </c>
      <c r="D22" s="19" t="s">
        <v>34</v>
      </c>
      <c r="E22" s="3" t="str">
        <f t="shared" si="3"/>
        <v>٩</v>
      </c>
      <c r="F22" s="3">
        <v>9</v>
      </c>
      <c r="G22" s="3" t="s">
        <v>56</v>
      </c>
      <c r="H22" s="3">
        <v>9</v>
      </c>
      <c r="I22" s="3">
        <v>9</v>
      </c>
      <c r="J22" s="3">
        <v>9</v>
      </c>
      <c r="K22" s="3">
        <v>9</v>
      </c>
      <c r="L22" s="3">
        <v>9</v>
      </c>
      <c r="M22" s="3">
        <v>7</v>
      </c>
      <c r="N22" s="3">
        <v>8</v>
      </c>
      <c r="O22" s="3">
        <v>9</v>
      </c>
      <c r="P22" s="3">
        <v>9</v>
      </c>
      <c r="Q22" s="3">
        <v>9</v>
      </c>
      <c r="R22" s="3">
        <v>9</v>
      </c>
      <c r="S22" s="3">
        <v>8</v>
      </c>
      <c r="T22" s="4">
        <f t="shared" si="4"/>
        <v>113</v>
      </c>
      <c r="U22" s="44" t="s">
        <v>56</v>
      </c>
      <c r="V22" s="44" t="s">
        <v>56</v>
      </c>
      <c r="X22" s="27">
        <f>'2 ALIYAH G'!T22</f>
        <v>105</v>
      </c>
      <c r="Y22" s="27">
        <f t="shared" si="0"/>
        <v>113</v>
      </c>
      <c r="Z22" s="28">
        <f t="shared" si="1"/>
        <v>218</v>
      </c>
      <c r="AA22" s="27">
        <v>26</v>
      </c>
      <c r="AB22" s="28">
        <f t="shared" si="5"/>
        <v>8</v>
      </c>
      <c r="AC22" s="29" t="str">
        <f t="shared" si="2"/>
        <v>الجيد الثاني</v>
      </c>
      <c r="AE22" s="51">
        <f>'2 ALIYAH G'!U21</f>
        <v>2</v>
      </c>
      <c r="AF22" s="51" t="str">
        <f t="shared" si="8"/>
        <v>-</v>
      </c>
      <c r="AG22" s="52">
        <f t="shared" si="6"/>
        <v>2</v>
      </c>
      <c r="AI22" s="51">
        <f>'2 ALIYAH G'!V21</f>
        <v>0</v>
      </c>
      <c r="AJ22" s="51" t="str">
        <f t="shared" si="9"/>
        <v>-</v>
      </c>
      <c r="AK22" s="52">
        <f t="shared" si="7"/>
        <v>0</v>
      </c>
    </row>
    <row r="23" spans="1:37" s="1" customFormat="1" ht="25.15" customHeight="1" thickBot="1" x14ac:dyDescent="0.3">
      <c r="A23" s="19">
        <f>'2 ALIYAH G'!A23</f>
        <v>24</v>
      </c>
      <c r="B23" s="123" t="str">
        <f>'2 ALIYAH G'!B23</f>
        <v>RAHMAWATI</v>
      </c>
      <c r="C23" s="84">
        <f>'2 ALIYAH G'!C23</f>
        <v>2874</v>
      </c>
      <c r="D23" s="19" t="s">
        <v>35</v>
      </c>
      <c r="E23" s="3" t="str">
        <f t="shared" si="3"/>
        <v>٦</v>
      </c>
      <c r="F23" s="3">
        <v>6</v>
      </c>
      <c r="G23" s="3" t="s">
        <v>56</v>
      </c>
      <c r="H23" s="3">
        <v>8</v>
      </c>
      <c r="I23" s="3">
        <v>6</v>
      </c>
      <c r="J23" s="3">
        <v>7</v>
      </c>
      <c r="K23" s="3">
        <v>5</v>
      </c>
      <c r="L23" s="3">
        <v>7</v>
      </c>
      <c r="M23" s="3">
        <v>6</v>
      </c>
      <c r="N23" s="3">
        <v>6</v>
      </c>
      <c r="O23" s="3">
        <v>5</v>
      </c>
      <c r="P23" s="3">
        <v>8</v>
      </c>
      <c r="Q23" s="3">
        <v>7</v>
      </c>
      <c r="R23" s="3">
        <v>8</v>
      </c>
      <c r="S23" s="3">
        <v>8</v>
      </c>
      <c r="T23" s="4">
        <f t="shared" si="4"/>
        <v>87</v>
      </c>
      <c r="U23" s="44" t="s">
        <v>56</v>
      </c>
      <c r="V23" s="44" t="s">
        <v>56</v>
      </c>
      <c r="X23" s="27">
        <f>'2 ALIYAH G'!T23</f>
        <v>87</v>
      </c>
      <c r="Y23" s="27">
        <f t="shared" si="0"/>
        <v>87</v>
      </c>
      <c r="Z23" s="28">
        <f t="shared" si="1"/>
        <v>174</v>
      </c>
      <c r="AA23" s="27">
        <v>26</v>
      </c>
      <c r="AB23" s="28">
        <f t="shared" si="5"/>
        <v>7</v>
      </c>
      <c r="AC23" s="29" t="str">
        <f t="shared" si="2"/>
        <v>المتوسط الأول</v>
      </c>
      <c r="AE23" s="51" t="str">
        <f>'2 ALIYAH G'!U22</f>
        <v>-</v>
      </c>
      <c r="AF23" s="51" t="str">
        <f t="shared" si="8"/>
        <v>-</v>
      </c>
      <c r="AG23" s="52">
        <f t="shared" si="6"/>
        <v>0</v>
      </c>
      <c r="AI23" s="51" t="str">
        <f>'2 ALIYAH G'!V22</f>
        <v>-</v>
      </c>
      <c r="AJ23" s="51" t="str">
        <f t="shared" si="9"/>
        <v>-</v>
      </c>
      <c r="AK23" s="52">
        <f t="shared" si="7"/>
        <v>0</v>
      </c>
    </row>
    <row r="24" spans="1:37" s="1" customFormat="1" ht="25.15" customHeight="1" thickBot="1" x14ac:dyDescent="0.3">
      <c r="A24" s="19">
        <f>'2 ALIYAH G'!A24</f>
        <v>25</v>
      </c>
      <c r="B24" s="123" t="str">
        <f>'2 ALIYAH G'!B24</f>
        <v>RINI NUR UTAMI</v>
      </c>
      <c r="C24" s="84">
        <f>'2 ALIYAH G'!C24</f>
        <v>2780</v>
      </c>
      <c r="D24" s="19" t="s">
        <v>36</v>
      </c>
      <c r="E24" s="3" t="str">
        <f t="shared" si="3"/>
        <v>٩</v>
      </c>
      <c r="F24" s="3">
        <v>9</v>
      </c>
      <c r="G24" s="3" t="s">
        <v>56</v>
      </c>
      <c r="H24" s="3">
        <v>9</v>
      </c>
      <c r="I24" s="3">
        <v>9</v>
      </c>
      <c r="J24" s="3">
        <v>7</v>
      </c>
      <c r="K24" s="3">
        <v>9</v>
      </c>
      <c r="L24" s="3">
        <v>8</v>
      </c>
      <c r="M24" s="3">
        <v>9</v>
      </c>
      <c r="N24" s="3">
        <v>8</v>
      </c>
      <c r="O24" s="3">
        <v>5</v>
      </c>
      <c r="P24" s="3">
        <v>9</v>
      </c>
      <c r="Q24" s="3">
        <v>9</v>
      </c>
      <c r="R24" s="3">
        <v>8</v>
      </c>
      <c r="S24" s="3">
        <v>8</v>
      </c>
      <c r="T24" s="4">
        <f t="shared" si="4"/>
        <v>107</v>
      </c>
      <c r="U24" s="44" t="s">
        <v>56</v>
      </c>
      <c r="V24" s="44" t="s">
        <v>56</v>
      </c>
      <c r="X24" s="27">
        <f>'2 ALIYAH G'!T24</f>
        <v>95</v>
      </c>
      <c r="Y24" s="27">
        <f t="shared" si="0"/>
        <v>107</v>
      </c>
      <c r="Z24" s="28">
        <f t="shared" si="1"/>
        <v>202</v>
      </c>
      <c r="AA24" s="27">
        <v>26</v>
      </c>
      <c r="AB24" s="28">
        <f t="shared" si="5"/>
        <v>8</v>
      </c>
      <c r="AC24" s="29" t="str">
        <f t="shared" si="2"/>
        <v>الجيد الثاني</v>
      </c>
      <c r="AE24" s="51" t="str">
        <f>'2 ALIYAH G'!U23</f>
        <v>-</v>
      </c>
      <c r="AF24" s="51" t="str">
        <f t="shared" si="8"/>
        <v>-</v>
      </c>
      <c r="AG24" s="52">
        <f t="shared" si="6"/>
        <v>0</v>
      </c>
      <c r="AI24" s="51" t="str">
        <f>'2 ALIYAH G'!V23</f>
        <v>-</v>
      </c>
      <c r="AJ24" s="51" t="str">
        <f t="shared" si="9"/>
        <v>-</v>
      </c>
      <c r="AK24" s="52">
        <f t="shared" si="7"/>
        <v>0</v>
      </c>
    </row>
    <row r="25" spans="1:37" s="1" customFormat="1" ht="25.15" customHeight="1" thickBot="1" x14ac:dyDescent="0.3">
      <c r="A25" s="19">
        <f>'2 ALIYAH G'!A25</f>
        <v>26</v>
      </c>
      <c r="B25" s="123" t="str">
        <f>'2 ALIYAH G'!B25</f>
        <v>SHERLIA TUS SYAHRONI</v>
      </c>
      <c r="C25" s="84">
        <f>'2 ALIYAH G'!C25</f>
        <v>2817</v>
      </c>
      <c r="D25" s="19" t="s">
        <v>37</v>
      </c>
      <c r="E25" s="3" t="str">
        <f t="shared" si="3"/>
        <v>٦</v>
      </c>
      <c r="F25" s="3">
        <v>6</v>
      </c>
      <c r="G25" s="3" t="s">
        <v>56</v>
      </c>
      <c r="H25" s="3">
        <v>9</v>
      </c>
      <c r="I25" s="3">
        <v>9</v>
      </c>
      <c r="J25" s="3">
        <v>6</v>
      </c>
      <c r="K25" s="3">
        <v>5</v>
      </c>
      <c r="L25" s="3">
        <v>7</v>
      </c>
      <c r="M25" s="3">
        <v>4</v>
      </c>
      <c r="N25" s="3">
        <v>4</v>
      </c>
      <c r="O25" s="3">
        <v>6</v>
      </c>
      <c r="P25" s="3">
        <v>8</v>
      </c>
      <c r="Q25" s="3">
        <v>7</v>
      </c>
      <c r="R25" s="3">
        <v>8</v>
      </c>
      <c r="S25" s="3">
        <v>7</v>
      </c>
      <c r="T25" s="4">
        <f t="shared" si="4"/>
        <v>86</v>
      </c>
      <c r="U25" s="44" t="s">
        <v>56</v>
      </c>
      <c r="V25" s="44" t="s">
        <v>56</v>
      </c>
      <c r="X25" s="27">
        <f>'2 ALIYAH G'!T25</f>
        <v>95</v>
      </c>
      <c r="Y25" s="27">
        <f t="shared" si="0"/>
        <v>86</v>
      </c>
      <c r="Z25" s="28">
        <f t="shared" si="1"/>
        <v>181</v>
      </c>
      <c r="AA25" s="27">
        <v>26</v>
      </c>
      <c r="AB25" s="28">
        <f t="shared" si="5"/>
        <v>7</v>
      </c>
      <c r="AC25" s="29" t="str">
        <f t="shared" si="2"/>
        <v>المتوسط الأول</v>
      </c>
      <c r="AE25" s="51">
        <f>'2 ALIYAH G'!U24</f>
        <v>6</v>
      </c>
      <c r="AF25" s="51" t="str">
        <f t="shared" si="8"/>
        <v>-</v>
      </c>
      <c r="AG25" s="52">
        <f t="shared" si="6"/>
        <v>6</v>
      </c>
      <c r="AI25" s="51" t="str">
        <f>'2 ALIYAH G'!V24</f>
        <v>-</v>
      </c>
      <c r="AJ25" s="51" t="str">
        <f t="shared" si="9"/>
        <v>-</v>
      </c>
      <c r="AK25" s="52">
        <f t="shared" si="7"/>
        <v>0</v>
      </c>
    </row>
    <row r="26" spans="1:37" s="1" customFormat="1" ht="25.15" customHeight="1" thickBot="1" x14ac:dyDescent="0.3">
      <c r="A26" s="19">
        <f>'2 ALIYAH G'!A26</f>
        <v>27</v>
      </c>
      <c r="B26" s="123" t="str">
        <f>'2 ALIYAH G'!B26</f>
        <v>SINTA ROHMATAL MAULA</v>
      </c>
      <c r="C26" s="84">
        <f>'2 ALIYAH G'!C26</f>
        <v>2847</v>
      </c>
      <c r="D26" s="19" t="s">
        <v>38</v>
      </c>
      <c r="E26" s="3" t="str">
        <f t="shared" si="3"/>
        <v>٧</v>
      </c>
      <c r="F26" s="3">
        <v>7</v>
      </c>
      <c r="G26" s="3" t="s">
        <v>56</v>
      </c>
      <c r="H26" s="3">
        <v>8</v>
      </c>
      <c r="I26" s="3">
        <v>9</v>
      </c>
      <c r="J26" s="3">
        <v>9</v>
      </c>
      <c r="K26" s="3">
        <v>7</v>
      </c>
      <c r="L26" s="3">
        <v>9</v>
      </c>
      <c r="M26" s="3">
        <v>7</v>
      </c>
      <c r="N26" s="3">
        <v>7</v>
      </c>
      <c r="O26" s="3">
        <v>9</v>
      </c>
      <c r="P26" s="3">
        <v>7</v>
      </c>
      <c r="Q26" s="3">
        <v>7</v>
      </c>
      <c r="R26" s="3">
        <v>8</v>
      </c>
      <c r="S26" s="3">
        <v>7</v>
      </c>
      <c r="T26" s="4">
        <f t="shared" si="4"/>
        <v>101</v>
      </c>
      <c r="U26" s="44" t="s">
        <v>56</v>
      </c>
      <c r="V26" s="44" t="s">
        <v>56</v>
      </c>
      <c r="X26" s="27">
        <f>'2 ALIYAH G'!T26</f>
        <v>110</v>
      </c>
      <c r="Y26" s="27">
        <f t="shared" si="0"/>
        <v>101</v>
      </c>
      <c r="Z26" s="28">
        <f t="shared" si="1"/>
        <v>211</v>
      </c>
      <c r="AA26" s="27">
        <v>26</v>
      </c>
      <c r="AB26" s="28">
        <f t="shared" si="5"/>
        <v>8</v>
      </c>
      <c r="AC26" s="29" t="str">
        <f t="shared" si="2"/>
        <v>الجيد الثاني</v>
      </c>
      <c r="AE26" s="51">
        <f>'2 ALIYAH G'!U25</f>
        <v>2</v>
      </c>
      <c r="AF26" s="51" t="str">
        <f t="shared" si="8"/>
        <v>-</v>
      </c>
      <c r="AG26" s="52">
        <f t="shared" si="6"/>
        <v>2</v>
      </c>
      <c r="AI26" s="51" t="str">
        <f>'2 ALIYAH G'!V25</f>
        <v>-</v>
      </c>
      <c r="AJ26" s="51" t="str">
        <f t="shared" si="9"/>
        <v>-</v>
      </c>
      <c r="AK26" s="52">
        <f t="shared" si="7"/>
        <v>0</v>
      </c>
    </row>
    <row r="27" spans="1:37" s="2" customFormat="1" ht="25.15" customHeight="1" thickBot="1" x14ac:dyDescent="0.3">
      <c r="A27" s="19">
        <f>'2 ALIYAH G'!A27</f>
        <v>28</v>
      </c>
      <c r="B27" s="123" t="str">
        <f>'2 ALIYAH G'!B27</f>
        <v>SITI CHUSNAYAINI</v>
      </c>
      <c r="C27" s="84">
        <f>'2 ALIYAH G'!C27</f>
        <v>2881</v>
      </c>
      <c r="D27" s="19" t="s">
        <v>39</v>
      </c>
      <c r="E27" s="3" t="str">
        <f t="shared" si="3"/>
        <v>٩</v>
      </c>
      <c r="F27" s="3">
        <v>9</v>
      </c>
      <c r="G27" s="3" t="s">
        <v>56</v>
      </c>
      <c r="H27" s="3">
        <v>9</v>
      </c>
      <c r="I27" s="3">
        <v>9</v>
      </c>
      <c r="J27" s="3">
        <v>9</v>
      </c>
      <c r="K27" s="3">
        <v>8</v>
      </c>
      <c r="L27" s="3">
        <v>9</v>
      </c>
      <c r="M27" s="3">
        <v>9</v>
      </c>
      <c r="N27" s="3">
        <v>9</v>
      </c>
      <c r="O27" s="3">
        <v>9</v>
      </c>
      <c r="P27" s="3">
        <v>9</v>
      </c>
      <c r="Q27" s="3">
        <v>9</v>
      </c>
      <c r="R27" s="3">
        <v>9</v>
      </c>
      <c r="S27" s="3">
        <v>8</v>
      </c>
      <c r="T27" s="4">
        <f t="shared" si="4"/>
        <v>115</v>
      </c>
      <c r="U27" s="44">
        <v>1</v>
      </c>
      <c r="V27" s="44" t="s">
        <v>56</v>
      </c>
      <c r="X27" s="27">
        <f>'2 ALIYAH G'!T27</f>
        <v>105</v>
      </c>
      <c r="Y27" s="27">
        <f t="shared" si="0"/>
        <v>115</v>
      </c>
      <c r="Z27" s="28">
        <f t="shared" si="1"/>
        <v>220</v>
      </c>
      <c r="AA27" s="27">
        <v>26</v>
      </c>
      <c r="AB27" s="28">
        <f t="shared" si="5"/>
        <v>8</v>
      </c>
      <c r="AC27" s="29" t="str">
        <f t="shared" si="2"/>
        <v>الجيد الثاني</v>
      </c>
      <c r="AE27" s="51">
        <f>'2 ALIYAH G'!U26</f>
        <v>1</v>
      </c>
      <c r="AF27" s="51">
        <f t="shared" si="8"/>
        <v>1</v>
      </c>
      <c r="AG27" s="52">
        <f t="shared" si="6"/>
        <v>2</v>
      </c>
      <c r="AH27" s="1"/>
      <c r="AI27" s="51" t="str">
        <f>'2 ALIYAH G'!V26</f>
        <v>-</v>
      </c>
      <c r="AJ27" s="51" t="str">
        <f t="shared" si="9"/>
        <v>-</v>
      </c>
      <c r="AK27" s="52">
        <f t="shared" si="7"/>
        <v>0</v>
      </c>
    </row>
    <row r="28" spans="1:37" s="2" customFormat="1" ht="25.15" customHeight="1" thickBot="1" x14ac:dyDescent="0.3">
      <c r="A28" s="19">
        <f>'2 ALIYAH G'!A28</f>
        <v>29</v>
      </c>
      <c r="B28" s="123" t="str">
        <f>'2 ALIYAH G'!B28</f>
        <v>SITI LUTFIAH</v>
      </c>
      <c r="C28" s="84">
        <f>'2 ALIYAH G'!C28</f>
        <v>2905</v>
      </c>
      <c r="D28" s="19" t="s">
        <v>40</v>
      </c>
      <c r="E28" s="3" t="str">
        <f t="shared" si="3"/>
        <v>٩</v>
      </c>
      <c r="F28" s="3">
        <v>9</v>
      </c>
      <c r="G28" s="3" t="s">
        <v>56</v>
      </c>
      <c r="H28" s="3">
        <v>9</v>
      </c>
      <c r="I28" s="3">
        <v>9</v>
      </c>
      <c r="J28" s="3">
        <v>9</v>
      </c>
      <c r="K28" s="3">
        <v>9</v>
      </c>
      <c r="L28" s="3">
        <v>9</v>
      </c>
      <c r="M28" s="3">
        <v>9</v>
      </c>
      <c r="N28" s="3">
        <v>9</v>
      </c>
      <c r="O28" s="3">
        <v>9</v>
      </c>
      <c r="P28" s="3">
        <v>9</v>
      </c>
      <c r="Q28" s="3">
        <v>9</v>
      </c>
      <c r="R28" s="3">
        <v>9</v>
      </c>
      <c r="S28" s="3">
        <v>8</v>
      </c>
      <c r="T28" s="4">
        <f t="shared" si="4"/>
        <v>116</v>
      </c>
      <c r="U28" s="44">
        <v>2</v>
      </c>
      <c r="V28" s="44" t="s">
        <v>56</v>
      </c>
      <c r="X28" s="27">
        <f>'2 ALIYAH G'!T28</f>
        <v>116</v>
      </c>
      <c r="Y28" s="27">
        <f t="shared" si="0"/>
        <v>116</v>
      </c>
      <c r="Z28" s="28">
        <f t="shared" si="1"/>
        <v>232</v>
      </c>
      <c r="AA28" s="27">
        <v>26</v>
      </c>
      <c r="AB28" s="28">
        <f t="shared" si="5"/>
        <v>9</v>
      </c>
      <c r="AC28" s="29" t="str">
        <f t="shared" si="2"/>
        <v>الجيد الأول</v>
      </c>
      <c r="AE28" s="51" t="str">
        <f>'2 ALIYAH G'!U27</f>
        <v>-</v>
      </c>
      <c r="AF28" s="51">
        <f t="shared" si="8"/>
        <v>2</v>
      </c>
      <c r="AG28" s="52">
        <f t="shared" si="6"/>
        <v>2</v>
      </c>
      <c r="AH28" s="1"/>
      <c r="AI28" s="51" t="str">
        <f>'2 ALIYAH G'!V27</f>
        <v>-</v>
      </c>
      <c r="AJ28" s="51" t="str">
        <f t="shared" si="9"/>
        <v>-</v>
      </c>
      <c r="AK28" s="52">
        <f t="shared" si="7"/>
        <v>0</v>
      </c>
    </row>
    <row r="29" spans="1:37" s="2" customFormat="1" ht="25.15" customHeight="1" thickBot="1" x14ac:dyDescent="0.3">
      <c r="A29" s="19">
        <f>'2 ALIYAH G'!A29</f>
        <v>30</v>
      </c>
      <c r="B29" s="123" t="str">
        <f>'2 ALIYAH G'!B29</f>
        <v>WILDA AZKA FIKRIYAH</v>
      </c>
      <c r="C29" s="84">
        <f>'2 ALIYAH G'!C29</f>
        <v>2717</v>
      </c>
      <c r="D29" s="19" t="s">
        <v>41</v>
      </c>
      <c r="E29" s="3" t="str">
        <f t="shared" si="3"/>
        <v>٨</v>
      </c>
      <c r="F29" s="3">
        <v>8</v>
      </c>
      <c r="G29" s="3" t="s">
        <v>56</v>
      </c>
      <c r="H29" s="3">
        <v>9</v>
      </c>
      <c r="I29" s="3">
        <v>9</v>
      </c>
      <c r="J29" s="3">
        <v>7</v>
      </c>
      <c r="K29" s="3">
        <v>8</v>
      </c>
      <c r="L29" s="3">
        <v>4</v>
      </c>
      <c r="M29" s="3">
        <v>6</v>
      </c>
      <c r="N29" s="3">
        <v>4</v>
      </c>
      <c r="O29" s="3">
        <v>8</v>
      </c>
      <c r="P29" s="3">
        <v>8</v>
      </c>
      <c r="Q29" s="3">
        <v>7</v>
      </c>
      <c r="R29" s="3">
        <v>8</v>
      </c>
      <c r="S29" s="3">
        <v>7</v>
      </c>
      <c r="T29" s="4">
        <f t="shared" si="4"/>
        <v>93</v>
      </c>
      <c r="U29" s="44" t="s">
        <v>56</v>
      </c>
      <c r="V29" s="44" t="s">
        <v>56</v>
      </c>
      <c r="X29" s="27">
        <f>'2 ALIYAH G'!T29</f>
        <v>99</v>
      </c>
      <c r="Y29" s="27">
        <f t="shared" si="0"/>
        <v>93</v>
      </c>
      <c r="Z29" s="28">
        <f t="shared" si="1"/>
        <v>192</v>
      </c>
      <c r="AA29" s="27">
        <v>26</v>
      </c>
      <c r="AB29" s="28">
        <f t="shared" si="5"/>
        <v>7</v>
      </c>
      <c r="AC29" s="29" t="str">
        <f t="shared" si="2"/>
        <v>المتوسط الأول</v>
      </c>
      <c r="AE29" s="51">
        <f>'2 ALIYAH G'!U28</f>
        <v>2</v>
      </c>
      <c r="AF29" s="51" t="str">
        <f t="shared" si="8"/>
        <v>-</v>
      </c>
      <c r="AG29" s="52">
        <f t="shared" si="6"/>
        <v>2</v>
      </c>
      <c r="AH29" s="1"/>
      <c r="AI29" s="51" t="str">
        <f>'2 ALIYAH G'!V28</f>
        <v>-</v>
      </c>
      <c r="AJ29" s="51" t="str">
        <f t="shared" si="9"/>
        <v>-</v>
      </c>
      <c r="AK29" s="52">
        <f t="shared" si="7"/>
        <v>0</v>
      </c>
    </row>
    <row r="30" spans="1:37" s="2" customFormat="1" ht="25.15" customHeight="1" thickBot="1" x14ac:dyDescent="0.3">
      <c r="A30" s="19">
        <f>'2 ALIYAH G'!A30</f>
        <v>31</v>
      </c>
      <c r="B30" s="123" t="str">
        <f>'2 ALIYAH G'!B30</f>
        <v>YUSRO SYIFA NUR MAHAMIDAH</v>
      </c>
      <c r="C30" s="84">
        <f>'2 ALIYAH G'!C30</f>
        <v>2718</v>
      </c>
      <c r="D30" s="19" t="s">
        <v>42</v>
      </c>
      <c r="E30" s="3" t="str">
        <f t="shared" si="3"/>
        <v>٦</v>
      </c>
      <c r="F30" s="3">
        <v>6</v>
      </c>
      <c r="G30" s="3" t="s">
        <v>56</v>
      </c>
      <c r="H30" s="3">
        <v>7</v>
      </c>
      <c r="I30" s="3">
        <v>9</v>
      </c>
      <c r="J30" s="3">
        <v>8</v>
      </c>
      <c r="K30" s="3">
        <v>7</v>
      </c>
      <c r="L30" s="3">
        <v>5</v>
      </c>
      <c r="M30" s="3">
        <v>7</v>
      </c>
      <c r="N30" s="3">
        <v>8</v>
      </c>
      <c r="O30" s="3">
        <v>5</v>
      </c>
      <c r="P30" s="3">
        <v>8</v>
      </c>
      <c r="Q30" s="3">
        <v>7</v>
      </c>
      <c r="R30" s="3">
        <v>8</v>
      </c>
      <c r="S30" s="3">
        <v>8</v>
      </c>
      <c r="T30" s="4">
        <f t="shared" si="4"/>
        <v>93</v>
      </c>
      <c r="U30" s="44" t="s">
        <v>56</v>
      </c>
      <c r="V30" s="44" t="s">
        <v>56</v>
      </c>
      <c r="X30" s="27">
        <f>'2 ALIYAH G'!T30</f>
        <v>96</v>
      </c>
      <c r="Y30" s="27">
        <f t="shared" si="0"/>
        <v>93</v>
      </c>
      <c r="Z30" s="28">
        <f t="shared" si="1"/>
        <v>189</v>
      </c>
      <c r="AA30" s="27">
        <v>26</v>
      </c>
      <c r="AB30" s="28">
        <f t="shared" si="5"/>
        <v>7</v>
      </c>
      <c r="AC30" s="29" t="str">
        <f t="shared" si="2"/>
        <v>المتوسط الأول</v>
      </c>
      <c r="AE30" s="51">
        <f>'2 ALIYAH G'!U29</f>
        <v>4</v>
      </c>
      <c r="AF30" s="51" t="str">
        <f t="shared" si="8"/>
        <v>-</v>
      </c>
      <c r="AG30" s="52">
        <f t="shared" si="6"/>
        <v>4</v>
      </c>
      <c r="AH30" s="1"/>
      <c r="AI30" s="51" t="str">
        <f>'2 ALIYAH G'!V29</f>
        <v>-</v>
      </c>
      <c r="AJ30" s="51" t="str">
        <f t="shared" si="9"/>
        <v>-</v>
      </c>
      <c r="AK30" s="52">
        <f t="shared" si="7"/>
        <v>0</v>
      </c>
    </row>
    <row r="31" spans="1:37" s="2" customFormat="1" ht="25.15" customHeight="1" thickBot="1" x14ac:dyDescent="0.3">
      <c r="A31" s="19">
        <f>'2 ALIYAH G'!A31</f>
        <v>32</v>
      </c>
      <c r="B31" s="123" t="str">
        <f>'2 ALIYAH G'!B31</f>
        <v>ZINATUL HAYATI</v>
      </c>
      <c r="C31" s="84">
        <f>'2 ALIYAH G'!C31</f>
        <v>2787</v>
      </c>
      <c r="D31" s="19" t="s">
        <v>43</v>
      </c>
      <c r="E31" s="3" t="str">
        <f t="shared" si="3"/>
        <v>٨</v>
      </c>
      <c r="F31" s="3">
        <v>8</v>
      </c>
      <c r="G31" s="3" t="s">
        <v>56</v>
      </c>
      <c r="H31" s="3">
        <v>9</v>
      </c>
      <c r="I31" s="3">
        <v>9</v>
      </c>
      <c r="J31" s="3">
        <v>9</v>
      </c>
      <c r="K31" s="3">
        <v>9</v>
      </c>
      <c r="L31" s="3">
        <v>9</v>
      </c>
      <c r="M31" s="3">
        <v>9</v>
      </c>
      <c r="N31" s="3">
        <v>9</v>
      </c>
      <c r="O31" s="3">
        <v>9</v>
      </c>
      <c r="P31" s="3">
        <v>9</v>
      </c>
      <c r="Q31" s="3">
        <v>9</v>
      </c>
      <c r="R31" s="3">
        <v>9</v>
      </c>
      <c r="S31" s="3">
        <v>8</v>
      </c>
      <c r="T31" s="4">
        <f t="shared" si="4"/>
        <v>115</v>
      </c>
      <c r="U31" s="44">
        <v>3</v>
      </c>
      <c r="V31" s="44" t="s">
        <v>56</v>
      </c>
      <c r="X31" s="27">
        <f>'2 ALIYAH G'!T31</f>
        <v>116</v>
      </c>
      <c r="Y31" s="27">
        <f t="shared" si="0"/>
        <v>115</v>
      </c>
      <c r="Z31" s="28">
        <f t="shared" si="1"/>
        <v>231</v>
      </c>
      <c r="AA31" s="27">
        <v>26</v>
      </c>
      <c r="AB31" s="28">
        <f t="shared" si="5"/>
        <v>9</v>
      </c>
      <c r="AC31" s="29" t="str">
        <f t="shared" si="2"/>
        <v>الجيد الأول</v>
      </c>
      <c r="AE31" s="51">
        <f>'2 ALIYAH G'!U30</f>
        <v>1</v>
      </c>
      <c r="AF31" s="51">
        <f t="shared" si="8"/>
        <v>3</v>
      </c>
      <c r="AG31" s="52">
        <f t="shared" si="6"/>
        <v>4</v>
      </c>
      <c r="AH31" s="1"/>
      <c r="AI31" s="51" t="str">
        <f>'2 ALIYAH G'!V30</f>
        <v>-</v>
      </c>
      <c r="AJ31" s="51" t="str">
        <f t="shared" si="9"/>
        <v>-</v>
      </c>
      <c r="AK31" s="52">
        <f t="shared" si="7"/>
        <v>0</v>
      </c>
    </row>
    <row r="32" spans="1:37" s="2" customFormat="1" ht="25.15" customHeight="1" x14ac:dyDescent="0.25">
      <c r="A32" s="35"/>
      <c r="B32" s="10" t="s">
        <v>50</v>
      </c>
      <c r="C32" s="7"/>
      <c r="D32" s="7"/>
      <c r="E32" s="3" t="str">
        <f t="shared" ref="E32" si="10">TEXT(F32,"[$-2000000]0")</f>
        <v>٢٢٥</v>
      </c>
      <c r="F32" s="38">
        <f>SUM(F2:F31)</f>
        <v>225</v>
      </c>
      <c r="G32" s="8">
        <f t="shared" ref="G32:S32" si="11">SUM(G2:G31)</f>
        <v>0</v>
      </c>
      <c r="H32" s="8">
        <f t="shared" si="11"/>
        <v>256</v>
      </c>
      <c r="I32" s="24">
        <f t="shared" si="11"/>
        <v>254</v>
      </c>
      <c r="J32" s="8">
        <f>SUM(J2:J31)</f>
        <v>239</v>
      </c>
      <c r="K32" s="8">
        <f t="shared" si="11"/>
        <v>228</v>
      </c>
      <c r="L32" s="8">
        <f t="shared" si="11"/>
        <v>242</v>
      </c>
      <c r="M32" s="8">
        <f t="shared" si="11"/>
        <v>210</v>
      </c>
      <c r="N32" s="8">
        <f t="shared" si="11"/>
        <v>205</v>
      </c>
      <c r="O32" s="24">
        <f t="shared" si="11"/>
        <v>221</v>
      </c>
      <c r="P32" s="8">
        <f t="shared" si="11"/>
        <v>253</v>
      </c>
      <c r="Q32" s="8">
        <f t="shared" si="11"/>
        <v>238</v>
      </c>
      <c r="R32" s="8">
        <f t="shared" si="11"/>
        <v>254</v>
      </c>
      <c r="S32" s="8">
        <f t="shared" si="11"/>
        <v>235</v>
      </c>
      <c r="T32" s="4">
        <f t="shared" si="4"/>
        <v>3060</v>
      </c>
      <c r="U32" s="44" t="s">
        <v>56</v>
      </c>
      <c r="V32" s="44" t="s">
        <v>56</v>
      </c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 spans="1:37" s="2" customFormat="1" ht="25.15" customHeight="1" x14ac:dyDescent="0.25">
      <c r="A33" s="17"/>
      <c r="B33" s="7"/>
      <c r="C33" s="7"/>
      <c r="D33" s="7"/>
      <c r="E33" s="3"/>
      <c r="F33" s="5"/>
      <c r="G33" s="5"/>
      <c r="H33" s="5"/>
      <c r="I33" s="25"/>
      <c r="J33" s="5"/>
      <c r="K33" s="5"/>
      <c r="L33" s="5"/>
      <c r="M33" s="5"/>
      <c r="N33" s="5"/>
      <c r="O33" s="25"/>
      <c r="P33" s="5"/>
      <c r="Q33" s="5"/>
      <c r="R33" s="5"/>
      <c r="S33" s="5"/>
      <c r="T33" s="6"/>
      <c r="U33" s="44" t="s">
        <v>56</v>
      </c>
      <c r="V33" s="44" t="s">
        <v>56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 spans="1:37" s="2" customFormat="1" ht="25.15" customHeight="1" x14ac:dyDescent="0.25">
      <c r="A34" s="17"/>
      <c r="B34" s="7"/>
      <c r="C34" s="7"/>
      <c r="D34" s="7"/>
      <c r="E34" s="3"/>
      <c r="F34" s="5"/>
      <c r="G34" s="5"/>
      <c r="H34" s="5"/>
      <c r="I34" s="25"/>
      <c r="J34" s="5"/>
      <c r="K34" s="5"/>
      <c r="L34" s="5"/>
      <c r="M34" s="5"/>
      <c r="N34" s="5"/>
      <c r="O34" s="25"/>
      <c r="P34" s="5"/>
      <c r="Q34" s="5"/>
      <c r="R34" s="5"/>
      <c r="S34" s="5"/>
      <c r="T34" s="5"/>
      <c r="U34"/>
      <c r="V34"/>
      <c r="X34" s="28"/>
      <c r="Y34" s="28"/>
      <c r="Z34" s="28"/>
      <c r="AA34" s="28"/>
      <c r="AB34" s="28"/>
      <c r="AC34" s="28"/>
      <c r="AE34" s="53"/>
      <c r="AF34" s="53"/>
      <c r="AG34" s="54"/>
      <c r="AH34"/>
      <c r="AI34" s="53"/>
      <c r="AJ34" s="53"/>
      <c r="AK34" s="55"/>
    </row>
    <row r="35" spans="1:37" s="9" customFormat="1" ht="25.15" customHeight="1" x14ac:dyDescent="0.25">
      <c r="A35" s="17"/>
      <c r="B35" s="7"/>
      <c r="C35" s="7"/>
      <c r="D35" s="7"/>
      <c r="E35" s="3"/>
      <c r="F35" s="5"/>
      <c r="G35" s="5"/>
      <c r="H35" s="5"/>
      <c r="I35" s="25"/>
      <c r="J35" s="5"/>
      <c r="K35" s="5"/>
      <c r="L35" s="5"/>
      <c r="M35" s="5"/>
      <c r="N35" s="5"/>
      <c r="O35" s="25"/>
      <c r="P35" s="5"/>
      <c r="Q35" s="5"/>
      <c r="R35" s="5"/>
      <c r="S35" s="5"/>
      <c r="T35" s="5"/>
      <c r="U35"/>
      <c r="V35"/>
      <c r="W35" s="2"/>
      <c r="X35" s="32"/>
      <c r="Y35" s="32"/>
      <c r="Z35" s="32"/>
      <c r="AA35" s="32"/>
      <c r="AB35" s="32"/>
      <c r="AC35" s="32"/>
      <c r="AD35" s="2"/>
      <c r="AE35" s="53"/>
      <c r="AF35" s="53"/>
      <c r="AG35" s="54"/>
      <c r="AH35"/>
      <c r="AI35" s="53"/>
      <c r="AJ35" s="53"/>
      <c r="AK35" s="55"/>
    </row>
    <row r="36" spans="1:37" ht="25.15" customHeight="1" x14ac:dyDescent="0.25">
      <c r="A36" s="17"/>
      <c r="B36" s="7"/>
      <c r="C36" s="7"/>
      <c r="D36" s="7"/>
      <c r="E36" s="3"/>
      <c r="F36" s="5"/>
      <c r="G36" s="4"/>
      <c r="H36" s="14" t="s">
        <v>49</v>
      </c>
      <c r="I36" s="23"/>
      <c r="J36" s="5"/>
      <c r="K36" s="5"/>
      <c r="L36" s="5"/>
      <c r="M36" s="5"/>
      <c r="N36" s="5"/>
      <c r="O36" s="25"/>
      <c r="P36" s="5"/>
      <c r="Q36" s="5"/>
      <c r="R36" s="5"/>
      <c r="S36" s="5"/>
      <c r="T36" s="5"/>
      <c r="X36" s="32"/>
      <c r="Y36" s="32"/>
      <c r="Z36" s="32"/>
      <c r="AA36" s="32"/>
      <c r="AB36" s="32"/>
      <c r="AC36" s="32"/>
      <c r="AE36" s="53"/>
      <c r="AF36" s="53"/>
      <c r="AG36" s="54"/>
      <c r="AI36" s="53"/>
      <c r="AJ36" s="53"/>
      <c r="AK36" s="55"/>
    </row>
    <row r="37" spans="1:37" ht="25.15" customHeight="1" x14ac:dyDescent="0.25">
      <c r="A37" s="17"/>
      <c r="B37" s="7"/>
      <c r="C37" s="7"/>
      <c r="D37" s="7"/>
      <c r="E37" s="3"/>
      <c r="F37" s="5"/>
      <c r="G37" s="5"/>
      <c r="H37" s="282">
        <f>E32/D31</f>
        <v>8</v>
      </c>
      <c r="I37" s="265"/>
      <c r="J37" s="5"/>
      <c r="K37" s="5"/>
      <c r="L37" s="5"/>
      <c r="M37" s="5"/>
      <c r="N37" s="5"/>
      <c r="O37" s="25"/>
      <c r="P37" s="5"/>
      <c r="Q37" s="5"/>
      <c r="R37" s="5"/>
      <c r="S37" s="5"/>
      <c r="T37" s="5"/>
      <c r="U37" s="45"/>
      <c r="V37" s="45"/>
      <c r="X37" s="32"/>
      <c r="Y37" s="32"/>
      <c r="Z37" s="32"/>
      <c r="AA37" s="32"/>
      <c r="AB37" s="32"/>
      <c r="AC37" s="32"/>
      <c r="AE37" s="53"/>
      <c r="AF37" s="53"/>
      <c r="AG37" s="54"/>
      <c r="AI37" s="53"/>
      <c r="AJ37" s="53"/>
      <c r="AK37" s="55"/>
    </row>
    <row r="38" spans="1:37" s="18" customFormat="1" ht="25.15" customHeight="1" x14ac:dyDescent="0.25">
      <c r="A38" s="17"/>
      <c r="B38" s="7"/>
      <c r="C38" s="7"/>
      <c r="D38" s="7"/>
      <c r="E38" s="3"/>
      <c r="F38" s="5"/>
      <c r="G38" s="5"/>
      <c r="H38" s="33">
        <f>G32/D31</f>
        <v>0</v>
      </c>
      <c r="I38" s="25"/>
      <c r="J38" s="5"/>
      <c r="K38" s="5"/>
      <c r="L38" s="5"/>
      <c r="M38" s="5"/>
      <c r="N38" s="5"/>
      <c r="O38" s="25"/>
      <c r="P38" s="5"/>
      <c r="Q38" s="5"/>
      <c r="R38" s="5"/>
      <c r="S38" s="5"/>
      <c r="T38" s="5"/>
      <c r="U38" s="45"/>
      <c r="V38" s="45"/>
      <c r="X38" s="32"/>
      <c r="Y38" s="32"/>
      <c r="Z38" s="32"/>
      <c r="AA38" s="32"/>
      <c r="AB38" s="32"/>
      <c r="AC38" s="32"/>
      <c r="AE38" s="53"/>
      <c r="AF38" s="53"/>
      <c r="AG38" s="54"/>
      <c r="AH38"/>
      <c r="AI38" s="53"/>
      <c r="AJ38" s="53"/>
      <c r="AK38" s="55"/>
    </row>
    <row r="39" spans="1:37" s="18" customFormat="1" ht="25.15" customHeight="1" x14ac:dyDescent="0.25">
      <c r="A39" s="17"/>
      <c r="B39" s="7"/>
      <c r="C39" s="7"/>
      <c r="D39" s="7"/>
      <c r="E39" s="3"/>
      <c r="F39" s="5"/>
      <c r="G39" s="5"/>
      <c r="H39" s="282">
        <f>H32/D31</f>
        <v>9</v>
      </c>
      <c r="I39" s="25"/>
      <c r="J39" s="5"/>
      <c r="K39" s="5"/>
      <c r="L39" s="5"/>
      <c r="M39" s="5"/>
      <c r="N39" s="5"/>
      <c r="O39" s="25"/>
      <c r="P39" s="5"/>
      <c r="Q39" s="5"/>
      <c r="R39" s="5"/>
      <c r="S39" s="5"/>
      <c r="T39" s="5"/>
      <c r="U39" s="45"/>
      <c r="V39" s="45"/>
      <c r="X39" s="32"/>
      <c r="Y39" s="32"/>
      <c r="Z39" s="32"/>
      <c r="AA39" s="32"/>
      <c r="AB39" s="32"/>
      <c r="AC39" s="32"/>
      <c r="AE39" s="53"/>
      <c r="AF39" s="53"/>
      <c r="AG39" s="54"/>
      <c r="AH39"/>
      <c r="AI39" s="53"/>
      <c r="AJ39" s="53"/>
      <c r="AK39" s="55"/>
    </row>
    <row r="40" spans="1:37" s="18" customFormat="1" ht="25.15" customHeight="1" x14ac:dyDescent="0.25">
      <c r="A40" s="17"/>
      <c r="B40" s="7"/>
      <c r="C40" s="7"/>
      <c r="D40" s="7"/>
      <c r="E40" s="3"/>
      <c r="F40" s="5"/>
      <c r="G40" s="5"/>
      <c r="H40" s="16">
        <f>I32/D31</f>
        <v>8</v>
      </c>
      <c r="I40" s="25"/>
      <c r="J40" s="5"/>
      <c r="K40" s="5"/>
      <c r="L40" s="5"/>
      <c r="M40" s="5"/>
      <c r="N40" s="5"/>
      <c r="O40" s="25"/>
      <c r="P40" s="5"/>
      <c r="Q40" s="5"/>
      <c r="R40" s="5"/>
      <c r="S40" s="5"/>
      <c r="T40" s="5"/>
      <c r="U40" s="45"/>
      <c r="V40" s="45"/>
      <c r="X40" s="32"/>
      <c r="Y40" s="32"/>
      <c r="Z40" s="32"/>
      <c r="AA40" s="32"/>
      <c r="AB40" s="32"/>
      <c r="AC40" s="32"/>
      <c r="AE40" s="53"/>
      <c r="AF40" s="53"/>
      <c r="AG40" s="54"/>
      <c r="AH40"/>
      <c r="AI40" s="53"/>
      <c r="AJ40" s="53"/>
      <c r="AK40" s="55"/>
    </row>
    <row r="41" spans="1:37" s="18" customFormat="1" ht="25.15" customHeight="1" x14ac:dyDescent="0.25">
      <c r="A41" s="17"/>
      <c r="B41" s="7"/>
      <c r="C41" s="7"/>
      <c r="D41" s="7"/>
      <c r="E41" s="3"/>
      <c r="F41" s="5"/>
      <c r="G41" s="5"/>
      <c r="H41" s="264">
        <f>J32/D31</f>
        <v>8</v>
      </c>
      <c r="I41" s="25"/>
      <c r="J41" s="5"/>
      <c r="K41" s="5"/>
      <c r="L41" s="5"/>
      <c r="M41" s="5"/>
      <c r="N41" s="5"/>
      <c r="O41" s="25"/>
      <c r="P41" s="5"/>
      <c r="Q41" s="5"/>
      <c r="R41" s="5"/>
      <c r="S41" s="5"/>
      <c r="T41" s="5"/>
      <c r="U41" s="45"/>
      <c r="V41" s="45"/>
      <c r="X41" s="32"/>
      <c r="Y41" s="32"/>
      <c r="Z41" s="32"/>
      <c r="AA41" s="32"/>
      <c r="AB41" s="32"/>
      <c r="AC41" s="32"/>
      <c r="AE41" s="53"/>
      <c r="AF41" s="53"/>
      <c r="AG41" s="54"/>
      <c r="AH41"/>
      <c r="AI41" s="53"/>
      <c r="AJ41" s="53"/>
      <c r="AK41" s="55"/>
    </row>
    <row r="42" spans="1:37" s="18" customFormat="1" ht="25.15" customHeight="1" x14ac:dyDescent="0.25">
      <c r="A42" s="17"/>
      <c r="B42" s="7"/>
      <c r="C42" s="7"/>
      <c r="D42" s="7"/>
      <c r="E42" s="3"/>
      <c r="F42" s="5"/>
      <c r="G42" s="5"/>
      <c r="H42" s="264">
        <f>K32/D31</f>
        <v>8</v>
      </c>
      <c r="I42" s="25"/>
      <c r="J42" s="5"/>
      <c r="K42" s="5"/>
      <c r="L42" s="5"/>
      <c r="M42" s="5"/>
      <c r="N42" s="5"/>
      <c r="O42" s="25"/>
      <c r="P42" s="5"/>
      <c r="Q42" s="5"/>
      <c r="R42" s="5"/>
      <c r="S42" s="5"/>
      <c r="T42" s="5"/>
      <c r="U42" s="45"/>
      <c r="V42" s="45"/>
      <c r="X42" s="32"/>
      <c r="Y42" s="32"/>
      <c r="Z42" s="32"/>
      <c r="AA42" s="32"/>
      <c r="AB42" s="32"/>
      <c r="AC42" s="32"/>
      <c r="AE42" s="53"/>
      <c r="AF42" s="53"/>
      <c r="AG42" s="54"/>
      <c r="AH42"/>
      <c r="AI42" s="53"/>
      <c r="AJ42" s="53"/>
      <c r="AK42" s="55"/>
    </row>
    <row r="43" spans="1:37" s="18" customFormat="1" ht="25.15" customHeight="1" x14ac:dyDescent="0.25">
      <c r="A43" s="17"/>
      <c r="B43" s="7"/>
      <c r="C43" s="7"/>
      <c r="D43" s="7"/>
      <c r="E43" s="3"/>
      <c r="F43" s="5"/>
      <c r="G43" s="5"/>
      <c r="H43" s="16">
        <f>L32/D31</f>
        <v>8</v>
      </c>
      <c r="I43" s="25"/>
      <c r="J43" s="5"/>
      <c r="K43" s="5"/>
      <c r="L43" s="5"/>
      <c r="M43" s="5"/>
      <c r="N43" s="5"/>
      <c r="O43" s="25"/>
      <c r="P43" s="5"/>
      <c r="Q43" s="5"/>
      <c r="R43" s="5"/>
      <c r="S43" s="5"/>
      <c r="T43" s="5"/>
      <c r="U43" s="45"/>
      <c r="V43" s="45"/>
      <c r="X43" s="32"/>
      <c r="Y43" s="32"/>
      <c r="Z43" s="32"/>
      <c r="AA43" s="32"/>
      <c r="AB43" s="32"/>
      <c r="AC43" s="32"/>
      <c r="AE43" s="53"/>
      <c r="AF43" s="53"/>
      <c r="AG43" s="54"/>
      <c r="AH43"/>
      <c r="AI43" s="53"/>
      <c r="AJ43" s="53"/>
      <c r="AK43" s="55"/>
    </row>
    <row r="44" spans="1:37" s="18" customFormat="1" ht="25.15" customHeight="1" x14ac:dyDescent="0.25">
      <c r="A44" s="17"/>
      <c r="B44" s="7"/>
      <c r="C44" s="7"/>
      <c r="D44" s="7"/>
      <c r="E44" s="3"/>
      <c r="F44" s="5"/>
      <c r="G44" s="5"/>
      <c r="H44" s="16">
        <f>M32/D31</f>
        <v>7</v>
      </c>
      <c r="I44" s="25"/>
      <c r="J44" s="5"/>
      <c r="K44" s="5"/>
      <c r="L44" s="5"/>
      <c r="M44" s="5"/>
      <c r="N44" s="5"/>
      <c r="O44" s="25"/>
      <c r="P44" s="5"/>
      <c r="Q44" s="5"/>
      <c r="R44" s="5"/>
      <c r="S44" s="5"/>
      <c r="T44" s="5"/>
      <c r="U44" s="45"/>
      <c r="V44" s="45"/>
      <c r="X44" s="32"/>
      <c r="Y44" s="32"/>
      <c r="Z44" s="32"/>
      <c r="AA44" s="32"/>
      <c r="AB44" s="32"/>
      <c r="AC44" s="32"/>
      <c r="AE44" s="53"/>
      <c r="AF44" s="53"/>
      <c r="AG44" s="54"/>
      <c r="AH44"/>
      <c r="AI44" s="53"/>
      <c r="AJ44" s="53"/>
      <c r="AK44" s="55"/>
    </row>
    <row r="45" spans="1:37" s="18" customFormat="1" ht="25.15" customHeight="1" x14ac:dyDescent="0.25">
      <c r="A45" s="17"/>
      <c r="B45" s="7"/>
      <c r="C45" s="7"/>
      <c r="D45" s="7"/>
      <c r="E45" s="3"/>
      <c r="F45" s="5"/>
      <c r="G45" s="5"/>
      <c r="H45" s="264">
        <f>N32/D31</f>
        <v>7</v>
      </c>
      <c r="I45" s="25"/>
      <c r="J45" s="5"/>
      <c r="K45" s="5"/>
      <c r="L45" s="5"/>
      <c r="M45" s="5"/>
      <c r="N45" s="5"/>
      <c r="O45" s="25"/>
      <c r="P45" s="5"/>
      <c r="Q45" s="5"/>
      <c r="R45" s="5"/>
      <c r="S45" s="5"/>
      <c r="T45" s="5"/>
      <c r="U45" s="45"/>
      <c r="V45" s="45"/>
      <c r="X45" s="32"/>
      <c r="Y45" s="32"/>
      <c r="Z45" s="32"/>
      <c r="AA45" s="32"/>
      <c r="AB45" s="32"/>
      <c r="AC45" s="32"/>
      <c r="AE45" s="53"/>
      <c r="AF45" s="53"/>
      <c r="AG45" s="54"/>
      <c r="AH45"/>
      <c r="AI45" s="53"/>
      <c r="AJ45" s="53"/>
      <c r="AK45" s="55"/>
    </row>
    <row r="46" spans="1:37" s="18" customFormat="1" ht="25.15" customHeight="1" x14ac:dyDescent="0.25">
      <c r="A46" s="17"/>
      <c r="B46" s="7"/>
      <c r="C46" s="7"/>
      <c r="D46" s="7"/>
      <c r="E46" s="3"/>
      <c r="F46" s="5"/>
      <c r="G46" s="5"/>
      <c r="H46" s="16">
        <f>O32/D31</f>
        <v>7</v>
      </c>
      <c r="I46" s="25"/>
      <c r="J46" s="5"/>
      <c r="K46" s="5"/>
      <c r="L46" s="5"/>
      <c r="M46" s="5"/>
      <c r="N46" s="5"/>
      <c r="O46" s="25"/>
      <c r="P46" s="5"/>
      <c r="Q46" s="5"/>
      <c r="R46" s="5"/>
      <c r="S46" s="5"/>
      <c r="T46" s="5"/>
      <c r="U46" s="45"/>
      <c r="V46" s="45"/>
      <c r="X46" s="32"/>
      <c r="Y46" s="32"/>
      <c r="Z46" s="32"/>
      <c r="AA46" s="32"/>
      <c r="AB46" s="32"/>
      <c r="AC46" s="32"/>
      <c r="AE46" s="53"/>
      <c r="AF46" s="53"/>
      <c r="AG46" s="54"/>
      <c r="AH46"/>
      <c r="AI46" s="53"/>
      <c r="AJ46" s="53"/>
      <c r="AK46" s="55"/>
    </row>
    <row r="47" spans="1:37" s="18" customFormat="1" ht="25.15" customHeight="1" x14ac:dyDescent="0.25">
      <c r="A47" s="17"/>
      <c r="B47" s="7"/>
      <c r="C47" s="7"/>
      <c r="D47" s="7"/>
      <c r="E47" s="3"/>
      <c r="F47" s="5"/>
      <c r="G47" s="5"/>
      <c r="H47" s="16">
        <f>P32/D31</f>
        <v>8</v>
      </c>
      <c r="I47" s="25"/>
      <c r="J47" s="5"/>
      <c r="K47" s="5"/>
      <c r="L47" s="5"/>
      <c r="M47" s="5"/>
      <c r="N47" s="5"/>
      <c r="O47" s="25"/>
      <c r="P47" s="5"/>
      <c r="Q47" s="5"/>
      <c r="R47" s="5"/>
      <c r="S47" s="5"/>
      <c r="T47" s="5"/>
      <c r="U47" s="45"/>
      <c r="V47" s="45"/>
      <c r="X47" s="32"/>
      <c r="Y47" s="32"/>
      <c r="Z47" s="32"/>
      <c r="AA47" s="32"/>
      <c r="AB47" s="32"/>
      <c r="AC47" s="32"/>
      <c r="AE47" s="53"/>
      <c r="AF47" s="53"/>
      <c r="AG47" s="54"/>
      <c r="AH47"/>
      <c r="AI47" s="53"/>
      <c r="AJ47" s="53"/>
      <c r="AK47" s="55"/>
    </row>
    <row r="48" spans="1:37" s="18" customFormat="1" ht="25.15" customHeight="1" x14ac:dyDescent="0.25">
      <c r="A48" s="17"/>
      <c r="B48" s="7"/>
      <c r="C48" s="7"/>
      <c r="D48" s="7"/>
      <c r="E48" s="3"/>
      <c r="F48" s="5"/>
      <c r="G48" s="5"/>
      <c r="H48" s="264">
        <f>Q32/D31</f>
        <v>8</v>
      </c>
      <c r="I48" s="25"/>
      <c r="J48" s="5"/>
      <c r="K48" s="5"/>
      <c r="L48" s="5"/>
      <c r="M48" s="5"/>
      <c r="N48" s="5"/>
      <c r="O48" s="25"/>
      <c r="P48" s="5"/>
      <c r="Q48" s="5"/>
      <c r="R48" s="5"/>
      <c r="S48" s="5"/>
      <c r="T48" s="5"/>
      <c r="U48" s="45"/>
      <c r="V48" s="45"/>
      <c r="X48" s="32"/>
      <c r="Y48" s="32"/>
      <c r="Z48" s="32"/>
      <c r="AA48" s="32"/>
      <c r="AB48" s="32"/>
      <c r="AC48" s="32"/>
      <c r="AE48" s="53"/>
      <c r="AF48" s="53"/>
      <c r="AG48" s="54"/>
      <c r="AH48"/>
      <c r="AI48" s="53"/>
      <c r="AJ48" s="53"/>
      <c r="AK48" s="55"/>
    </row>
    <row r="49" spans="1:37" s="18" customFormat="1" ht="25.15" customHeight="1" x14ac:dyDescent="0.25">
      <c r="A49" s="17"/>
      <c r="B49" s="7"/>
      <c r="C49" s="7"/>
      <c r="D49" s="7"/>
      <c r="E49" s="3"/>
      <c r="F49" s="5"/>
      <c r="G49" s="5"/>
      <c r="H49" s="16">
        <f>R32/D31</f>
        <v>8</v>
      </c>
      <c r="I49" s="25"/>
      <c r="J49" s="5"/>
      <c r="K49" s="5"/>
      <c r="L49" s="5"/>
      <c r="M49" s="5"/>
      <c r="N49" s="5"/>
      <c r="O49" s="25"/>
      <c r="P49" s="5"/>
      <c r="Q49" s="5"/>
      <c r="R49" s="5"/>
      <c r="S49" s="5"/>
      <c r="T49" s="5"/>
      <c r="U49" s="45"/>
      <c r="V49" s="45"/>
      <c r="X49" s="32"/>
      <c r="Y49" s="32"/>
      <c r="Z49" s="32"/>
      <c r="AA49" s="32"/>
      <c r="AB49" s="32"/>
      <c r="AC49" s="32"/>
      <c r="AE49" s="53"/>
      <c r="AF49" s="53"/>
      <c r="AG49" s="54"/>
      <c r="AH49"/>
      <c r="AI49" s="53"/>
      <c r="AJ49" s="53"/>
      <c r="AK49" s="55"/>
    </row>
    <row r="50" spans="1:37" s="18" customFormat="1" ht="25.15" customHeight="1" x14ac:dyDescent="0.25">
      <c r="A50" s="17"/>
      <c r="B50" s="7"/>
      <c r="C50" s="7"/>
      <c r="D50" s="7"/>
      <c r="E50" s="3"/>
      <c r="F50" s="5"/>
      <c r="G50" s="5"/>
      <c r="H50" s="264">
        <f>S32/D31</f>
        <v>8</v>
      </c>
      <c r="I50" s="25"/>
      <c r="J50" s="5"/>
      <c r="K50" s="5"/>
      <c r="L50" s="5"/>
      <c r="M50" s="5"/>
      <c r="N50" s="5"/>
      <c r="O50" s="25"/>
      <c r="P50" s="5"/>
      <c r="Q50" s="5"/>
      <c r="R50" s="5"/>
      <c r="S50" s="5"/>
      <c r="T50" s="5"/>
      <c r="U50" s="45"/>
      <c r="V50" s="45"/>
      <c r="X50" s="32"/>
      <c r="Y50" s="32"/>
      <c r="Z50" s="32"/>
      <c r="AA50" s="32"/>
      <c r="AB50" s="32"/>
      <c r="AC50" s="32"/>
      <c r="AE50" s="53"/>
      <c r="AF50" s="53"/>
      <c r="AG50" s="54"/>
      <c r="AH50"/>
      <c r="AI50" s="53"/>
      <c r="AJ50" s="53"/>
      <c r="AK50" s="55"/>
    </row>
    <row r="51" spans="1:37" s="18" customFormat="1" ht="25.15" customHeight="1" x14ac:dyDescent="0.25">
      <c r="A51" s="17"/>
      <c r="B51" s="7"/>
      <c r="C51" s="7"/>
      <c r="D51" s="7"/>
      <c r="E51" s="3"/>
      <c r="F51" s="5"/>
      <c r="G51" s="5"/>
      <c r="H51" s="15">
        <f>SUM(H37:H50)</f>
        <v>102</v>
      </c>
      <c r="I51" s="25"/>
      <c r="J51" s="5"/>
      <c r="K51" s="5"/>
      <c r="L51" s="5"/>
      <c r="M51" s="5"/>
      <c r="N51" s="5"/>
      <c r="O51" s="25"/>
      <c r="P51" s="5"/>
      <c r="Q51" s="5"/>
      <c r="R51" s="5"/>
      <c r="S51" s="5"/>
      <c r="T51" s="5"/>
      <c r="U51" s="45"/>
      <c r="V51" s="45"/>
      <c r="X51" s="32"/>
      <c r="Y51" s="32"/>
      <c r="Z51" s="32"/>
      <c r="AA51" s="32"/>
      <c r="AB51" s="32"/>
      <c r="AC51" s="32"/>
      <c r="AE51" s="53"/>
      <c r="AF51" s="53"/>
      <c r="AG51" s="54"/>
      <c r="AH51"/>
      <c r="AI51" s="53"/>
      <c r="AJ51" s="53"/>
      <c r="AK51" s="55"/>
    </row>
    <row r="52" spans="1:37" s="18" customFormat="1" ht="25.15" customHeight="1" x14ac:dyDescent="0.25">
      <c r="A52" s="17"/>
      <c r="B52" s="7"/>
      <c r="C52" s="7"/>
      <c r="D52" s="7"/>
      <c r="E52" s="3"/>
      <c r="F52" s="5"/>
      <c r="G52" s="5"/>
      <c r="H52" s="5"/>
      <c r="I52" s="25"/>
      <c r="J52" s="5"/>
      <c r="K52" s="5"/>
      <c r="L52" s="5"/>
      <c r="M52" s="5"/>
      <c r="N52" s="5"/>
      <c r="O52" s="25"/>
      <c r="P52" s="5"/>
      <c r="Q52" s="5"/>
      <c r="R52" s="5"/>
      <c r="S52" s="5"/>
      <c r="T52" s="5"/>
      <c r="U52" s="45"/>
      <c r="V52" s="45"/>
      <c r="X52" s="32"/>
      <c r="Y52" s="32"/>
      <c r="Z52" s="32"/>
      <c r="AA52" s="32"/>
      <c r="AB52" s="32"/>
      <c r="AC52" s="32"/>
      <c r="AE52" s="53"/>
      <c r="AF52" s="53"/>
      <c r="AG52" s="54"/>
      <c r="AH52"/>
      <c r="AI52" s="53"/>
      <c r="AJ52" s="53"/>
      <c r="AK52" s="55"/>
    </row>
    <row r="53" spans="1:37" s="18" customFormat="1" ht="25.15" customHeight="1" x14ac:dyDescent="0.25">
      <c r="A53" s="17"/>
      <c r="B53" s="7"/>
      <c r="C53" s="7"/>
      <c r="D53" s="7"/>
      <c r="E53" s="3"/>
      <c r="F53" s="5"/>
      <c r="G53" s="5"/>
      <c r="H53" s="5"/>
      <c r="I53" s="25"/>
      <c r="J53" s="5"/>
      <c r="K53" s="5"/>
      <c r="L53" s="5"/>
      <c r="M53" s="5"/>
      <c r="N53" s="5"/>
      <c r="O53" s="25"/>
      <c r="P53" s="5"/>
      <c r="Q53" s="5"/>
      <c r="R53" s="5"/>
      <c r="S53" s="5"/>
      <c r="T53" s="5"/>
      <c r="U53" s="45"/>
      <c r="V53" s="45"/>
      <c r="X53" s="32"/>
      <c r="Y53" s="32"/>
      <c r="Z53" s="32"/>
      <c r="AA53" s="32"/>
      <c r="AB53" s="32"/>
      <c r="AC53" s="32"/>
      <c r="AE53" s="53"/>
      <c r="AF53" s="53"/>
      <c r="AG53" s="54"/>
      <c r="AH53"/>
      <c r="AI53" s="53"/>
      <c r="AJ53" s="53"/>
      <c r="AK53" s="55"/>
    </row>
    <row r="54" spans="1:37" s="18" customFormat="1" ht="25.15" customHeight="1" x14ac:dyDescent="0.25">
      <c r="A54" s="17"/>
      <c r="B54" s="7"/>
      <c r="C54" s="7"/>
      <c r="D54" s="7"/>
      <c r="E54" s="3"/>
      <c r="F54" s="5"/>
      <c r="G54" s="5"/>
      <c r="H54" s="5"/>
      <c r="I54" s="25"/>
      <c r="J54" s="5"/>
      <c r="K54" s="5"/>
      <c r="L54" s="5"/>
      <c r="M54" s="5"/>
      <c r="N54" s="5"/>
      <c r="O54" s="25"/>
      <c r="P54" s="5"/>
      <c r="Q54" s="5"/>
      <c r="R54" s="5"/>
      <c r="S54" s="5"/>
      <c r="T54" s="5"/>
      <c r="U54" s="45"/>
      <c r="V54" s="45"/>
      <c r="X54" s="32"/>
      <c r="Y54" s="32"/>
      <c r="Z54" s="32"/>
      <c r="AA54" s="32"/>
      <c r="AB54" s="32"/>
      <c r="AC54" s="32"/>
      <c r="AE54" s="53"/>
      <c r="AF54" s="53"/>
      <c r="AG54" s="54"/>
      <c r="AH54"/>
      <c r="AI54" s="53"/>
      <c r="AJ54" s="53"/>
      <c r="AK54" s="55"/>
    </row>
    <row r="55" spans="1:37" s="18" customFormat="1" ht="25.15" customHeight="1" x14ac:dyDescent="0.25">
      <c r="A55" s="17"/>
      <c r="B55" s="7"/>
      <c r="C55" s="7"/>
      <c r="D55" s="7"/>
      <c r="E55" s="3"/>
      <c r="F55" s="5"/>
      <c r="G55" s="5"/>
      <c r="H55" s="5"/>
      <c r="I55" s="25"/>
      <c r="J55" s="5"/>
      <c r="K55" s="5"/>
      <c r="L55" s="5"/>
      <c r="M55" s="5"/>
      <c r="N55" s="5"/>
      <c r="O55" s="25"/>
      <c r="P55" s="5"/>
      <c r="Q55" s="5"/>
      <c r="R55" s="5"/>
      <c r="S55" s="5"/>
      <c r="T55" s="5"/>
      <c r="U55" s="45"/>
      <c r="V55" s="45"/>
      <c r="X55" s="32"/>
      <c r="Y55" s="32"/>
      <c r="Z55" s="32"/>
      <c r="AA55" s="32"/>
      <c r="AB55" s="32"/>
      <c r="AC55" s="32"/>
      <c r="AE55" s="53"/>
      <c r="AF55" s="53"/>
      <c r="AG55" s="54"/>
      <c r="AH55"/>
      <c r="AI55" s="53"/>
      <c r="AJ55" s="53"/>
      <c r="AK55" s="55"/>
    </row>
    <row r="56" spans="1:37" s="18" customFormat="1" ht="25.15" customHeight="1" x14ac:dyDescent="0.25">
      <c r="A56" s="17"/>
      <c r="B56" s="7"/>
      <c r="C56" s="7"/>
      <c r="D56" s="7"/>
      <c r="E56" s="3"/>
      <c r="F56" s="5"/>
      <c r="G56" s="5"/>
      <c r="H56" s="5"/>
      <c r="I56" s="25"/>
      <c r="J56" s="5"/>
      <c r="K56" s="5"/>
      <c r="L56" s="5"/>
      <c r="M56" s="5"/>
      <c r="N56" s="5"/>
      <c r="O56" s="25"/>
      <c r="P56" s="5"/>
      <c r="Q56" s="5"/>
      <c r="R56" s="5"/>
      <c r="S56" s="5"/>
      <c r="T56" s="5"/>
      <c r="U56" s="45"/>
      <c r="V56" s="45"/>
      <c r="X56" s="32"/>
      <c r="Y56" s="32"/>
      <c r="Z56" s="32"/>
      <c r="AA56" s="32"/>
      <c r="AB56" s="32"/>
      <c r="AC56" s="32"/>
      <c r="AE56" s="53"/>
      <c r="AF56" s="53"/>
      <c r="AG56" s="54"/>
      <c r="AH56"/>
      <c r="AI56" s="53"/>
      <c r="AJ56" s="53"/>
      <c r="AK56" s="55"/>
    </row>
    <row r="57" spans="1:37" s="18" customFormat="1" ht="25.15" customHeight="1" x14ac:dyDescent="0.25">
      <c r="A57" s="17"/>
      <c r="B57" s="7"/>
      <c r="C57" s="7"/>
      <c r="D57" s="7"/>
      <c r="E57" s="3"/>
      <c r="F57" s="5"/>
      <c r="G57" s="5"/>
      <c r="H57" s="5"/>
      <c r="I57" s="25"/>
      <c r="J57" s="5"/>
      <c r="K57" s="5"/>
      <c r="L57" s="5"/>
      <c r="M57" s="5"/>
      <c r="N57" s="5"/>
      <c r="O57" s="25"/>
      <c r="P57" s="5"/>
      <c r="Q57" s="5"/>
      <c r="R57" s="5"/>
      <c r="S57" s="5"/>
      <c r="T57" s="5"/>
      <c r="U57" s="45"/>
      <c r="V57" s="45"/>
      <c r="X57" s="32"/>
      <c r="Y57" s="32"/>
      <c r="Z57" s="32"/>
      <c r="AA57" s="32"/>
      <c r="AB57" s="32"/>
      <c r="AC57" s="32"/>
      <c r="AE57" s="53"/>
      <c r="AF57" s="53"/>
      <c r="AG57" s="54"/>
      <c r="AH57"/>
      <c r="AI57" s="53"/>
      <c r="AJ57" s="53"/>
      <c r="AK57" s="55"/>
    </row>
    <row r="58" spans="1:37" s="18" customFormat="1" ht="25.15" customHeight="1" x14ac:dyDescent="0.25">
      <c r="A58" s="17"/>
      <c r="B58" s="7"/>
      <c r="C58" s="7"/>
      <c r="D58" s="7"/>
      <c r="E58" s="3"/>
      <c r="F58" s="5"/>
      <c r="G58" s="5"/>
      <c r="H58" s="5"/>
      <c r="I58" s="25"/>
      <c r="J58" s="5"/>
      <c r="K58" s="5"/>
      <c r="L58" s="5"/>
      <c r="M58" s="5"/>
      <c r="N58" s="5"/>
      <c r="O58" s="25"/>
      <c r="P58" s="5"/>
      <c r="Q58" s="5"/>
      <c r="R58" s="5"/>
      <c r="S58" s="5"/>
      <c r="T58" s="5"/>
      <c r="U58" s="45"/>
      <c r="V58" s="45"/>
      <c r="X58" s="32"/>
      <c r="Y58" s="32"/>
      <c r="Z58" s="32"/>
      <c r="AA58" s="32"/>
      <c r="AB58" s="32"/>
      <c r="AC58" s="32"/>
      <c r="AE58" s="53"/>
      <c r="AF58" s="53"/>
      <c r="AG58" s="54"/>
      <c r="AH58"/>
      <c r="AI58" s="53"/>
      <c r="AJ58" s="53"/>
      <c r="AK58" s="55"/>
    </row>
    <row r="59" spans="1:37" s="18" customFormat="1" ht="25.15" customHeight="1" x14ac:dyDescent="0.25">
      <c r="A59" s="17"/>
      <c r="B59" s="7"/>
      <c r="C59" s="7"/>
      <c r="D59" s="7"/>
      <c r="E59" s="3"/>
      <c r="F59" s="5"/>
      <c r="G59" s="5"/>
      <c r="H59" s="5"/>
      <c r="I59" s="25"/>
      <c r="J59" s="5"/>
      <c r="K59" s="5"/>
      <c r="L59" s="5"/>
      <c r="M59" s="5"/>
      <c r="N59" s="5"/>
      <c r="O59" s="25"/>
      <c r="P59" s="5"/>
      <c r="Q59" s="5"/>
      <c r="R59" s="5"/>
      <c r="S59" s="5"/>
      <c r="T59" s="5"/>
      <c r="U59" s="45"/>
      <c r="V59" s="45"/>
      <c r="X59" s="32"/>
      <c r="Y59" s="32"/>
      <c r="Z59" s="32"/>
      <c r="AA59" s="32"/>
      <c r="AB59" s="32"/>
      <c r="AC59" s="32"/>
      <c r="AE59" s="53"/>
      <c r="AF59" s="53"/>
      <c r="AG59" s="54"/>
      <c r="AH59"/>
      <c r="AI59" s="53"/>
      <c r="AJ59" s="53"/>
      <c r="AK59" s="55"/>
    </row>
    <row r="60" spans="1:37" s="18" customFormat="1" ht="25.15" customHeight="1" x14ac:dyDescent="0.25">
      <c r="A60" s="17"/>
      <c r="B60" s="7"/>
      <c r="C60" s="7"/>
      <c r="D60" s="7"/>
      <c r="E60" s="3"/>
      <c r="F60" s="5"/>
      <c r="G60" s="5"/>
      <c r="H60" s="5"/>
      <c r="I60" s="25"/>
      <c r="J60" s="5"/>
      <c r="K60" s="5"/>
      <c r="L60" s="5"/>
      <c r="M60" s="5"/>
      <c r="N60" s="5"/>
      <c r="O60" s="25"/>
      <c r="P60" s="5"/>
      <c r="Q60" s="5"/>
      <c r="R60" s="5"/>
      <c r="S60" s="5"/>
      <c r="T60" s="5"/>
      <c r="U60" s="45"/>
      <c r="V60" s="45"/>
      <c r="X60" s="32"/>
      <c r="Y60" s="32"/>
      <c r="Z60" s="32"/>
      <c r="AA60" s="32"/>
      <c r="AB60" s="32"/>
      <c r="AC60" s="32"/>
      <c r="AE60" s="53"/>
      <c r="AF60" s="53"/>
      <c r="AG60" s="54"/>
      <c r="AH60"/>
      <c r="AI60" s="53"/>
      <c r="AJ60" s="53"/>
      <c r="AK60" s="55"/>
    </row>
    <row r="61" spans="1:37" s="18" customFormat="1" ht="25.15" customHeight="1" x14ac:dyDescent="0.25">
      <c r="A61" s="17"/>
      <c r="B61" s="7"/>
      <c r="C61" s="7"/>
      <c r="D61" s="7"/>
      <c r="E61" s="3"/>
      <c r="F61" s="5"/>
      <c r="G61" s="5"/>
      <c r="H61" s="5"/>
      <c r="I61" s="25"/>
      <c r="J61" s="5"/>
      <c r="K61" s="5"/>
      <c r="L61" s="5"/>
      <c r="M61" s="5"/>
      <c r="N61" s="5"/>
      <c r="O61" s="25"/>
      <c r="P61" s="5"/>
      <c r="Q61" s="5"/>
      <c r="R61" s="5"/>
      <c r="S61" s="5"/>
      <c r="T61" s="5"/>
      <c r="U61" s="45"/>
      <c r="V61" s="45"/>
      <c r="X61" s="32"/>
      <c r="Y61" s="32"/>
      <c r="Z61" s="32"/>
      <c r="AA61" s="32"/>
      <c r="AB61" s="32"/>
      <c r="AC61" s="32"/>
      <c r="AE61" s="53"/>
      <c r="AF61" s="53"/>
      <c r="AG61" s="54"/>
      <c r="AH61"/>
      <c r="AI61" s="53"/>
      <c r="AJ61" s="53"/>
      <c r="AK61" s="55"/>
    </row>
    <row r="62" spans="1:37" s="18" customFormat="1" ht="25.15" customHeight="1" x14ac:dyDescent="0.25">
      <c r="A62" s="17"/>
      <c r="B62" s="7"/>
      <c r="C62" s="7"/>
      <c r="D62" s="7"/>
      <c r="E62" s="3"/>
      <c r="F62" s="5"/>
      <c r="G62" s="5"/>
      <c r="H62" s="5"/>
      <c r="I62" s="25"/>
      <c r="J62" s="5"/>
      <c r="K62" s="5"/>
      <c r="L62" s="5"/>
      <c r="M62" s="5"/>
      <c r="N62" s="5"/>
      <c r="O62" s="25"/>
      <c r="P62" s="5"/>
      <c r="Q62" s="5"/>
      <c r="R62" s="5"/>
      <c r="S62" s="5"/>
      <c r="T62" s="5"/>
      <c r="U62" s="45"/>
      <c r="V62" s="45"/>
      <c r="X62" s="32"/>
      <c r="Y62" s="32"/>
      <c r="Z62" s="32"/>
      <c r="AA62" s="32"/>
      <c r="AB62" s="32"/>
      <c r="AC62" s="32"/>
      <c r="AE62" s="53"/>
      <c r="AF62" s="53"/>
      <c r="AG62" s="54"/>
      <c r="AH62"/>
      <c r="AI62" s="53"/>
      <c r="AJ62" s="53"/>
      <c r="AK62" s="55"/>
    </row>
    <row r="63" spans="1:37" s="18" customFormat="1" ht="25.15" customHeight="1" x14ac:dyDescent="0.25">
      <c r="A63" s="17"/>
      <c r="B63" s="7"/>
      <c r="C63" s="7"/>
      <c r="D63" s="7"/>
      <c r="E63" s="3"/>
      <c r="F63" s="5"/>
      <c r="G63" s="5"/>
      <c r="H63" s="5"/>
      <c r="I63" s="25"/>
      <c r="J63" s="5"/>
      <c r="K63" s="5"/>
      <c r="L63" s="5"/>
      <c r="M63" s="5"/>
      <c r="N63" s="5"/>
      <c r="O63" s="25"/>
      <c r="P63" s="5"/>
      <c r="Q63" s="5"/>
      <c r="R63" s="5"/>
      <c r="S63" s="5"/>
      <c r="T63" s="5"/>
      <c r="U63" s="45"/>
      <c r="V63" s="45"/>
      <c r="X63" s="32"/>
      <c r="Y63" s="32"/>
      <c r="Z63" s="32"/>
      <c r="AA63" s="32"/>
      <c r="AB63" s="32"/>
      <c r="AC63" s="32"/>
      <c r="AE63" s="53"/>
      <c r="AF63" s="53"/>
      <c r="AG63" s="54"/>
      <c r="AH63"/>
      <c r="AI63" s="53"/>
      <c r="AJ63" s="53"/>
      <c r="AK63" s="55"/>
    </row>
    <row r="64" spans="1:37" s="18" customFormat="1" ht="25.15" customHeight="1" x14ac:dyDescent="0.25">
      <c r="A64" s="17"/>
      <c r="B64" s="7"/>
      <c r="C64" s="7"/>
      <c r="D64" s="7"/>
      <c r="E64" s="3"/>
      <c r="F64" s="5"/>
      <c r="G64" s="5"/>
      <c r="H64" s="5"/>
      <c r="I64" s="25"/>
      <c r="J64" s="5"/>
      <c r="K64" s="5"/>
      <c r="L64" s="5"/>
      <c r="M64" s="5"/>
      <c r="N64" s="5"/>
      <c r="O64" s="25"/>
      <c r="P64" s="5"/>
      <c r="Q64" s="5"/>
      <c r="R64" s="5"/>
      <c r="S64" s="5"/>
      <c r="T64" s="5"/>
      <c r="U64" s="45"/>
      <c r="V64" s="45"/>
      <c r="X64" s="32"/>
      <c r="Y64" s="32"/>
      <c r="Z64" s="32"/>
      <c r="AA64" s="32"/>
      <c r="AB64" s="32"/>
      <c r="AC64" s="32"/>
      <c r="AE64" s="53"/>
      <c r="AF64" s="53"/>
      <c r="AG64" s="54"/>
      <c r="AH64"/>
      <c r="AI64" s="53"/>
      <c r="AJ64" s="53"/>
      <c r="AK64" s="55"/>
    </row>
    <row r="65" spans="1:37" s="18" customFormat="1" ht="25.15" customHeight="1" x14ac:dyDescent="0.25">
      <c r="A65" s="17"/>
      <c r="B65" s="7"/>
      <c r="C65" s="7"/>
      <c r="D65" s="7"/>
      <c r="E65" s="3"/>
      <c r="F65" s="5"/>
      <c r="G65" s="5"/>
      <c r="H65" s="5"/>
      <c r="I65" s="25"/>
      <c r="J65" s="5"/>
      <c r="K65" s="5"/>
      <c r="L65" s="5"/>
      <c r="M65" s="5"/>
      <c r="N65" s="5"/>
      <c r="O65" s="25"/>
      <c r="P65" s="5"/>
      <c r="Q65" s="5"/>
      <c r="R65" s="5"/>
      <c r="S65" s="5"/>
      <c r="T65" s="5"/>
      <c r="U65" s="45"/>
      <c r="V65" s="45"/>
      <c r="X65" s="32"/>
      <c r="Y65" s="32"/>
      <c r="Z65" s="32"/>
      <c r="AA65" s="32"/>
      <c r="AB65" s="32"/>
      <c r="AC65" s="32"/>
      <c r="AE65" s="53"/>
      <c r="AF65" s="53"/>
      <c r="AG65" s="54"/>
      <c r="AH65"/>
      <c r="AI65" s="53"/>
      <c r="AJ65" s="53"/>
      <c r="AK65" s="55"/>
    </row>
    <row r="66" spans="1:37" s="18" customFormat="1" ht="25.15" customHeight="1" x14ac:dyDescent="0.25">
      <c r="A66" s="17"/>
      <c r="B66" s="7"/>
      <c r="C66" s="7"/>
      <c r="D66" s="7"/>
      <c r="E66" s="3"/>
      <c r="F66" s="5"/>
      <c r="G66" s="5"/>
      <c r="H66" s="5"/>
      <c r="I66" s="25"/>
      <c r="J66" s="5"/>
      <c r="K66" s="5"/>
      <c r="L66" s="5"/>
      <c r="M66" s="5"/>
      <c r="N66" s="5"/>
      <c r="O66" s="25"/>
      <c r="P66" s="5"/>
      <c r="Q66" s="5"/>
      <c r="R66" s="5"/>
      <c r="S66" s="5"/>
      <c r="T66" s="5"/>
      <c r="U66" s="45"/>
      <c r="V66" s="45"/>
      <c r="X66" s="32"/>
      <c r="Y66" s="32"/>
      <c r="Z66" s="32"/>
      <c r="AA66" s="32"/>
      <c r="AB66" s="32"/>
      <c r="AC66" s="32"/>
      <c r="AE66" s="53"/>
      <c r="AF66" s="53"/>
      <c r="AG66" s="54"/>
      <c r="AH66"/>
      <c r="AI66" s="53"/>
      <c r="AJ66" s="53"/>
      <c r="AK66" s="55"/>
    </row>
    <row r="67" spans="1:37" s="18" customFormat="1" ht="25.15" customHeight="1" x14ac:dyDescent="0.25">
      <c r="A67" s="17"/>
      <c r="B67" s="7"/>
      <c r="C67" s="7"/>
      <c r="D67" s="7"/>
      <c r="E67" s="3"/>
      <c r="F67" s="5"/>
      <c r="G67" s="5"/>
      <c r="H67" s="5"/>
      <c r="I67" s="25"/>
      <c r="J67" s="5"/>
      <c r="K67" s="5"/>
      <c r="L67" s="5"/>
      <c r="M67" s="5"/>
      <c r="N67" s="5"/>
      <c r="O67" s="25"/>
      <c r="P67" s="5"/>
      <c r="Q67" s="5"/>
      <c r="R67" s="5"/>
      <c r="S67" s="5"/>
      <c r="T67" s="5"/>
      <c r="U67" s="45"/>
      <c r="V67" s="45"/>
      <c r="X67" s="32"/>
      <c r="Y67" s="32"/>
      <c r="Z67" s="32"/>
      <c r="AA67" s="32"/>
      <c r="AB67" s="32"/>
      <c r="AC67" s="32"/>
      <c r="AE67" s="53"/>
      <c r="AF67" s="53"/>
      <c r="AG67" s="54"/>
      <c r="AH67"/>
      <c r="AI67" s="53"/>
      <c r="AJ67" s="53"/>
      <c r="AK67" s="55"/>
    </row>
    <row r="68" spans="1:37" s="18" customFormat="1" ht="25.15" customHeight="1" x14ac:dyDescent="0.25">
      <c r="A68" s="17"/>
      <c r="B68" s="7"/>
      <c r="C68" s="7"/>
      <c r="D68" s="7"/>
      <c r="E68" s="3"/>
      <c r="F68" s="5"/>
      <c r="G68" s="5"/>
      <c r="H68" s="5"/>
      <c r="I68" s="25"/>
      <c r="J68" s="5"/>
      <c r="K68" s="5"/>
      <c r="L68" s="5"/>
      <c r="M68" s="5"/>
      <c r="N68" s="5"/>
      <c r="O68" s="25"/>
      <c r="P68" s="5"/>
      <c r="Q68" s="5"/>
      <c r="R68" s="5"/>
      <c r="S68" s="5"/>
      <c r="T68" s="5"/>
      <c r="U68" s="45"/>
      <c r="V68" s="45"/>
      <c r="X68" s="32"/>
      <c r="Y68" s="32"/>
      <c r="Z68" s="32"/>
      <c r="AA68" s="32"/>
      <c r="AB68" s="32"/>
      <c r="AC68" s="32"/>
      <c r="AE68" s="53"/>
      <c r="AF68" s="53"/>
      <c r="AG68" s="54"/>
      <c r="AH68"/>
      <c r="AI68" s="53"/>
      <c r="AJ68" s="53"/>
      <c r="AK68" s="55"/>
    </row>
    <row r="69" spans="1:37" s="18" customFormat="1" ht="25.15" customHeight="1" x14ac:dyDescent="0.25">
      <c r="A69" s="17"/>
      <c r="B69" s="7"/>
      <c r="C69" s="7"/>
      <c r="D69" s="7"/>
      <c r="E69" s="3"/>
      <c r="F69" s="5"/>
      <c r="G69" s="5"/>
      <c r="H69" s="5"/>
      <c r="I69" s="25"/>
      <c r="J69" s="5"/>
      <c r="K69" s="5"/>
      <c r="L69" s="5"/>
      <c r="M69" s="5"/>
      <c r="N69" s="5"/>
      <c r="O69" s="25"/>
      <c r="P69" s="5"/>
      <c r="Q69" s="5"/>
      <c r="R69" s="5"/>
      <c r="S69" s="5"/>
      <c r="T69" s="5"/>
      <c r="U69" s="45"/>
      <c r="V69" s="45"/>
      <c r="X69" s="32"/>
      <c r="Y69" s="32"/>
      <c r="Z69" s="32"/>
      <c r="AA69" s="32"/>
      <c r="AB69" s="32"/>
      <c r="AC69" s="32"/>
      <c r="AE69" s="53"/>
      <c r="AF69" s="53"/>
      <c r="AG69" s="54"/>
      <c r="AH69"/>
      <c r="AI69" s="53"/>
      <c r="AJ69" s="53"/>
      <c r="AK69" s="55"/>
    </row>
    <row r="70" spans="1:37" s="18" customFormat="1" ht="25.15" customHeight="1" x14ac:dyDescent="0.25">
      <c r="A70" s="17"/>
      <c r="B70" s="7"/>
      <c r="C70" s="7"/>
      <c r="D70" s="7"/>
      <c r="E70" s="3"/>
      <c r="F70" s="5"/>
      <c r="G70" s="5"/>
      <c r="H70" s="5"/>
      <c r="I70" s="25"/>
      <c r="J70" s="5"/>
      <c r="K70" s="5"/>
      <c r="L70" s="5"/>
      <c r="M70" s="5"/>
      <c r="N70" s="5"/>
      <c r="O70" s="25"/>
      <c r="P70" s="5"/>
      <c r="Q70" s="5"/>
      <c r="R70" s="5"/>
      <c r="S70" s="5"/>
      <c r="T70" s="5"/>
      <c r="U70" s="45"/>
      <c r="V70" s="45"/>
      <c r="X70" s="32"/>
      <c r="Y70" s="32"/>
      <c r="Z70" s="32"/>
      <c r="AA70" s="32"/>
      <c r="AB70" s="32"/>
      <c r="AC70" s="32"/>
      <c r="AE70" s="53"/>
      <c r="AF70" s="53"/>
      <c r="AG70" s="54"/>
      <c r="AH70"/>
      <c r="AI70" s="53"/>
      <c r="AJ70" s="53"/>
      <c r="AK70" s="55"/>
    </row>
    <row r="71" spans="1:37" s="18" customFormat="1" ht="25.15" customHeight="1" x14ac:dyDescent="0.25">
      <c r="A71" s="17"/>
      <c r="B71" s="7"/>
      <c r="C71" s="7"/>
      <c r="D71" s="7"/>
      <c r="E71" s="3"/>
      <c r="F71" s="5"/>
      <c r="G71" s="5"/>
      <c r="H71" s="5"/>
      <c r="I71" s="25"/>
      <c r="J71" s="5"/>
      <c r="K71" s="5"/>
      <c r="L71" s="5"/>
      <c r="M71" s="5"/>
      <c r="N71" s="5"/>
      <c r="O71" s="25"/>
      <c r="P71" s="5"/>
      <c r="Q71" s="5"/>
      <c r="R71" s="5"/>
      <c r="S71" s="5"/>
      <c r="T71" s="5"/>
      <c r="U71" s="45"/>
      <c r="V71" s="45"/>
      <c r="X71" s="32"/>
      <c r="Y71" s="32"/>
      <c r="Z71" s="32"/>
      <c r="AA71" s="32"/>
      <c r="AB71" s="32"/>
      <c r="AC71" s="32"/>
      <c r="AE71" s="53"/>
      <c r="AF71" s="53"/>
      <c r="AG71" s="54"/>
      <c r="AH71"/>
      <c r="AI71" s="53"/>
      <c r="AJ71" s="53"/>
      <c r="AK71" s="55"/>
    </row>
    <row r="72" spans="1:37" s="18" customFormat="1" ht="25.15" customHeight="1" x14ac:dyDescent="0.25">
      <c r="A72" s="17"/>
      <c r="B72" s="7"/>
      <c r="C72" s="7"/>
      <c r="D72" s="7"/>
      <c r="E72" s="3"/>
      <c r="F72" s="5"/>
      <c r="G72" s="5"/>
      <c r="H72" s="5"/>
      <c r="I72" s="25"/>
      <c r="J72" s="5"/>
      <c r="K72" s="5"/>
      <c r="L72" s="5"/>
      <c r="M72" s="5"/>
      <c r="N72" s="5"/>
      <c r="O72" s="25"/>
      <c r="P72" s="5"/>
      <c r="Q72" s="5"/>
      <c r="R72" s="5"/>
      <c r="S72" s="5"/>
      <c r="T72" s="5"/>
      <c r="U72" s="45"/>
      <c r="V72" s="45"/>
      <c r="X72" s="32"/>
      <c r="Y72" s="32"/>
      <c r="Z72" s="32"/>
      <c r="AA72" s="32"/>
      <c r="AB72" s="32"/>
      <c r="AC72" s="32"/>
      <c r="AE72" s="53"/>
      <c r="AF72" s="53"/>
      <c r="AG72" s="54"/>
      <c r="AH72"/>
      <c r="AI72" s="53"/>
      <c r="AJ72" s="53"/>
      <c r="AK72" s="55"/>
    </row>
    <row r="73" spans="1:37" ht="30" x14ac:dyDescent="0.25">
      <c r="H73" s="5"/>
    </row>
  </sheetData>
  <phoneticPr fontId="8" type="noConversion"/>
  <conditionalFormatting sqref="E2:T42">
    <cfRule type="cellIs" dxfId="13" priority="1" operator="lessThan">
      <formula>6</formula>
    </cfRule>
  </conditionalFormatting>
  <conditionalFormatting sqref="P1:T1 E43:G72 I43:T72 H43:H73">
    <cfRule type="cellIs" dxfId="12" priority="7" operator="lessThan">
      <formula>6</formula>
    </cfRule>
  </conditionalFormatting>
  <conditionalFormatting sqref="U1 U37:U72">
    <cfRule type="cellIs" dxfId="11" priority="6" operator="greaterThan">
      <formula>19</formula>
    </cfRule>
  </conditionalFormatting>
  <conditionalFormatting sqref="V1:V31 U2:U31 U32:V33 V37:V72">
    <cfRule type="cellIs" dxfId="10" priority="5" operator="greaterThan">
      <formula>5</formula>
    </cfRule>
  </conditionalFormatting>
  <conditionalFormatting sqref="AE1">
    <cfRule type="cellIs" dxfId="9" priority="4" operator="lessThan">
      <formula>6</formula>
    </cfRule>
  </conditionalFormatting>
  <conditionalFormatting sqref="AG1:AG31 AG34:AG72">
    <cfRule type="cellIs" dxfId="8" priority="2" operator="greaterThan">
      <formula>14</formula>
    </cfRule>
  </conditionalFormatting>
  <conditionalFormatting sqref="AK1:AK31 AK34:AK72">
    <cfRule type="cellIs" dxfId="7" priority="3" operator="greaterThan">
      <formula>4</formula>
    </cfRule>
  </conditionalFormatting>
  <dataValidations count="12">
    <dataValidation allowBlank="1" showInputMessage="1" showErrorMessage="1" promptTitle="Petunjuk Pengisian" prompt="jumlah nilai pelajaran seluruh siswi dibagi Jumlah siswi _x000a_- tanpa mengikutkan yang boyong/ cuty_x000a_- siswi yang her/ tanpa keterangan dikira kirakan 4 nilainya" sqref="H37:H50" xr:uid="{B4DE8AE2-4A0A-4990-9275-6E4401969306}"/>
    <dataValidation allowBlank="1" showInputMessage="1" showErrorMessage="1" promptTitle="Petunjuk Pengisian" prompt="jumlah nilai pelajaran seluruh siswi dibagi Jumlah siswi _x000a_- tanpa mengikutkan yang boyong _x000a_- cuty tetap diikutkan_x000a_- siswi yang her/ tanpa keterangan dikira kirakan 4 nilainya" sqref="H36 H51" xr:uid="{08AAAFD8-5F83-4448-9108-7AD434DC3311}"/>
    <dataValidation allowBlank="1" showInputMessage="1" showErrorMessage="1" promptTitle="Petunjuk pengisian" prompt="Izin 20 Hari dalam 1 Semester dapat menurunkan satu nilai akhlaq" sqref="AE1" xr:uid="{3FE85E7F-6DEC-4C7F-B3B4-057C79D4B631}"/>
    <dataValidation allowBlank="1" showInputMessage="1" showErrorMessage="1" promptTitle="Petunjuk Pengisian" prompt="Tidak Izin 6 Hari dalam 1 Semester dapat menurunkan satu nilai akhlaq" sqref="V37:V72 U2:U33 V1:V33" xr:uid="{10FFF47B-E6CD-4136-9A18-0940BB80281A}"/>
    <dataValidation allowBlank="1" showInputMessage="1" showErrorMessage="1" promptTitle="petunjuk Pengisian " prompt="Izin 20 Hari dalam 1 Semester dapat menurunkan satu nilai akhlaq" sqref="U37:U72 U1" xr:uid="{F75669BD-B59A-4BBA-90CA-CC8492BE3A51}"/>
    <dataValidation allowBlank="1" showInputMessage="1" showErrorMessage="1" promptTitle="PETUNJUIK PENGISIAN" prompt="IZIN 15 HARI DALAM 1 TAHUN (SEMESTER I &amp; II )MENURUNKAN SATU NILAI PRESTASI" sqref="AG34:AG72 AG1:AG31" xr:uid="{BB7EBE52-D328-441A-B114-4D76CAC565CE}"/>
    <dataValidation allowBlank="1" showInputMessage="1" showErrorMessage="1" promptTitle="PETUNJUK PENGISIAN" prompt="TIDAK IZIN 5 HARI DALAM 1 TAHUN (SEMESTER I &amp; II )MENURUNKAN SATU NILAI PRESTASI" sqref="AK34:AK72 AK1:AK31" xr:uid="{589EF254-1CAF-42C2-A6A2-DC763DFFE11E}"/>
    <dataValidation allowBlank="1" showInputMessage="1" showErrorMessage="1" promptTitle="petunjuk pengisian" prompt="Jumlah Nilai siswi Semester I &amp; II dibagi Jumlah Pelajaran semster I &amp; II" sqref="AB34:AB72 AB1:AB31" xr:uid="{3932D9A8-8788-493D-8404-CE0188C1898F}"/>
    <dataValidation allowBlank="1" showInputMessage="1" showErrorMessage="1" promptTitle="Petunjuk Pengisian" prompt="Jumlah Mata pelajran semester I &amp; II" sqref="AA34:AA72 AA1:AA31" xr:uid="{994E28DA-A309-4DFC-819C-BDDFA1B570B4}"/>
    <dataValidation allowBlank="1" showInputMessage="1" showErrorMessage="1" promptTitle="Petunjuk pengisian" prompt="Jumlah Nilai Pelajaran siswi semester I &amp; II" sqref="Z34:Z72 Z1:Z31" xr:uid="{C52EFB0F-0942-4745-AAA4-210FBB62C3CE}"/>
    <dataValidation allowBlank="1" showInputMessage="1" showErrorMessage="1" promptTitle="Petunjuk Pengisian" prompt="Jumlah Nilai pelajaran siswi" sqref="X34:Y72 X1:Y31" xr:uid="{7DD6EA9B-30DD-4609-B420-D14A2F7E9557}"/>
    <dataValidation allowBlank="1" showInputMessage="1" showErrorMessage="1" promptTitle="Petunjuk Pengisian" prompt="Jika Nilai Rata-ratanya mencapai_x000a_9 : الجيد الأول_x000a_8 : الجيد الثاني_x000a_7 : المتوسط الأول_x000a_6 : المتوسط الثاني_x000a_5 : الرديء/ المثبت" sqref="AC1:AC72" xr:uid="{215BD3B9-D485-46AD-92A5-B875C68B6E07}"/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609DA-40F6-4A9F-9DEE-722317257C4F}">
  <sheetPr>
    <tabColor rgb="FFFFFF00"/>
  </sheetPr>
  <dimension ref="A1:GH85"/>
  <sheetViews>
    <sheetView tabSelected="1" zoomScale="69" zoomScaleNormal="69" workbookViewId="0">
      <selection activeCell="D47" sqref="D47"/>
    </sheetView>
  </sheetViews>
  <sheetFormatPr defaultRowHeight="15" x14ac:dyDescent="0.25"/>
  <cols>
    <col min="1" max="1" width="15.85546875" style="53" customWidth="1"/>
    <col min="2" max="2" width="50" bestFit="1" customWidth="1"/>
    <col min="3" max="3" width="17.140625" customWidth="1"/>
    <col min="4" max="4" width="15.85546875" customWidth="1"/>
    <col min="5" max="5" width="16.42578125" customWidth="1"/>
    <col min="7" max="7" width="18.140625" customWidth="1"/>
    <col min="8" max="8" width="17.28515625" customWidth="1"/>
    <col min="9" max="9" width="16" customWidth="1"/>
    <col min="10" max="10" width="14.28515625" customWidth="1"/>
    <col min="11" max="13" width="17" customWidth="1"/>
    <col min="14" max="14" width="16.28515625" customWidth="1"/>
    <col min="15" max="15" width="13.7109375" customWidth="1"/>
    <col min="16" max="17" width="16" customWidth="1"/>
    <col min="18" max="18" width="11.42578125" customWidth="1"/>
    <col min="20" max="20" width="30.42578125" customWidth="1"/>
    <col min="29" max="29" width="16.42578125" customWidth="1"/>
    <col min="38" max="190" width="9.140625" style="241"/>
  </cols>
  <sheetData>
    <row r="1" spans="1:190" s="20" customFormat="1" ht="25.15" customHeight="1" thickBot="1" x14ac:dyDescent="0.35">
      <c r="A1" s="206" t="s">
        <v>1</v>
      </c>
      <c r="B1" s="11" t="s">
        <v>0</v>
      </c>
      <c r="C1" s="11" t="s">
        <v>2</v>
      </c>
      <c r="D1" s="11" t="s">
        <v>13</v>
      </c>
      <c r="E1" s="39" t="s">
        <v>3</v>
      </c>
      <c r="F1" s="36"/>
      <c r="G1" s="21" t="s">
        <v>51</v>
      </c>
      <c r="H1" s="21" t="s">
        <v>4</v>
      </c>
      <c r="I1" s="22" t="s">
        <v>52</v>
      </c>
      <c r="J1" s="21" t="s">
        <v>5</v>
      </c>
      <c r="K1" s="21" t="s">
        <v>53</v>
      </c>
      <c r="L1" s="21" t="s">
        <v>73</v>
      </c>
      <c r="M1" s="21" t="s">
        <v>54</v>
      </c>
      <c r="N1" s="21" t="s">
        <v>55</v>
      </c>
      <c r="O1" s="22" t="s">
        <v>57</v>
      </c>
      <c r="P1" s="12" t="s">
        <v>6</v>
      </c>
      <c r="Q1" s="12" t="s">
        <v>7</v>
      </c>
      <c r="R1" s="12" t="s">
        <v>8</v>
      </c>
      <c r="S1" s="12" t="s">
        <v>9</v>
      </c>
      <c r="T1" s="13" t="s">
        <v>10</v>
      </c>
      <c r="U1" s="43" t="s">
        <v>11</v>
      </c>
      <c r="V1" s="43" t="s">
        <v>12</v>
      </c>
      <c r="X1" s="26" t="s">
        <v>58</v>
      </c>
      <c r="Y1" s="26" t="s">
        <v>59</v>
      </c>
      <c r="Z1" s="26" t="s">
        <v>60</v>
      </c>
      <c r="AA1" s="26" t="s">
        <v>61</v>
      </c>
      <c r="AB1" s="26" t="s">
        <v>62</v>
      </c>
      <c r="AC1" s="26" t="s">
        <v>63</v>
      </c>
      <c r="AE1" s="47" t="s">
        <v>67</v>
      </c>
      <c r="AF1" s="48" t="s">
        <v>68</v>
      </c>
      <c r="AG1" s="49" t="s">
        <v>69</v>
      </c>
      <c r="AH1" s="42"/>
      <c r="AI1" s="50" t="s">
        <v>70</v>
      </c>
      <c r="AJ1" s="50" t="s">
        <v>71</v>
      </c>
      <c r="AK1" s="49" t="s">
        <v>72</v>
      </c>
      <c r="AL1" s="240"/>
      <c r="AM1" s="240"/>
      <c r="AN1" s="240"/>
      <c r="AO1" s="240"/>
      <c r="AP1" s="240"/>
      <c r="AQ1" s="240"/>
      <c r="AR1" s="240"/>
      <c r="AS1" s="240"/>
      <c r="AT1" s="240"/>
      <c r="AU1" s="240"/>
      <c r="AV1" s="240"/>
      <c r="AW1" s="240"/>
      <c r="AX1" s="240"/>
      <c r="AY1" s="240"/>
      <c r="AZ1" s="240"/>
      <c r="BA1" s="240"/>
      <c r="BB1" s="240"/>
      <c r="BC1" s="240"/>
      <c r="BD1" s="240"/>
      <c r="BE1" s="240"/>
      <c r="BF1" s="240"/>
      <c r="BG1" s="240"/>
      <c r="BH1" s="240"/>
      <c r="BI1" s="240"/>
      <c r="BJ1" s="240"/>
      <c r="BK1" s="240"/>
      <c r="BL1" s="240"/>
      <c r="BM1" s="240"/>
      <c r="BN1" s="240"/>
      <c r="BO1" s="240"/>
      <c r="BP1" s="240"/>
      <c r="BQ1" s="240"/>
      <c r="BR1" s="240"/>
      <c r="BS1" s="240"/>
      <c r="BT1" s="240"/>
      <c r="BU1" s="240"/>
      <c r="BV1" s="240"/>
      <c r="BW1" s="240"/>
      <c r="BX1" s="240"/>
      <c r="BY1" s="240"/>
      <c r="BZ1" s="240"/>
      <c r="CA1" s="240"/>
      <c r="CB1" s="240"/>
      <c r="CC1" s="240"/>
      <c r="CD1" s="240"/>
      <c r="CE1" s="240"/>
      <c r="CF1" s="240"/>
      <c r="CG1" s="240"/>
      <c r="CH1" s="240"/>
      <c r="CI1" s="240"/>
      <c r="CJ1" s="240"/>
      <c r="CK1" s="240"/>
      <c r="CL1" s="240"/>
      <c r="CM1" s="240"/>
      <c r="CN1" s="240"/>
      <c r="CO1" s="240"/>
      <c r="CP1" s="240"/>
      <c r="CQ1" s="240"/>
      <c r="CR1" s="240"/>
      <c r="CS1" s="240"/>
      <c r="CT1" s="240"/>
      <c r="CU1" s="240"/>
      <c r="CV1" s="240"/>
      <c r="CW1" s="240"/>
      <c r="CX1" s="240"/>
      <c r="CY1" s="240"/>
      <c r="CZ1" s="240"/>
      <c r="DA1" s="240"/>
      <c r="DB1" s="240"/>
      <c r="DC1" s="240"/>
      <c r="DD1" s="240"/>
      <c r="DE1" s="240"/>
      <c r="DF1" s="240"/>
      <c r="DG1" s="240"/>
      <c r="DH1" s="240"/>
      <c r="DI1" s="240"/>
      <c r="DJ1" s="240"/>
      <c r="DK1" s="240"/>
      <c r="DL1" s="240"/>
      <c r="DM1" s="240"/>
      <c r="DN1" s="240"/>
      <c r="DO1" s="240"/>
      <c r="DP1" s="240"/>
      <c r="DQ1" s="240"/>
      <c r="DR1" s="240"/>
      <c r="DS1" s="240"/>
      <c r="DT1" s="240"/>
      <c r="DU1" s="240"/>
      <c r="DV1" s="240"/>
      <c r="DW1" s="240"/>
      <c r="DX1" s="240"/>
      <c r="DY1" s="240"/>
      <c r="DZ1" s="240"/>
      <c r="EA1" s="240"/>
      <c r="EB1" s="240"/>
      <c r="EC1" s="240"/>
      <c r="ED1" s="240"/>
      <c r="EE1" s="240"/>
      <c r="EF1" s="240"/>
      <c r="EG1" s="240"/>
      <c r="EH1" s="240"/>
      <c r="EI1" s="240"/>
      <c r="EJ1" s="240"/>
      <c r="EK1" s="240"/>
      <c r="EL1" s="240"/>
      <c r="EM1" s="240"/>
      <c r="EN1" s="240"/>
      <c r="EO1" s="240"/>
      <c r="EP1" s="240"/>
      <c r="EQ1" s="240"/>
      <c r="ER1" s="240"/>
      <c r="ES1" s="240"/>
      <c r="ET1" s="240"/>
      <c r="EU1" s="240"/>
      <c r="EV1" s="240"/>
      <c r="EW1" s="240"/>
      <c r="EX1" s="240"/>
      <c r="EY1" s="240"/>
      <c r="EZ1" s="240"/>
      <c r="FA1" s="240"/>
      <c r="FB1" s="240"/>
      <c r="FC1" s="240"/>
      <c r="FD1" s="240"/>
      <c r="FE1" s="240"/>
      <c r="FF1" s="240"/>
      <c r="FG1" s="240"/>
      <c r="FH1" s="240"/>
      <c r="FI1" s="240"/>
      <c r="FJ1" s="240"/>
      <c r="FK1" s="240"/>
      <c r="FL1" s="240"/>
      <c r="FM1" s="240"/>
      <c r="FN1" s="240"/>
      <c r="FO1" s="240"/>
      <c r="FP1" s="240"/>
      <c r="FQ1" s="240"/>
      <c r="FR1" s="240"/>
      <c r="FS1" s="240"/>
      <c r="FT1" s="240"/>
      <c r="FU1" s="240"/>
      <c r="FV1" s="240"/>
      <c r="FW1" s="240"/>
      <c r="FX1" s="240"/>
      <c r="FY1" s="240"/>
      <c r="FZ1" s="240"/>
      <c r="GA1" s="240"/>
      <c r="GB1" s="240"/>
      <c r="GC1" s="240"/>
      <c r="GD1" s="240"/>
      <c r="GE1" s="240"/>
      <c r="GF1" s="240"/>
      <c r="GG1" s="240"/>
      <c r="GH1" s="240"/>
    </row>
    <row r="2" spans="1:190" s="1" customFormat="1" ht="25.15" customHeight="1" thickBot="1" x14ac:dyDescent="0.35">
      <c r="A2" s="207" t="s">
        <v>14</v>
      </c>
      <c r="B2" s="123" t="s">
        <v>293</v>
      </c>
      <c r="C2" s="84">
        <v>2727</v>
      </c>
      <c r="D2" s="19" t="s">
        <v>14</v>
      </c>
      <c r="E2" s="3" t="str">
        <f>TEXT(F2,"[$-2000000]0")</f>
        <v>٨</v>
      </c>
      <c r="F2" s="3">
        <v>8</v>
      </c>
      <c r="G2" s="3" t="s">
        <v>56</v>
      </c>
      <c r="H2" s="3">
        <v>8</v>
      </c>
      <c r="I2" s="3">
        <v>9</v>
      </c>
      <c r="J2" s="3">
        <v>8</v>
      </c>
      <c r="K2" s="3">
        <v>8</v>
      </c>
      <c r="L2" s="3">
        <v>9</v>
      </c>
      <c r="M2" s="3">
        <v>8</v>
      </c>
      <c r="N2" s="3">
        <v>8</v>
      </c>
      <c r="O2" s="3">
        <v>7</v>
      </c>
      <c r="P2" s="3">
        <v>7</v>
      </c>
      <c r="Q2" s="3">
        <v>7</v>
      </c>
      <c r="R2" s="3">
        <v>8</v>
      </c>
      <c r="S2" s="3">
        <v>8</v>
      </c>
      <c r="T2" s="4">
        <f>SUM(E2:S2)</f>
        <v>103</v>
      </c>
      <c r="U2" s="44" t="s">
        <v>56</v>
      </c>
      <c r="V2" s="44" t="s">
        <v>56</v>
      </c>
      <c r="X2" s="27">
        <f>'2 ALIYAH H'!T2</f>
        <v>102</v>
      </c>
      <c r="Y2" s="27">
        <f t="shared" ref="Y2:Y32" si="0">T2</f>
        <v>103</v>
      </c>
      <c r="Z2" s="28">
        <f t="shared" ref="Z2:Z32" si="1">X2+Y2</f>
        <v>205</v>
      </c>
      <c r="AA2" s="27">
        <v>26</v>
      </c>
      <c r="AB2" s="28">
        <f>Z2/AA2</f>
        <v>8</v>
      </c>
      <c r="AC2" s="29" t="str">
        <f t="shared" ref="AC2:AC32" si="2">IF(AB2&gt;=8.5,"الجيد الأول",IF(AB2&gt;=7.5,"الجيد الثاني",IF(AB2&gt;=6.5,"المتوسط الأول",IF(AB2&gt;=5.5,"المتوسط الثاني",IF(AB2&gt;=4.5,"الرديء",)))))</f>
        <v>الجيد الثاني</v>
      </c>
      <c r="AE2" s="51">
        <f>'2 ALIYAH G'!U2</f>
        <v>1</v>
      </c>
      <c r="AF2" s="51" t="str">
        <f>U2:U32</f>
        <v>-</v>
      </c>
      <c r="AG2" s="52">
        <f>SUM(AE2:AF2)</f>
        <v>1</v>
      </c>
      <c r="AI2" s="51" t="str">
        <f>'2 ALIYAH G'!V2</f>
        <v>-</v>
      </c>
      <c r="AJ2" s="51" t="str">
        <f>V2:V25</f>
        <v>-</v>
      </c>
      <c r="AK2" s="52">
        <f>SUM(AI2:AJ2)</f>
        <v>0</v>
      </c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59"/>
      <c r="FP2" s="59"/>
      <c r="FQ2" s="59"/>
      <c r="FR2" s="59"/>
      <c r="FS2" s="59"/>
      <c r="FT2" s="59"/>
      <c r="FU2" s="59"/>
      <c r="FV2" s="59"/>
      <c r="FW2" s="59"/>
      <c r="FX2" s="59"/>
      <c r="FY2" s="59"/>
      <c r="FZ2" s="59"/>
      <c r="GA2" s="59"/>
      <c r="GB2" s="59"/>
      <c r="GC2" s="59"/>
      <c r="GD2" s="59"/>
      <c r="GE2" s="59"/>
      <c r="GF2" s="59"/>
      <c r="GG2" s="59"/>
      <c r="GH2" s="59"/>
    </row>
    <row r="3" spans="1:190" s="59" customFormat="1" ht="25.15" customHeight="1" thickBot="1" x14ac:dyDescent="0.35">
      <c r="A3" s="283" t="s">
        <v>15</v>
      </c>
      <c r="B3" s="149" t="s">
        <v>294</v>
      </c>
      <c r="C3" s="84">
        <v>2792</v>
      </c>
      <c r="D3" s="150" t="s">
        <v>15</v>
      </c>
      <c r="E3" s="151" t="str">
        <f t="shared" ref="E3:E33" si="3">TEXT(F3,"[$-2000000]0")</f>
        <v>٦</v>
      </c>
      <c r="F3" s="151">
        <v>6</v>
      </c>
      <c r="G3" s="151" t="s">
        <v>56</v>
      </c>
      <c r="H3" s="151">
        <v>8</v>
      </c>
      <c r="I3" s="151">
        <v>7</v>
      </c>
      <c r="J3" s="151">
        <v>5</v>
      </c>
      <c r="K3" s="151">
        <v>4</v>
      </c>
      <c r="L3" s="151">
        <v>8</v>
      </c>
      <c r="M3" s="151">
        <v>5</v>
      </c>
      <c r="N3" s="151">
        <v>5</v>
      </c>
      <c r="O3" s="151">
        <v>4</v>
      </c>
      <c r="P3" s="151">
        <v>7</v>
      </c>
      <c r="Q3" s="151">
        <v>7</v>
      </c>
      <c r="R3" s="151">
        <v>8</v>
      </c>
      <c r="S3" s="151">
        <v>8</v>
      </c>
      <c r="T3" s="151">
        <f t="shared" ref="T3:T33" si="4">SUM(E3:S3)</f>
        <v>82</v>
      </c>
      <c r="U3" s="152">
        <v>13</v>
      </c>
      <c r="V3" s="152" t="s">
        <v>56</v>
      </c>
      <c r="X3" s="60">
        <f>'2 ALIYAH H'!T3</f>
        <v>79</v>
      </c>
      <c r="Y3" s="60">
        <f t="shared" si="0"/>
        <v>82</v>
      </c>
      <c r="Z3" s="60">
        <f t="shared" si="1"/>
        <v>161</v>
      </c>
      <c r="AA3" s="60">
        <v>26</v>
      </c>
      <c r="AB3" s="60">
        <f t="shared" ref="AB3:AB32" si="5">Z3/AA3</f>
        <v>6</v>
      </c>
      <c r="AC3" s="60" t="str">
        <f t="shared" si="2"/>
        <v>المتوسط الثاني</v>
      </c>
      <c r="AE3" s="61" t="str">
        <f>'2 ALIYAH G'!U3</f>
        <v>-</v>
      </c>
      <c r="AF3" s="61">
        <f t="shared" ref="AF3:AF32" si="6">U3:U33</f>
        <v>13</v>
      </c>
      <c r="AG3" s="61">
        <f t="shared" ref="AG3:AG32" si="7">SUM(AE3:AF3)</f>
        <v>13</v>
      </c>
      <c r="AI3" s="61" t="str">
        <f>'2 ALIYAH G'!V3</f>
        <v>-</v>
      </c>
      <c r="AJ3" s="61" t="str">
        <f t="shared" ref="AJ3:AJ32" si="8">V3:V26</f>
        <v>-</v>
      </c>
      <c r="AK3" s="61">
        <f t="shared" ref="AK3:AK32" si="9">SUM(AI3:AJ3)</f>
        <v>0</v>
      </c>
    </row>
    <row r="4" spans="1:190" s="1" customFormat="1" ht="25.15" customHeight="1" thickBot="1" x14ac:dyDescent="0.35">
      <c r="A4" s="207" t="s">
        <v>16</v>
      </c>
      <c r="B4" s="149" t="s">
        <v>295</v>
      </c>
      <c r="C4" s="84">
        <v>2888</v>
      </c>
      <c r="D4" s="19" t="s">
        <v>16</v>
      </c>
      <c r="E4" s="3" t="str">
        <f t="shared" si="3"/>
        <v>٩</v>
      </c>
      <c r="F4" s="3">
        <v>9</v>
      </c>
      <c r="G4" s="3" t="s">
        <v>56</v>
      </c>
      <c r="H4" s="3">
        <v>9</v>
      </c>
      <c r="I4" s="3">
        <v>9</v>
      </c>
      <c r="J4" s="3">
        <v>9</v>
      </c>
      <c r="K4" s="3">
        <v>9</v>
      </c>
      <c r="L4" s="3">
        <v>9</v>
      </c>
      <c r="M4" s="3">
        <v>9</v>
      </c>
      <c r="N4" s="3">
        <v>9</v>
      </c>
      <c r="O4" s="3">
        <v>9</v>
      </c>
      <c r="P4" s="3">
        <v>8</v>
      </c>
      <c r="Q4" s="3">
        <v>8</v>
      </c>
      <c r="R4" s="3">
        <v>8</v>
      </c>
      <c r="S4" s="3">
        <v>8</v>
      </c>
      <c r="T4" s="4">
        <f t="shared" si="4"/>
        <v>113</v>
      </c>
      <c r="U4" s="44">
        <v>1</v>
      </c>
      <c r="V4" s="44" t="s">
        <v>56</v>
      </c>
      <c r="X4" s="27">
        <f>'2 ALIYAH H'!T4</f>
        <v>105</v>
      </c>
      <c r="Y4" s="27">
        <f t="shared" si="0"/>
        <v>113</v>
      </c>
      <c r="Z4" s="28">
        <f t="shared" si="1"/>
        <v>218</v>
      </c>
      <c r="AA4" s="27">
        <v>26</v>
      </c>
      <c r="AB4" s="28">
        <f t="shared" si="5"/>
        <v>8</v>
      </c>
      <c r="AC4" s="29" t="str">
        <f t="shared" si="2"/>
        <v>الجيد الثاني</v>
      </c>
      <c r="AE4" s="51">
        <f>'2 ALIYAH G'!U4</f>
        <v>1</v>
      </c>
      <c r="AF4" s="51">
        <f t="shared" si="6"/>
        <v>1</v>
      </c>
      <c r="AG4" s="52">
        <f t="shared" si="7"/>
        <v>2</v>
      </c>
      <c r="AI4" s="51" t="str">
        <f>'2 ALIYAH G'!V4</f>
        <v>-</v>
      </c>
      <c r="AJ4" s="51" t="str">
        <f t="shared" si="8"/>
        <v>-</v>
      </c>
      <c r="AK4" s="52">
        <f t="shared" si="9"/>
        <v>0</v>
      </c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59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EJ4" s="59"/>
      <c r="EK4" s="59"/>
      <c r="EL4" s="59"/>
      <c r="EM4" s="59"/>
      <c r="EN4" s="59"/>
      <c r="EO4" s="59"/>
      <c r="EP4" s="59"/>
      <c r="EQ4" s="59"/>
      <c r="ER4" s="59"/>
      <c r="ES4" s="59"/>
      <c r="ET4" s="59"/>
      <c r="EU4" s="59"/>
      <c r="EV4" s="59"/>
      <c r="EW4" s="59"/>
      <c r="EX4" s="59"/>
      <c r="EY4" s="59"/>
      <c r="EZ4" s="59"/>
      <c r="FA4" s="59"/>
      <c r="FB4" s="59"/>
      <c r="FC4" s="59"/>
      <c r="FD4" s="59"/>
      <c r="FE4" s="59"/>
      <c r="FF4" s="59"/>
      <c r="FG4" s="59"/>
      <c r="FH4" s="59"/>
      <c r="FI4" s="59"/>
      <c r="FJ4" s="59"/>
      <c r="FK4" s="59"/>
      <c r="FL4" s="59"/>
      <c r="FM4" s="59"/>
      <c r="FN4" s="59"/>
      <c r="FO4" s="59"/>
      <c r="FP4" s="59"/>
      <c r="FQ4" s="59"/>
      <c r="FR4" s="59"/>
      <c r="FS4" s="59"/>
      <c r="FT4" s="59"/>
      <c r="FU4" s="59"/>
      <c r="FV4" s="59"/>
      <c r="FW4" s="59"/>
      <c r="FX4" s="59"/>
      <c r="FY4" s="59"/>
      <c r="FZ4" s="59"/>
      <c r="GA4" s="59"/>
      <c r="GB4" s="59"/>
      <c r="GC4" s="59"/>
      <c r="GD4" s="59"/>
      <c r="GE4" s="59"/>
      <c r="GF4" s="59"/>
      <c r="GG4" s="59"/>
      <c r="GH4" s="59"/>
    </row>
    <row r="5" spans="1:190" s="1" customFormat="1" ht="25.15" customHeight="1" thickBot="1" x14ac:dyDescent="0.35">
      <c r="A5" s="207" t="s">
        <v>17</v>
      </c>
      <c r="B5" s="124" t="s">
        <v>296</v>
      </c>
      <c r="C5" s="135">
        <v>2854</v>
      </c>
      <c r="D5" s="19" t="s">
        <v>17</v>
      </c>
      <c r="E5" s="3" t="str">
        <f t="shared" si="3"/>
        <v>٨</v>
      </c>
      <c r="F5" s="3">
        <v>8</v>
      </c>
      <c r="G5" s="3" t="s">
        <v>56</v>
      </c>
      <c r="H5" s="3">
        <v>8</v>
      </c>
      <c r="I5" s="3">
        <v>9</v>
      </c>
      <c r="J5" s="3">
        <v>8</v>
      </c>
      <c r="K5" s="3">
        <v>6</v>
      </c>
      <c r="L5" s="3">
        <v>8</v>
      </c>
      <c r="M5" s="3">
        <v>7</v>
      </c>
      <c r="N5" s="3">
        <v>8</v>
      </c>
      <c r="O5" s="3">
        <v>9</v>
      </c>
      <c r="P5" s="3">
        <v>7</v>
      </c>
      <c r="Q5" s="3">
        <v>7</v>
      </c>
      <c r="R5" s="3">
        <v>8</v>
      </c>
      <c r="S5" s="3">
        <v>8</v>
      </c>
      <c r="T5" s="4">
        <f t="shared" si="4"/>
        <v>101</v>
      </c>
      <c r="U5" s="44">
        <v>1</v>
      </c>
      <c r="V5" s="44" t="s">
        <v>56</v>
      </c>
      <c r="X5" s="27">
        <f>'2 ALIYAH H'!T5</f>
        <v>100</v>
      </c>
      <c r="Y5" s="27">
        <f t="shared" si="0"/>
        <v>101</v>
      </c>
      <c r="Z5" s="28">
        <f t="shared" si="1"/>
        <v>201</v>
      </c>
      <c r="AA5" s="27">
        <v>26</v>
      </c>
      <c r="AB5" s="28">
        <f t="shared" si="5"/>
        <v>8</v>
      </c>
      <c r="AC5" s="29" t="str">
        <f t="shared" si="2"/>
        <v>الجيد الثاني</v>
      </c>
      <c r="AE5" s="51">
        <f>'2 ALIYAH G'!U5</f>
        <v>4</v>
      </c>
      <c r="AF5" s="51">
        <f t="shared" si="6"/>
        <v>1</v>
      </c>
      <c r="AG5" s="52">
        <f t="shared" si="7"/>
        <v>5</v>
      </c>
      <c r="AI5" s="51">
        <f>'2 ALIYAH G'!V5</f>
        <v>5</v>
      </c>
      <c r="AJ5" s="51" t="str">
        <f t="shared" si="8"/>
        <v>-</v>
      </c>
      <c r="AK5" s="52">
        <f t="shared" si="9"/>
        <v>5</v>
      </c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9"/>
      <c r="DH5" s="59"/>
      <c r="DI5" s="59"/>
      <c r="DJ5" s="59"/>
      <c r="DK5" s="59"/>
      <c r="DL5" s="59"/>
      <c r="DM5" s="59"/>
      <c r="DN5" s="59"/>
      <c r="DO5" s="59"/>
      <c r="DP5" s="59"/>
      <c r="DQ5" s="59"/>
      <c r="DR5" s="59"/>
      <c r="DS5" s="59"/>
      <c r="DT5" s="59"/>
      <c r="DU5" s="59"/>
      <c r="DV5" s="59"/>
      <c r="DW5" s="59"/>
      <c r="DX5" s="59"/>
      <c r="DY5" s="59"/>
      <c r="DZ5" s="59"/>
      <c r="EA5" s="59"/>
      <c r="EB5" s="59"/>
      <c r="EC5" s="59"/>
      <c r="ED5" s="59"/>
      <c r="EE5" s="59"/>
      <c r="EF5" s="59"/>
      <c r="EG5" s="59"/>
      <c r="EH5" s="59"/>
      <c r="EI5" s="59"/>
      <c r="EJ5" s="59"/>
      <c r="EK5" s="59"/>
      <c r="EL5" s="59"/>
      <c r="EM5" s="59"/>
      <c r="EN5" s="59"/>
      <c r="EO5" s="59"/>
      <c r="EP5" s="59"/>
      <c r="EQ5" s="59"/>
      <c r="ER5" s="59"/>
      <c r="ES5" s="59"/>
      <c r="ET5" s="59"/>
      <c r="EU5" s="59"/>
      <c r="EV5" s="59"/>
      <c r="EW5" s="59"/>
      <c r="EX5" s="59"/>
      <c r="EY5" s="59"/>
      <c r="EZ5" s="59"/>
      <c r="FA5" s="59"/>
      <c r="FB5" s="59"/>
      <c r="FC5" s="59"/>
      <c r="FD5" s="59"/>
      <c r="FE5" s="59"/>
      <c r="FF5" s="59"/>
      <c r="FG5" s="59"/>
      <c r="FH5" s="59"/>
      <c r="FI5" s="59"/>
      <c r="FJ5" s="59"/>
      <c r="FK5" s="59"/>
      <c r="FL5" s="59"/>
      <c r="FM5" s="59"/>
      <c r="FN5" s="59"/>
      <c r="FO5" s="59"/>
      <c r="FP5" s="59"/>
      <c r="FQ5" s="59"/>
      <c r="FR5" s="59"/>
      <c r="FS5" s="59"/>
      <c r="FT5" s="59"/>
      <c r="FU5" s="59"/>
      <c r="FV5" s="59"/>
      <c r="FW5" s="59"/>
      <c r="FX5" s="59"/>
      <c r="FY5" s="59"/>
      <c r="FZ5" s="59"/>
      <c r="GA5" s="59"/>
      <c r="GB5" s="59"/>
      <c r="GC5" s="59"/>
      <c r="GD5" s="59"/>
      <c r="GE5" s="59"/>
      <c r="GF5" s="59"/>
      <c r="GG5" s="59"/>
      <c r="GH5" s="59"/>
    </row>
    <row r="6" spans="1:190" s="1" customFormat="1" ht="18.75" customHeight="1" thickBot="1" x14ac:dyDescent="0.35">
      <c r="A6" s="207" t="s">
        <v>18</v>
      </c>
      <c r="B6" s="149" t="s">
        <v>297</v>
      </c>
      <c r="C6" s="212">
        <v>2759</v>
      </c>
      <c r="D6" s="19" t="s">
        <v>18</v>
      </c>
      <c r="E6" s="3" t="str">
        <f t="shared" si="3"/>
        <v>٨</v>
      </c>
      <c r="F6" s="3">
        <v>8</v>
      </c>
      <c r="G6" s="3" t="s">
        <v>56</v>
      </c>
      <c r="H6" s="3">
        <v>7</v>
      </c>
      <c r="I6" s="3">
        <v>7</v>
      </c>
      <c r="J6" s="3">
        <v>9</v>
      </c>
      <c r="K6" s="3">
        <v>6</v>
      </c>
      <c r="L6" s="3">
        <v>7</v>
      </c>
      <c r="M6" s="3">
        <v>7</v>
      </c>
      <c r="N6" s="3">
        <v>6</v>
      </c>
      <c r="O6" s="3">
        <v>9</v>
      </c>
      <c r="P6" s="3">
        <v>7</v>
      </c>
      <c r="Q6" s="3">
        <v>7</v>
      </c>
      <c r="R6" s="3">
        <v>8</v>
      </c>
      <c r="S6" s="3">
        <v>8</v>
      </c>
      <c r="T6" s="4">
        <f t="shared" si="4"/>
        <v>96</v>
      </c>
      <c r="U6" s="44">
        <v>2</v>
      </c>
      <c r="V6" s="44" t="s">
        <v>56</v>
      </c>
      <c r="X6" s="27">
        <f>'2 ALIYAH H'!T6</f>
        <v>90</v>
      </c>
      <c r="Y6" s="27">
        <f t="shared" si="0"/>
        <v>96</v>
      </c>
      <c r="Z6" s="28">
        <f t="shared" si="1"/>
        <v>186</v>
      </c>
      <c r="AA6" s="27">
        <v>26</v>
      </c>
      <c r="AB6" s="28">
        <f t="shared" si="5"/>
        <v>7</v>
      </c>
      <c r="AC6" s="29" t="str">
        <f t="shared" si="2"/>
        <v>المتوسط الأول</v>
      </c>
      <c r="AE6" s="51" t="str">
        <f>'2 ALIYAH G'!U6</f>
        <v>-</v>
      </c>
      <c r="AF6" s="51">
        <f t="shared" si="6"/>
        <v>2</v>
      </c>
      <c r="AG6" s="52">
        <f t="shared" si="7"/>
        <v>2</v>
      </c>
      <c r="AI6" s="51" t="str">
        <f>'2 ALIYAH G'!V6</f>
        <v>-</v>
      </c>
      <c r="AJ6" s="51" t="str">
        <f t="shared" si="8"/>
        <v>-</v>
      </c>
      <c r="AK6" s="52">
        <f t="shared" si="9"/>
        <v>0</v>
      </c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59"/>
      <c r="EZ6" s="59"/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59"/>
      <c r="FQ6" s="59"/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59"/>
      <c r="GH6" s="59"/>
    </row>
    <row r="7" spans="1:190" s="218" customFormat="1" ht="25.15" customHeight="1" thickBot="1" x14ac:dyDescent="0.3">
      <c r="A7" s="243" t="s">
        <v>19</v>
      </c>
      <c r="B7" s="149" t="s">
        <v>298</v>
      </c>
      <c r="C7" s="84">
        <v>2689</v>
      </c>
      <c r="D7" s="150" t="s">
        <v>19</v>
      </c>
      <c r="E7" s="151" t="str">
        <f t="shared" si="3"/>
        <v>٩</v>
      </c>
      <c r="F7" s="151">
        <v>9</v>
      </c>
      <c r="G7" s="151" t="s">
        <v>56</v>
      </c>
      <c r="H7" s="151">
        <v>9</v>
      </c>
      <c r="I7" s="151">
        <v>9</v>
      </c>
      <c r="J7" s="151">
        <v>7</v>
      </c>
      <c r="K7" s="151">
        <v>8</v>
      </c>
      <c r="L7" s="151">
        <v>9</v>
      </c>
      <c r="M7" s="151">
        <v>9</v>
      </c>
      <c r="N7" s="151">
        <v>8</v>
      </c>
      <c r="O7" s="151">
        <v>7</v>
      </c>
      <c r="P7" s="151">
        <v>8</v>
      </c>
      <c r="Q7" s="151">
        <v>8</v>
      </c>
      <c r="R7" s="151">
        <v>8</v>
      </c>
      <c r="S7" s="151">
        <v>8</v>
      </c>
      <c r="T7" s="4">
        <f t="shared" si="4"/>
        <v>107</v>
      </c>
      <c r="U7" s="44" t="s">
        <v>56</v>
      </c>
      <c r="V7" s="44" t="s">
        <v>56</v>
      </c>
      <c r="W7" s="59"/>
      <c r="X7" s="27">
        <f>'2 ALIYAH H'!T7</f>
        <v>98</v>
      </c>
      <c r="Y7" s="27">
        <f t="shared" si="0"/>
        <v>107</v>
      </c>
      <c r="Z7" s="28">
        <f t="shared" si="1"/>
        <v>205</v>
      </c>
      <c r="AA7" s="27">
        <v>26</v>
      </c>
      <c r="AB7" s="28">
        <f t="shared" si="5"/>
        <v>8</v>
      </c>
      <c r="AC7" s="29" t="str">
        <f t="shared" si="2"/>
        <v>الجيد الثاني</v>
      </c>
      <c r="AD7" s="1"/>
      <c r="AE7" s="51" t="str">
        <f>'2 ALIYAH G'!U7</f>
        <v>-</v>
      </c>
      <c r="AF7" s="51" t="str">
        <f t="shared" si="6"/>
        <v>-</v>
      </c>
      <c r="AG7" s="52">
        <f t="shared" si="7"/>
        <v>0</v>
      </c>
      <c r="AH7" s="1"/>
      <c r="AI7" s="51" t="str">
        <f>'2 ALIYAH G'!V7</f>
        <v>-</v>
      </c>
      <c r="AJ7" s="51" t="str">
        <f t="shared" si="8"/>
        <v>-</v>
      </c>
      <c r="AK7" s="52">
        <f t="shared" si="9"/>
        <v>0</v>
      </c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  <c r="DS7" s="59"/>
      <c r="DT7" s="59"/>
      <c r="DU7" s="59"/>
      <c r="DV7" s="59"/>
      <c r="DW7" s="59"/>
      <c r="DX7" s="59"/>
      <c r="DY7" s="59"/>
      <c r="DZ7" s="59"/>
      <c r="EA7" s="59"/>
      <c r="EB7" s="59"/>
      <c r="EC7" s="59"/>
      <c r="ED7" s="59"/>
      <c r="EE7" s="59"/>
      <c r="EF7" s="59"/>
      <c r="EG7" s="59"/>
      <c r="EH7" s="59"/>
      <c r="EI7" s="59"/>
      <c r="EJ7" s="59"/>
      <c r="EK7" s="59"/>
      <c r="EL7" s="59"/>
      <c r="EM7" s="59"/>
      <c r="EN7" s="59"/>
      <c r="EO7" s="59"/>
      <c r="EP7" s="59"/>
      <c r="EQ7" s="59"/>
      <c r="ER7" s="59"/>
      <c r="ES7" s="59"/>
      <c r="ET7" s="59"/>
      <c r="EU7" s="59"/>
      <c r="EV7" s="59"/>
      <c r="EW7" s="59"/>
      <c r="EX7" s="59"/>
      <c r="EY7" s="59"/>
      <c r="EZ7" s="59"/>
      <c r="FA7" s="59"/>
      <c r="FB7" s="59"/>
      <c r="FC7" s="59"/>
      <c r="FD7" s="59"/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59"/>
      <c r="FP7" s="59"/>
      <c r="FQ7" s="59"/>
      <c r="FR7" s="59"/>
      <c r="FS7" s="59"/>
      <c r="FT7" s="59"/>
      <c r="FU7" s="59"/>
      <c r="FV7" s="59"/>
      <c r="FW7" s="59"/>
      <c r="FX7" s="59"/>
      <c r="FY7" s="59"/>
      <c r="FZ7" s="59"/>
      <c r="GA7" s="59"/>
      <c r="GB7" s="59"/>
      <c r="GC7" s="59"/>
      <c r="GD7" s="59"/>
      <c r="GE7" s="59"/>
      <c r="GF7" s="59"/>
      <c r="GG7" s="59"/>
      <c r="GH7" s="59"/>
    </row>
    <row r="8" spans="1:190" s="59" customFormat="1" ht="25.15" customHeight="1" thickBot="1" x14ac:dyDescent="0.3">
      <c r="A8" s="243" t="s">
        <v>20</v>
      </c>
      <c r="B8" s="149" t="s">
        <v>299</v>
      </c>
      <c r="C8" s="84">
        <v>2760</v>
      </c>
      <c r="D8" s="150" t="s">
        <v>20</v>
      </c>
      <c r="E8" s="151" t="str">
        <f t="shared" si="3"/>
        <v>٩</v>
      </c>
      <c r="F8" s="151">
        <v>9</v>
      </c>
      <c r="G8" s="151" t="s">
        <v>56</v>
      </c>
      <c r="H8" s="151">
        <v>9</v>
      </c>
      <c r="I8" s="151">
        <v>8</v>
      </c>
      <c r="J8" s="151">
        <v>9</v>
      </c>
      <c r="K8" s="151">
        <v>8</v>
      </c>
      <c r="L8" s="151">
        <v>9</v>
      </c>
      <c r="M8" s="151">
        <v>7</v>
      </c>
      <c r="N8" s="151">
        <v>9</v>
      </c>
      <c r="O8" s="151">
        <v>9</v>
      </c>
      <c r="P8" s="151">
        <v>8</v>
      </c>
      <c r="Q8" s="151">
        <v>8</v>
      </c>
      <c r="R8" s="151">
        <v>8</v>
      </c>
      <c r="S8" s="151">
        <v>8</v>
      </c>
      <c r="T8" s="4">
        <f t="shared" si="4"/>
        <v>109</v>
      </c>
      <c r="U8" s="152" t="s">
        <v>56</v>
      </c>
      <c r="V8" s="152" t="s">
        <v>56</v>
      </c>
      <c r="X8" s="27">
        <f>'2 ALIYAH H'!T8</f>
        <v>114</v>
      </c>
      <c r="Y8" s="27">
        <f t="shared" si="0"/>
        <v>109</v>
      </c>
      <c r="Z8" s="60">
        <f t="shared" si="1"/>
        <v>223</v>
      </c>
      <c r="AA8" s="27">
        <v>26</v>
      </c>
      <c r="AB8" s="60">
        <f t="shared" si="5"/>
        <v>9</v>
      </c>
      <c r="AC8" s="29" t="str">
        <f t="shared" si="2"/>
        <v>الجيد الأول</v>
      </c>
      <c r="AD8" s="1"/>
      <c r="AE8" s="61" t="str">
        <f>'2 ALIYAH G'!U8</f>
        <v>-</v>
      </c>
      <c r="AF8" s="61" t="str">
        <f t="shared" si="6"/>
        <v>-</v>
      </c>
      <c r="AG8" s="52">
        <f t="shared" si="7"/>
        <v>0</v>
      </c>
      <c r="AH8" s="1"/>
      <c r="AI8" s="61" t="str">
        <f>'2 ALIYAH G'!V8</f>
        <v>-</v>
      </c>
      <c r="AJ8" s="61" t="str">
        <f t="shared" si="8"/>
        <v>-</v>
      </c>
      <c r="AK8" s="52">
        <f t="shared" si="9"/>
        <v>0</v>
      </c>
    </row>
    <row r="9" spans="1:190" s="59" customFormat="1" ht="25.15" customHeight="1" thickBot="1" x14ac:dyDescent="0.3">
      <c r="A9" s="243" t="s">
        <v>21</v>
      </c>
      <c r="B9" s="149" t="s">
        <v>300</v>
      </c>
      <c r="C9" s="85">
        <v>2734</v>
      </c>
      <c r="D9" s="150" t="s">
        <v>21</v>
      </c>
      <c r="E9" s="151" t="str">
        <f t="shared" si="3"/>
        <v>٧</v>
      </c>
      <c r="F9" s="151">
        <v>7</v>
      </c>
      <c r="G9" s="151" t="s">
        <v>56</v>
      </c>
      <c r="H9" s="151">
        <v>6</v>
      </c>
      <c r="I9" s="151">
        <v>7</v>
      </c>
      <c r="J9" s="151">
        <v>6</v>
      </c>
      <c r="K9" s="151">
        <v>4</v>
      </c>
      <c r="L9" s="151">
        <v>6</v>
      </c>
      <c r="M9" s="151">
        <v>5</v>
      </c>
      <c r="N9" s="151">
        <v>7</v>
      </c>
      <c r="O9" s="151">
        <v>5</v>
      </c>
      <c r="P9" s="151">
        <v>7</v>
      </c>
      <c r="Q9" s="151">
        <v>8</v>
      </c>
      <c r="R9" s="151">
        <v>7</v>
      </c>
      <c r="S9" s="151">
        <v>8</v>
      </c>
      <c r="T9" s="4">
        <f t="shared" si="4"/>
        <v>83</v>
      </c>
      <c r="U9" s="152" t="s">
        <v>56</v>
      </c>
      <c r="V9" s="152" t="s">
        <v>56</v>
      </c>
      <c r="X9" s="27">
        <f>'2 ALIYAH H'!T9</f>
        <v>76</v>
      </c>
      <c r="Y9" s="27">
        <f t="shared" si="0"/>
        <v>83</v>
      </c>
      <c r="Z9" s="60">
        <f t="shared" si="1"/>
        <v>159</v>
      </c>
      <c r="AA9" s="27">
        <v>26</v>
      </c>
      <c r="AB9" s="60">
        <f t="shared" si="5"/>
        <v>6</v>
      </c>
      <c r="AC9" s="29" t="str">
        <f t="shared" si="2"/>
        <v>المتوسط الثاني</v>
      </c>
      <c r="AD9" s="1"/>
      <c r="AE9" s="61" t="str">
        <f>'2 ALIYAH G'!U9</f>
        <v>-</v>
      </c>
      <c r="AF9" s="61" t="str">
        <f t="shared" si="6"/>
        <v>-</v>
      </c>
      <c r="AG9" s="52">
        <f t="shared" si="7"/>
        <v>0</v>
      </c>
      <c r="AH9" s="1"/>
      <c r="AI9" s="61" t="str">
        <f>'2 ALIYAH G'!V9</f>
        <v>-</v>
      </c>
      <c r="AJ9" s="61" t="str">
        <f t="shared" si="8"/>
        <v>-</v>
      </c>
      <c r="AK9" s="52">
        <f t="shared" si="9"/>
        <v>0</v>
      </c>
    </row>
    <row r="10" spans="1:190" s="1" customFormat="1" ht="25.15" customHeight="1" thickBot="1" x14ac:dyDescent="0.3">
      <c r="A10" s="208" t="s">
        <v>22</v>
      </c>
      <c r="B10" s="124" t="s">
        <v>301</v>
      </c>
      <c r="C10" s="85">
        <v>2866</v>
      </c>
      <c r="D10" s="19" t="s">
        <v>22</v>
      </c>
      <c r="E10" s="3" t="str">
        <f t="shared" si="3"/>
        <v>٦</v>
      </c>
      <c r="F10" s="3">
        <v>6</v>
      </c>
      <c r="G10" s="3" t="s">
        <v>56</v>
      </c>
      <c r="H10" s="3">
        <v>8</v>
      </c>
      <c r="I10" s="3">
        <v>8</v>
      </c>
      <c r="J10" s="3">
        <v>6</v>
      </c>
      <c r="K10" s="3">
        <v>6</v>
      </c>
      <c r="L10" s="3">
        <v>7</v>
      </c>
      <c r="M10" s="3">
        <v>7</v>
      </c>
      <c r="N10" s="3">
        <v>5</v>
      </c>
      <c r="O10" s="3">
        <v>8</v>
      </c>
      <c r="P10" s="3">
        <v>7</v>
      </c>
      <c r="Q10" s="3">
        <v>7</v>
      </c>
      <c r="R10" s="3">
        <v>8</v>
      </c>
      <c r="S10" s="3">
        <v>8</v>
      </c>
      <c r="T10" s="4">
        <f t="shared" si="4"/>
        <v>91</v>
      </c>
      <c r="U10" s="44" t="s">
        <v>56</v>
      </c>
      <c r="V10" s="44" t="s">
        <v>56</v>
      </c>
      <c r="X10" s="27">
        <f>'2 ALIYAH H'!T10</f>
        <v>82</v>
      </c>
      <c r="Y10" s="27">
        <f t="shared" si="0"/>
        <v>91</v>
      </c>
      <c r="Z10" s="28">
        <f t="shared" si="1"/>
        <v>173</v>
      </c>
      <c r="AA10" s="27">
        <v>26</v>
      </c>
      <c r="AB10" s="28">
        <f t="shared" si="5"/>
        <v>7</v>
      </c>
      <c r="AC10" s="29" t="str">
        <f t="shared" si="2"/>
        <v>المتوسط الأول</v>
      </c>
      <c r="AE10" s="51" t="str">
        <f>'2 ALIYAH G'!U10</f>
        <v>-</v>
      </c>
      <c r="AF10" s="51" t="str">
        <f t="shared" si="6"/>
        <v>-</v>
      </c>
      <c r="AG10" s="52">
        <f t="shared" si="7"/>
        <v>0</v>
      </c>
      <c r="AI10" s="51" t="str">
        <f>'2 ALIYAH G'!V10</f>
        <v>-</v>
      </c>
      <c r="AJ10" s="51" t="str">
        <f t="shared" si="8"/>
        <v>-</v>
      </c>
      <c r="AK10" s="52">
        <f t="shared" si="9"/>
        <v>0</v>
      </c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59"/>
      <c r="DA10" s="59"/>
      <c r="DB10" s="59"/>
      <c r="DC10" s="59"/>
      <c r="DD10" s="59"/>
      <c r="DE10" s="59"/>
      <c r="DF10" s="59"/>
      <c r="DG10" s="59"/>
      <c r="DH10" s="59"/>
      <c r="DI10" s="59"/>
      <c r="DJ10" s="59"/>
      <c r="DK10" s="59"/>
      <c r="DL10" s="59"/>
      <c r="DM10" s="59"/>
      <c r="DN10" s="59"/>
      <c r="DO10" s="59"/>
      <c r="DP10" s="59"/>
      <c r="DQ10" s="59"/>
      <c r="DR10" s="59"/>
      <c r="DS10" s="59"/>
      <c r="DT10" s="59"/>
      <c r="DU10" s="59"/>
      <c r="DV10" s="59"/>
      <c r="DW10" s="59"/>
      <c r="DX10" s="59"/>
      <c r="DY10" s="59"/>
      <c r="DZ10" s="59"/>
      <c r="EA10" s="59"/>
      <c r="EB10" s="59"/>
      <c r="EC10" s="59"/>
      <c r="ED10" s="59"/>
      <c r="EE10" s="59"/>
      <c r="EF10" s="59"/>
      <c r="EG10" s="59"/>
      <c r="EH10" s="59"/>
      <c r="EI10" s="59"/>
      <c r="EJ10" s="59"/>
      <c r="EK10" s="59"/>
      <c r="EL10" s="59"/>
      <c r="EM10" s="59"/>
      <c r="EN10" s="59"/>
      <c r="EO10" s="59"/>
      <c r="EP10" s="59"/>
      <c r="EQ10" s="59"/>
      <c r="ER10" s="59"/>
      <c r="ES10" s="59"/>
      <c r="ET10" s="59"/>
      <c r="EU10" s="59"/>
      <c r="EV10" s="59"/>
      <c r="EW10" s="59"/>
      <c r="EX10" s="59"/>
      <c r="EY10" s="59"/>
      <c r="EZ10" s="59"/>
      <c r="FA10" s="59"/>
      <c r="FB10" s="59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9"/>
      <c r="FR10" s="59"/>
      <c r="FS10" s="59"/>
      <c r="FT10" s="59"/>
      <c r="FU10" s="59"/>
      <c r="FV10" s="59"/>
      <c r="FW10" s="59"/>
      <c r="FX10" s="59"/>
      <c r="FY10" s="59"/>
      <c r="FZ10" s="59"/>
      <c r="GA10" s="59"/>
      <c r="GB10" s="59"/>
      <c r="GC10" s="59"/>
      <c r="GD10" s="59"/>
      <c r="GE10" s="59"/>
      <c r="GF10" s="59"/>
      <c r="GG10" s="59"/>
      <c r="GH10" s="59"/>
    </row>
    <row r="11" spans="1:190" s="59" customFormat="1" ht="25.15" customHeight="1" thickBot="1" x14ac:dyDescent="0.3">
      <c r="A11" s="243" t="s">
        <v>24</v>
      </c>
      <c r="B11" s="244" t="s">
        <v>302</v>
      </c>
      <c r="C11" s="85">
        <v>2697</v>
      </c>
      <c r="D11" s="150" t="s">
        <v>23</v>
      </c>
      <c r="E11" s="151" t="str">
        <f t="shared" si="3"/>
        <v>٩</v>
      </c>
      <c r="F11" s="151">
        <v>9</v>
      </c>
      <c r="G11" s="151" t="s">
        <v>56</v>
      </c>
      <c r="H11" s="151">
        <v>8</v>
      </c>
      <c r="I11" s="151">
        <v>9</v>
      </c>
      <c r="J11" s="151">
        <v>7</v>
      </c>
      <c r="K11" s="151">
        <v>5</v>
      </c>
      <c r="L11" s="151">
        <v>7</v>
      </c>
      <c r="M11" s="151">
        <v>5</v>
      </c>
      <c r="N11" s="151">
        <v>7</v>
      </c>
      <c r="O11" s="151">
        <v>8</v>
      </c>
      <c r="P11" s="151">
        <v>7</v>
      </c>
      <c r="Q11" s="151">
        <v>8</v>
      </c>
      <c r="R11" s="151">
        <v>8</v>
      </c>
      <c r="S11" s="151">
        <v>8</v>
      </c>
      <c r="T11" s="4">
        <f t="shared" si="4"/>
        <v>96</v>
      </c>
      <c r="U11" s="152" t="s">
        <v>56</v>
      </c>
      <c r="V11" s="152" t="s">
        <v>56</v>
      </c>
      <c r="X11" s="27">
        <f>'2 ALIYAH H'!T11</f>
        <v>97</v>
      </c>
      <c r="Y11" s="27">
        <f t="shared" si="0"/>
        <v>96</v>
      </c>
      <c r="Z11" s="60">
        <f t="shared" si="1"/>
        <v>193</v>
      </c>
      <c r="AA11" s="27">
        <v>26</v>
      </c>
      <c r="AB11" s="60">
        <f t="shared" si="5"/>
        <v>7</v>
      </c>
      <c r="AC11" s="29" t="str">
        <f t="shared" si="2"/>
        <v>المتوسط الأول</v>
      </c>
      <c r="AD11" s="1"/>
      <c r="AE11" s="61">
        <f>'2 ALIYAH G'!U11</f>
        <v>3</v>
      </c>
      <c r="AF11" s="61" t="str">
        <f t="shared" si="6"/>
        <v>-</v>
      </c>
      <c r="AG11" s="52">
        <f t="shared" si="7"/>
        <v>3</v>
      </c>
      <c r="AH11" s="1"/>
      <c r="AI11" s="61" t="str">
        <f>'2 ALIYAH G'!V11</f>
        <v>-</v>
      </c>
      <c r="AJ11" s="61" t="str">
        <f t="shared" si="8"/>
        <v>-</v>
      </c>
      <c r="AK11" s="52">
        <f t="shared" si="9"/>
        <v>0</v>
      </c>
    </row>
    <row r="12" spans="1:190" s="59" customFormat="1" ht="25.15" customHeight="1" thickBot="1" x14ac:dyDescent="0.3">
      <c r="A12" s="243" t="s">
        <v>25</v>
      </c>
      <c r="B12" s="149" t="s">
        <v>303</v>
      </c>
      <c r="C12" s="85">
        <v>2867</v>
      </c>
      <c r="D12" s="150" t="s">
        <v>24</v>
      </c>
      <c r="E12" s="151" t="str">
        <f t="shared" si="3"/>
        <v>٦</v>
      </c>
      <c r="F12" s="151">
        <v>6</v>
      </c>
      <c r="G12" s="151" t="s">
        <v>56</v>
      </c>
      <c r="H12" s="151">
        <v>9</v>
      </c>
      <c r="I12" s="151">
        <v>7</v>
      </c>
      <c r="J12" s="151">
        <v>7</v>
      </c>
      <c r="K12" s="151">
        <v>7</v>
      </c>
      <c r="L12" s="151">
        <v>8</v>
      </c>
      <c r="M12" s="151">
        <v>6</v>
      </c>
      <c r="N12" s="151">
        <v>5</v>
      </c>
      <c r="O12" s="151">
        <v>9</v>
      </c>
      <c r="P12" s="151">
        <v>7</v>
      </c>
      <c r="Q12" s="151">
        <v>8</v>
      </c>
      <c r="R12" s="151">
        <v>8</v>
      </c>
      <c r="S12" s="151">
        <v>8</v>
      </c>
      <c r="T12" s="4">
        <f t="shared" si="4"/>
        <v>95</v>
      </c>
      <c r="U12" s="152" t="s">
        <v>56</v>
      </c>
      <c r="V12" s="152" t="s">
        <v>56</v>
      </c>
      <c r="X12" s="27">
        <f>'2 ALIYAH H'!T12</f>
        <v>86</v>
      </c>
      <c r="Y12" s="27">
        <f t="shared" si="0"/>
        <v>95</v>
      </c>
      <c r="Z12" s="60">
        <f t="shared" si="1"/>
        <v>181</v>
      </c>
      <c r="AA12" s="27">
        <v>26</v>
      </c>
      <c r="AB12" s="60">
        <f t="shared" si="5"/>
        <v>7</v>
      </c>
      <c r="AC12" s="29" t="str">
        <f t="shared" si="2"/>
        <v>المتوسط الأول</v>
      </c>
      <c r="AD12" s="1"/>
      <c r="AE12" s="61" t="str">
        <f>'2 ALIYAH G'!U12</f>
        <v>-</v>
      </c>
      <c r="AF12" s="61" t="str">
        <f t="shared" si="6"/>
        <v>-</v>
      </c>
      <c r="AG12" s="52">
        <f t="shared" si="7"/>
        <v>0</v>
      </c>
      <c r="AH12" s="1"/>
      <c r="AI12" s="61" t="str">
        <f>'2 ALIYAH G'!V12</f>
        <v>-</v>
      </c>
      <c r="AJ12" s="61" t="str">
        <f t="shared" si="8"/>
        <v>-</v>
      </c>
      <c r="AK12" s="52">
        <f t="shared" si="9"/>
        <v>0</v>
      </c>
    </row>
    <row r="13" spans="1:190" s="59" customFormat="1" ht="25.15" customHeight="1" thickBot="1" x14ac:dyDescent="0.3">
      <c r="A13" s="243" t="s">
        <v>26</v>
      </c>
      <c r="B13" s="149" t="s">
        <v>304</v>
      </c>
      <c r="C13" s="85">
        <v>2896</v>
      </c>
      <c r="D13" s="150" t="s">
        <v>25</v>
      </c>
      <c r="E13" s="151" t="str">
        <f t="shared" si="3"/>
        <v>٨</v>
      </c>
      <c r="F13" s="151">
        <v>8</v>
      </c>
      <c r="G13" s="151" t="s">
        <v>56</v>
      </c>
      <c r="H13" s="151">
        <v>7</v>
      </c>
      <c r="I13" s="151">
        <v>9</v>
      </c>
      <c r="J13" s="151">
        <v>7</v>
      </c>
      <c r="K13" s="151">
        <v>7</v>
      </c>
      <c r="L13" s="151">
        <v>7</v>
      </c>
      <c r="M13" s="151">
        <v>5</v>
      </c>
      <c r="N13" s="151">
        <v>5</v>
      </c>
      <c r="O13" s="151">
        <v>8</v>
      </c>
      <c r="P13" s="151">
        <v>8</v>
      </c>
      <c r="Q13" s="151">
        <v>8</v>
      </c>
      <c r="R13" s="151">
        <v>8</v>
      </c>
      <c r="S13" s="151">
        <v>8</v>
      </c>
      <c r="T13" s="4">
        <f t="shared" si="4"/>
        <v>95</v>
      </c>
      <c r="U13" s="152" t="s">
        <v>56</v>
      </c>
      <c r="V13" s="152" t="s">
        <v>56</v>
      </c>
      <c r="X13" s="27">
        <f>'2 ALIYAH H'!T13</f>
        <v>96</v>
      </c>
      <c r="Y13" s="27">
        <f t="shared" si="0"/>
        <v>95</v>
      </c>
      <c r="Z13" s="60">
        <f t="shared" si="1"/>
        <v>191</v>
      </c>
      <c r="AA13" s="27">
        <v>26</v>
      </c>
      <c r="AB13" s="60">
        <f t="shared" si="5"/>
        <v>7</v>
      </c>
      <c r="AC13" s="29" t="str">
        <f t="shared" si="2"/>
        <v>المتوسط الأول</v>
      </c>
      <c r="AD13" s="1"/>
      <c r="AE13" s="61">
        <f>'2 ALIYAH G'!U13</f>
        <v>1</v>
      </c>
      <c r="AF13" s="61" t="str">
        <f t="shared" si="6"/>
        <v>-</v>
      </c>
      <c r="AG13" s="52">
        <f t="shared" si="7"/>
        <v>1</v>
      </c>
      <c r="AH13" s="1"/>
      <c r="AI13" s="61" t="str">
        <f>'2 ALIYAH G'!V13</f>
        <v>-</v>
      </c>
      <c r="AJ13" s="61" t="str">
        <f t="shared" si="8"/>
        <v>-</v>
      </c>
      <c r="AK13" s="52">
        <f t="shared" si="9"/>
        <v>0</v>
      </c>
    </row>
    <row r="14" spans="1:190" s="59" customFormat="1" ht="25.15" customHeight="1" thickBot="1" x14ac:dyDescent="0.3">
      <c r="A14" s="243" t="s">
        <v>27</v>
      </c>
      <c r="B14" s="149" t="s">
        <v>305</v>
      </c>
      <c r="C14" s="84">
        <v>2661</v>
      </c>
      <c r="D14" s="150" t="s">
        <v>26</v>
      </c>
      <c r="E14" s="151" t="str">
        <f t="shared" si="3"/>
        <v>٦</v>
      </c>
      <c r="F14" s="151">
        <v>6</v>
      </c>
      <c r="G14" s="151" t="s">
        <v>56</v>
      </c>
      <c r="H14" s="151">
        <v>9</v>
      </c>
      <c r="I14" s="151">
        <v>6</v>
      </c>
      <c r="J14" s="151">
        <v>5</v>
      </c>
      <c r="K14" s="151">
        <v>5</v>
      </c>
      <c r="L14" s="151">
        <v>6</v>
      </c>
      <c r="M14" s="151">
        <v>4</v>
      </c>
      <c r="N14" s="151">
        <v>5</v>
      </c>
      <c r="O14" s="151">
        <v>5</v>
      </c>
      <c r="P14" s="151">
        <v>8</v>
      </c>
      <c r="Q14" s="151">
        <v>7</v>
      </c>
      <c r="R14" s="151">
        <v>7</v>
      </c>
      <c r="S14" s="151">
        <v>8</v>
      </c>
      <c r="T14" s="4">
        <f t="shared" si="4"/>
        <v>81</v>
      </c>
      <c r="U14" s="152" t="s">
        <v>56</v>
      </c>
      <c r="V14" s="152" t="s">
        <v>56</v>
      </c>
      <c r="X14" s="27">
        <f>'2 ALIYAH H'!T14</f>
        <v>85</v>
      </c>
      <c r="Y14" s="27">
        <f t="shared" si="0"/>
        <v>81</v>
      </c>
      <c r="Z14" s="60">
        <f t="shared" si="1"/>
        <v>166</v>
      </c>
      <c r="AA14" s="27">
        <v>26</v>
      </c>
      <c r="AB14" s="60">
        <f t="shared" si="5"/>
        <v>6</v>
      </c>
      <c r="AC14" s="29" t="str">
        <f t="shared" si="2"/>
        <v>المتوسط الثاني</v>
      </c>
      <c r="AD14" s="1"/>
      <c r="AE14" s="61">
        <f>'2 ALIYAH G'!U14</f>
        <v>2</v>
      </c>
      <c r="AF14" s="61" t="str">
        <f t="shared" si="6"/>
        <v>-</v>
      </c>
      <c r="AG14" s="52">
        <f t="shared" si="7"/>
        <v>2</v>
      </c>
      <c r="AH14" s="1"/>
      <c r="AI14" s="61" t="str">
        <f>'2 ALIYAH G'!V14</f>
        <v>-</v>
      </c>
      <c r="AJ14" s="61" t="str">
        <f t="shared" si="8"/>
        <v>-</v>
      </c>
      <c r="AK14" s="52">
        <f t="shared" si="9"/>
        <v>0</v>
      </c>
    </row>
    <row r="15" spans="1:190" s="1" customFormat="1" ht="25.15" customHeight="1" thickBot="1" x14ac:dyDescent="0.3">
      <c r="A15" s="208" t="s">
        <v>28</v>
      </c>
      <c r="B15" s="124" t="s">
        <v>306</v>
      </c>
      <c r="C15" s="85">
        <v>2833</v>
      </c>
      <c r="D15" s="19" t="s">
        <v>27</v>
      </c>
      <c r="E15" s="3" t="str">
        <f t="shared" si="3"/>
        <v>٨</v>
      </c>
      <c r="F15" s="3">
        <v>8</v>
      </c>
      <c r="G15" s="3" t="s">
        <v>56</v>
      </c>
      <c r="H15" s="3">
        <v>9</v>
      </c>
      <c r="I15" s="3">
        <v>9</v>
      </c>
      <c r="J15" s="3">
        <v>9</v>
      </c>
      <c r="K15" s="3">
        <v>7</v>
      </c>
      <c r="L15" s="3">
        <v>7</v>
      </c>
      <c r="M15" s="3">
        <v>8</v>
      </c>
      <c r="N15" s="3">
        <v>9</v>
      </c>
      <c r="O15" s="3">
        <v>9</v>
      </c>
      <c r="P15" s="3">
        <v>8</v>
      </c>
      <c r="Q15" s="3">
        <v>8</v>
      </c>
      <c r="R15" s="3">
        <v>8</v>
      </c>
      <c r="S15" s="3">
        <v>8</v>
      </c>
      <c r="T15" s="4">
        <f t="shared" si="4"/>
        <v>107</v>
      </c>
      <c r="U15" s="44">
        <v>1</v>
      </c>
      <c r="V15" s="44" t="s">
        <v>56</v>
      </c>
      <c r="X15" s="27">
        <f>'2 ALIYAH H'!T15</f>
        <v>112</v>
      </c>
      <c r="Y15" s="27">
        <f t="shared" si="0"/>
        <v>107</v>
      </c>
      <c r="Z15" s="28">
        <f t="shared" si="1"/>
        <v>219</v>
      </c>
      <c r="AA15" s="27">
        <v>26</v>
      </c>
      <c r="AB15" s="28">
        <f t="shared" si="5"/>
        <v>8</v>
      </c>
      <c r="AC15" s="29" t="str">
        <f t="shared" si="2"/>
        <v>الجيد الثاني</v>
      </c>
      <c r="AE15" s="51">
        <f>'2 ALIYAH G'!U15</f>
        <v>2</v>
      </c>
      <c r="AF15" s="51">
        <f t="shared" si="6"/>
        <v>1</v>
      </c>
      <c r="AG15" s="52">
        <f t="shared" si="7"/>
        <v>3</v>
      </c>
      <c r="AI15" s="51" t="str">
        <f>'2 ALIYAH G'!V15</f>
        <v>-</v>
      </c>
      <c r="AJ15" s="51" t="str">
        <f t="shared" si="8"/>
        <v>-</v>
      </c>
      <c r="AK15" s="52">
        <f t="shared" si="9"/>
        <v>0</v>
      </c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59"/>
      <c r="DA15" s="59"/>
      <c r="DB15" s="59"/>
      <c r="DC15" s="59"/>
      <c r="DD15" s="59"/>
      <c r="DE15" s="59"/>
      <c r="DF15" s="59"/>
      <c r="DG15" s="59"/>
      <c r="DH15" s="59"/>
      <c r="DI15" s="59"/>
      <c r="DJ15" s="59"/>
      <c r="DK15" s="59"/>
      <c r="DL15" s="59"/>
      <c r="DM15" s="59"/>
      <c r="DN15" s="59"/>
      <c r="DO15" s="59"/>
      <c r="DP15" s="59"/>
      <c r="DQ15" s="59"/>
      <c r="DR15" s="59"/>
      <c r="DS15" s="59"/>
      <c r="DT15" s="59"/>
      <c r="DU15" s="59"/>
      <c r="DV15" s="59"/>
      <c r="DW15" s="59"/>
      <c r="DX15" s="59"/>
      <c r="DY15" s="59"/>
      <c r="DZ15" s="59"/>
      <c r="EA15" s="59"/>
      <c r="EB15" s="59"/>
      <c r="EC15" s="59"/>
      <c r="ED15" s="59"/>
      <c r="EE15" s="59"/>
      <c r="EF15" s="59"/>
      <c r="EG15" s="59"/>
      <c r="EH15" s="59"/>
      <c r="EI15" s="59"/>
      <c r="EJ15" s="59"/>
      <c r="EK15" s="59"/>
      <c r="EL15" s="59"/>
      <c r="EM15" s="59"/>
      <c r="EN15" s="59"/>
      <c r="EO15" s="59"/>
      <c r="EP15" s="59"/>
      <c r="EQ15" s="59"/>
      <c r="ER15" s="59"/>
      <c r="ES15" s="59"/>
      <c r="ET15" s="59"/>
      <c r="EU15" s="59"/>
      <c r="EV15" s="59"/>
      <c r="EW15" s="59"/>
      <c r="EX15" s="59"/>
      <c r="EY15" s="59"/>
      <c r="EZ15" s="59"/>
      <c r="FA15" s="59"/>
      <c r="FB15" s="59"/>
      <c r="FC15" s="59"/>
      <c r="FD15" s="59"/>
      <c r="FE15" s="59"/>
      <c r="FF15" s="59"/>
      <c r="FG15" s="59"/>
      <c r="FH15" s="59"/>
      <c r="FI15" s="59"/>
      <c r="FJ15" s="59"/>
      <c r="FK15" s="59"/>
      <c r="FL15" s="59"/>
      <c r="FM15" s="59"/>
      <c r="FN15" s="59"/>
      <c r="FO15" s="59"/>
      <c r="FP15" s="59"/>
      <c r="FQ15" s="59"/>
      <c r="FR15" s="59"/>
      <c r="FS15" s="59"/>
      <c r="FT15" s="59"/>
      <c r="FU15" s="59"/>
      <c r="FV15" s="59"/>
      <c r="FW15" s="59"/>
      <c r="FX15" s="59"/>
      <c r="FY15" s="59"/>
      <c r="FZ15" s="59"/>
      <c r="GA15" s="59"/>
      <c r="GB15" s="59"/>
      <c r="GC15" s="59"/>
      <c r="GD15" s="59"/>
      <c r="GE15" s="59"/>
      <c r="GF15" s="59"/>
      <c r="GG15" s="59"/>
      <c r="GH15" s="59"/>
    </row>
    <row r="16" spans="1:190" s="1" customFormat="1" ht="25.15" customHeight="1" thickBot="1" x14ac:dyDescent="0.3">
      <c r="A16" s="208" t="s">
        <v>29</v>
      </c>
      <c r="B16" s="124" t="s">
        <v>307</v>
      </c>
      <c r="C16" s="85">
        <v>2703</v>
      </c>
      <c r="D16" s="19" t="s">
        <v>28</v>
      </c>
      <c r="E16" s="3" t="str">
        <f t="shared" si="3"/>
        <v>٥</v>
      </c>
      <c r="F16" s="3">
        <v>5</v>
      </c>
      <c r="G16" s="3" t="s">
        <v>56</v>
      </c>
      <c r="H16" s="3">
        <v>8</v>
      </c>
      <c r="I16" s="3">
        <v>8</v>
      </c>
      <c r="J16" s="3">
        <v>7</v>
      </c>
      <c r="K16" s="3">
        <v>7</v>
      </c>
      <c r="L16" s="3">
        <v>6</v>
      </c>
      <c r="M16" s="3">
        <v>6</v>
      </c>
      <c r="N16" s="3">
        <v>5</v>
      </c>
      <c r="O16" s="3">
        <v>7</v>
      </c>
      <c r="P16" s="3">
        <v>8</v>
      </c>
      <c r="Q16" s="3">
        <v>7</v>
      </c>
      <c r="R16" s="3">
        <v>8</v>
      </c>
      <c r="S16" s="3">
        <v>8</v>
      </c>
      <c r="T16" s="4">
        <f t="shared" si="4"/>
        <v>90</v>
      </c>
      <c r="U16" s="44" t="s">
        <v>56</v>
      </c>
      <c r="V16" s="44" t="s">
        <v>56</v>
      </c>
      <c r="X16" s="27">
        <f>'2 ALIYAH H'!T16</f>
        <v>79</v>
      </c>
      <c r="Y16" s="27">
        <f t="shared" si="0"/>
        <v>90</v>
      </c>
      <c r="Z16" s="28">
        <f t="shared" si="1"/>
        <v>169</v>
      </c>
      <c r="AA16" s="27">
        <v>26</v>
      </c>
      <c r="AB16" s="28">
        <f t="shared" si="5"/>
        <v>7</v>
      </c>
      <c r="AC16" s="29" t="str">
        <f t="shared" si="2"/>
        <v>المتوسط الأول</v>
      </c>
      <c r="AE16" s="51">
        <f>'2 ALIYAH G'!U16</f>
        <v>3</v>
      </c>
      <c r="AF16" s="51" t="str">
        <f t="shared" si="6"/>
        <v>-</v>
      </c>
      <c r="AG16" s="52">
        <f t="shared" si="7"/>
        <v>3</v>
      </c>
      <c r="AI16" s="51" t="str">
        <f>'2 ALIYAH G'!V16</f>
        <v>-</v>
      </c>
      <c r="AJ16" s="51" t="str">
        <f t="shared" si="8"/>
        <v>-</v>
      </c>
      <c r="AK16" s="52">
        <f t="shared" si="9"/>
        <v>0</v>
      </c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  <c r="CL16" s="59"/>
      <c r="CM16" s="59"/>
      <c r="CN16" s="59"/>
      <c r="CO16" s="59"/>
      <c r="CP16" s="59"/>
      <c r="CQ16" s="59"/>
      <c r="CR16" s="59"/>
      <c r="CS16" s="59"/>
      <c r="CT16" s="59"/>
      <c r="CU16" s="59"/>
      <c r="CV16" s="59"/>
      <c r="CW16" s="59"/>
      <c r="CX16" s="59"/>
      <c r="CY16" s="59"/>
      <c r="CZ16" s="59"/>
      <c r="DA16" s="59"/>
      <c r="DB16" s="59"/>
      <c r="DC16" s="59"/>
      <c r="DD16" s="59"/>
      <c r="DE16" s="59"/>
      <c r="DF16" s="59"/>
      <c r="DG16" s="59"/>
      <c r="DH16" s="59"/>
      <c r="DI16" s="59"/>
      <c r="DJ16" s="59"/>
      <c r="DK16" s="59"/>
      <c r="DL16" s="59"/>
      <c r="DM16" s="59"/>
      <c r="DN16" s="59"/>
      <c r="DO16" s="59"/>
      <c r="DP16" s="59"/>
      <c r="DQ16" s="59"/>
      <c r="DR16" s="59"/>
      <c r="DS16" s="59"/>
      <c r="DT16" s="59"/>
      <c r="DU16" s="59"/>
      <c r="DV16" s="59"/>
      <c r="DW16" s="59"/>
      <c r="DX16" s="59"/>
      <c r="DY16" s="59"/>
      <c r="DZ16" s="59"/>
      <c r="EA16" s="59"/>
      <c r="EB16" s="59"/>
      <c r="EC16" s="59"/>
      <c r="ED16" s="59"/>
      <c r="EE16" s="59"/>
      <c r="EF16" s="59"/>
      <c r="EG16" s="59"/>
      <c r="EH16" s="59"/>
      <c r="EI16" s="59"/>
      <c r="EJ16" s="59"/>
      <c r="EK16" s="59"/>
      <c r="EL16" s="59"/>
      <c r="EM16" s="59"/>
      <c r="EN16" s="59"/>
      <c r="EO16" s="59"/>
      <c r="EP16" s="59"/>
      <c r="EQ16" s="59"/>
      <c r="ER16" s="59"/>
      <c r="ES16" s="59"/>
      <c r="ET16" s="59"/>
      <c r="EU16" s="59"/>
      <c r="EV16" s="59"/>
      <c r="EW16" s="59"/>
      <c r="EX16" s="59"/>
      <c r="EY16" s="59"/>
      <c r="EZ16" s="59"/>
      <c r="FA16" s="59"/>
      <c r="FB16" s="59"/>
      <c r="FC16" s="59"/>
      <c r="FD16" s="59"/>
      <c r="FE16" s="59"/>
      <c r="FF16" s="59"/>
      <c r="FG16" s="59"/>
      <c r="FH16" s="59"/>
      <c r="FI16" s="59"/>
      <c r="FJ16" s="59"/>
      <c r="FK16" s="59"/>
      <c r="FL16" s="59"/>
      <c r="FM16" s="59"/>
      <c r="FN16" s="59"/>
      <c r="FO16" s="59"/>
      <c r="FP16" s="59"/>
      <c r="FQ16" s="59"/>
      <c r="FR16" s="59"/>
      <c r="FS16" s="59"/>
      <c r="FT16" s="59"/>
      <c r="FU16" s="59"/>
      <c r="FV16" s="59"/>
      <c r="FW16" s="59"/>
      <c r="FX16" s="59"/>
      <c r="FY16" s="59"/>
      <c r="FZ16" s="59"/>
      <c r="GA16" s="59"/>
      <c r="GB16" s="59"/>
      <c r="GC16" s="59"/>
      <c r="GD16" s="59"/>
      <c r="GE16" s="59"/>
      <c r="GF16" s="59"/>
      <c r="GG16" s="59"/>
      <c r="GH16" s="59"/>
    </row>
    <row r="17" spans="1:190" s="59" customFormat="1" ht="25.15" customHeight="1" thickBot="1" x14ac:dyDescent="0.3">
      <c r="A17" s="243" t="s">
        <v>30</v>
      </c>
      <c r="B17" s="149" t="s">
        <v>308</v>
      </c>
      <c r="C17" s="85">
        <v>2836</v>
      </c>
      <c r="D17" s="150" t="s">
        <v>29</v>
      </c>
      <c r="E17" s="151" t="str">
        <f t="shared" si="3"/>
        <v>٦</v>
      </c>
      <c r="F17" s="151">
        <v>6</v>
      </c>
      <c r="G17" s="151" t="s">
        <v>56</v>
      </c>
      <c r="H17" s="151">
        <v>7</v>
      </c>
      <c r="I17" s="151">
        <v>7</v>
      </c>
      <c r="J17" s="151">
        <v>4</v>
      </c>
      <c r="K17" s="151">
        <v>4</v>
      </c>
      <c r="L17" s="151">
        <v>4</v>
      </c>
      <c r="M17" s="151">
        <v>4</v>
      </c>
      <c r="N17" s="151">
        <v>5</v>
      </c>
      <c r="O17" s="151">
        <v>5</v>
      </c>
      <c r="P17" s="151">
        <v>8</v>
      </c>
      <c r="Q17" s="151">
        <v>7</v>
      </c>
      <c r="R17" s="151">
        <v>7</v>
      </c>
      <c r="S17" s="151">
        <v>8</v>
      </c>
      <c r="T17" s="4">
        <f t="shared" si="4"/>
        <v>76</v>
      </c>
      <c r="U17" s="152" t="s">
        <v>56</v>
      </c>
      <c r="V17" s="152" t="s">
        <v>56</v>
      </c>
      <c r="X17" s="27">
        <f>'2 ALIYAH H'!T17</f>
        <v>75</v>
      </c>
      <c r="Y17" s="27">
        <f t="shared" si="0"/>
        <v>76</v>
      </c>
      <c r="Z17" s="60">
        <f t="shared" si="1"/>
        <v>151</v>
      </c>
      <c r="AA17" s="27">
        <v>26</v>
      </c>
      <c r="AB17" s="60">
        <f t="shared" si="5"/>
        <v>6</v>
      </c>
      <c r="AC17" s="29" t="str">
        <f t="shared" si="2"/>
        <v>المتوسط الثاني</v>
      </c>
      <c r="AD17" s="1"/>
      <c r="AE17" s="61">
        <f>'2 ALIYAH G'!U17</f>
        <v>2</v>
      </c>
      <c r="AF17" s="61" t="str">
        <f t="shared" si="6"/>
        <v>-</v>
      </c>
      <c r="AG17" s="52">
        <f t="shared" si="7"/>
        <v>2</v>
      </c>
      <c r="AH17" s="1"/>
      <c r="AI17" s="61" t="str">
        <f>'2 ALIYAH G'!V17</f>
        <v>-</v>
      </c>
      <c r="AJ17" s="61" t="str">
        <f t="shared" si="8"/>
        <v>-</v>
      </c>
      <c r="AK17" s="52">
        <f t="shared" si="9"/>
        <v>0</v>
      </c>
    </row>
    <row r="18" spans="1:190" s="59" customFormat="1" ht="25.15" customHeight="1" thickBot="1" x14ac:dyDescent="0.3">
      <c r="A18" s="243" t="s">
        <v>31</v>
      </c>
      <c r="B18" s="149" t="s">
        <v>309</v>
      </c>
      <c r="C18" s="85">
        <v>2773</v>
      </c>
      <c r="D18" s="150" t="s">
        <v>30</v>
      </c>
      <c r="E18" s="151" t="str">
        <f t="shared" si="3"/>
        <v>٩</v>
      </c>
      <c r="F18" s="151">
        <v>9</v>
      </c>
      <c r="G18" s="151" t="s">
        <v>56</v>
      </c>
      <c r="H18" s="151">
        <v>9</v>
      </c>
      <c r="I18" s="151">
        <v>9</v>
      </c>
      <c r="J18" s="151">
        <v>9</v>
      </c>
      <c r="K18" s="151">
        <v>9</v>
      </c>
      <c r="L18" s="151">
        <v>9</v>
      </c>
      <c r="M18" s="151">
        <v>9</v>
      </c>
      <c r="N18" s="151">
        <v>9</v>
      </c>
      <c r="O18" s="151">
        <v>9</v>
      </c>
      <c r="P18" s="151">
        <v>8</v>
      </c>
      <c r="Q18" s="151">
        <v>8</v>
      </c>
      <c r="R18" s="151">
        <v>8</v>
      </c>
      <c r="S18" s="151">
        <v>8</v>
      </c>
      <c r="T18" s="4">
        <f t="shared" si="4"/>
        <v>113</v>
      </c>
      <c r="U18" s="152">
        <v>3</v>
      </c>
      <c r="V18" s="152" t="s">
        <v>56</v>
      </c>
      <c r="X18" s="27">
        <f>'2 ALIYAH H'!T18</f>
        <v>114</v>
      </c>
      <c r="Y18" s="27">
        <f t="shared" si="0"/>
        <v>113</v>
      </c>
      <c r="Z18" s="60">
        <f t="shared" si="1"/>
        <v>227</v>
      </c>
      <c r="AA18" s="27">
        <v>26</v>
      </c>
      <c r="AB18" s="60">
        <f t="shared" si="5"/>
        <v>9</v>
      </c>
      <c r="AC18" s="29" t="str">
        <f t="shared" si="2"/>
        <v>الجيد الأول</v>
      </c>
      <c r="AD18" s="1"/>
      <c r="AE18" s="61" t="str">
        <f>'2 ALIYAH G'!U18</f>
        <v>-</v>
      </c>
      <c r="AF18" s="61">
        <f t="shared" si="6"/>
        <v>3</v>
      </c>
      <c r="AG18" s="52">
        <f t="shared" si="7"/>
        <v>3</v>
      </c>
      <c r="AH18" s="1"/>
      <c r="AI18" s="61" t="str">
        <f>'2 ALIYAH G'!V18</f>
        <v>-</v>
      </c>
      <c r="AJ18" s="61" t="str">
        <f t="shared" si="8"/>
        <v>-</v>
      </c>
      <c r="AK18" s="52">
        <f t="shared" si="9"/>
        <v>0</v>
      </c>
    </row>
    <row r="19" spans="1:190" s="59" customFormat="1" ht="25.15" customHeight="1" thickBot="1" x14ac:dyDescent="0.3">
      <c r="A19" s="243" t="s">
        <v>32</v>
      </c>
      <c r="B19" s="149" t="s">
        <v>310</v>
      </c>
      <c r="C19" s="245">
        <v>2669</v>
      </c>
      <c r="D19" s="150" t="s">
        <v>31</v>
      </c>
      <c r="E19" s="151" t="str">
        <f t="shared" si="3"/>
        <v>٧</v>
      </c>
      <c r="F19" s="151">
        <v>7</v>
      </c>
      <c r="G19" s="151" t="s">
        <v>56</v>
      </c>
      <c r="H19" s="151">
        <v>9</v>
      </c>
      <c r="I19" s="151">
        <v>9</v>
      </c>
      <c r="J19" s="151">
        <v>7</v>
      </c>
      <c r="K19" s="151">
        <v>5</v>
      </c>
      <c r="L19" s="151">
        <v>8</v>
      </c>
      <c r="M19" s="151">
        <v>9</v>
      </c>
      <c r="N19" s="151">
        <v>8</v>
      </c>
      <c r="O19" s="151">
        <v>8</v>
      </c>
      <c r="P19" s="151">
        <v>7</v>
      </c>
      <c r="Q19" s="151">
        <v>8</v>
      </c>
      <c r="R19" s="151">
        <v>8</v>
      </c>
      <c r="S19" s="151">
        <v>8</v>
      </c>
      <c r="T19" s="4">
        <f t="shared" si="4"/>
        <v>101</v>
      </c>
      <c r="U19" s="152">
        <v>4</v>
      </c>
      <c r="V19" s="152" t="s">
        <v>56</v>
      </c>
      <c r="X19" s="27">
        <f>'2 ALIYAH H'!T19</f>
        <v>84</v>
      </c>
      <c r="Y19" s="27">
        <f t="shared" si="0"/>
        <v>101</v>
      </c>
      <c r="Z19" s="60">
        <f t="shared" si="1"/>
        <v>185</v>
      </c>
      <c r="AA19" s="27">
        <v>26</v>
      </c>
      <c r="AB19" s="60">
        <f t="shared" si="5"/>
        <v>7</v>
      </c>
      <c r="AC19" s="29" t="str">
        <f t="shared" si="2"/>
        <v>المتوسط الأول</v>
      </c>
      <c r="AD19" s="1"/>
      <c r="AE19" s="61" t="str">
        <f>'2 ALIYAH G'!U19</f>
        <v>-</v>
      </c>
      <c r="AF19" s="61">
        <f t="shared" si="6"/>
        <v>4</v>
      </c>
      <c r="AG19" s="52">
        <f t="shared" si="7"/>
        <v>4</v>
      </c>
      <c r="AH19" s="1"/>
      <c r="AI19" s="61" t="str">
        <f>'2 ALIYAH G'!V19</f>
        <v>-</v>
      </c>
      <c r="AJ19" s="61" t="str">
        <f t="shared" si="8"/>
        <v>-</v>
      </c>
      <c r="AK19" s="52">
        <f t="shared" si="9"/>
        <v>0</v>
      </c>
    </row>
    <row r="20" spans="1:190" s="108" customFormat="1" ht="25.15" customHeight="1" thickBot="1" x14ac:dyDescent="0.3">
      <c r="A20" s="211" t="s">
        <v>33</v>
      </c>
      <c r="B20" s="137" t="s">
        <v>311</v>
      </c>
      <c r="C20" s="143">
        <v>2744</v>
      </c>
      <c r="D20" s="105" t="s">
        <v>32</v>
      </c>
      <c r="E20" s="106" t="str">
        <f t="shared" si="3"/>
        <v>٠</v>
      </c>
      <c r="F20" s="106"/>
      <c r="G20" s="106" t="s">
        <v>56</v>
      </c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4">
        <f t="shared" si="4"/>
        <v>0</v>
      </c>
      <c r="U20" s="107" t="s">
        <v>56</v>
      </c>
      <c r="V20" s="107" t="s">
        <v>56</v>
      </c>
      <c r="X20" s="27">
        <f>'2 ALIYAH H'!T20</f>
        <v>111</v>
      </c>
      <c r="Y20" s="27">
        <f t="shared" si="0"/>
        <v>0</v>
      </c>
      <c r="Z20" s="28">
        <f t="shared" si="1"/>
        <v>111</v>
      </c>
      <c r="AA20" s="27">
        <v>26</v>
      </c>
      <c r="AB20" s="28">
        <f t="shared" si="5"/>
        <v>4</v>
      </c>
      <c r="AC20" s="29">
        <f t="shared" si="2"/>
        <v>0</v>
      </c>
      <c r="AD20" s="1"/>
      <c r="AE20" s="51" t="str">
        <f>'2 ALIYAH G'!U20</f>
        <v>-</v>
      </c>
      <c r="AF20" s="51" t="str">
        <f t="shared" si="6"/>
        <v>-</v>
      </c>
      <c r="AG20" s="52">
        <f t="shared" si="7"/>
        <v>0</v>
      </c>
      <c r="AH20" s="1"/>
      <c r="AI20" s="51" t="str">
        <f>'2 ALIYAH G'!V20</f>
        <v>-</v>
      </c>
      <c r="AJ20" s="51" t="str">
        <f t="shared" si="8"/>
        <v>-</v>
      </c>
      <c r="AK20" s="52">
        <f t="shared" si="9"/>
        <v>0</v>
      </c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59"/>
      <c r="EL20" s="59"/>
      <c r="EM20" s="59"/>
      <c r="EN20" s="59"/>
      <c r="EO20" s="59"/>
      <c r="EP20" s="59"/>
      <c r="EQ20" s="59"/>
      <c r="ER20" s="59"/>
      <c r="ES20" s="59"/>
      <c r="ET20" s="59"/>
      <c r="EU20" s="59"/>
      <c r="EV20" s="59"/>
      <c r="EW20" s="59"/>
      <c r="EX20" s="59"/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  <c r="FX20" s="59"/>
      <c r="FY20" s="59"/>
      <c r="FZ20" s="59"/>
      <c r="GA20" s="59"/>
      <c r="GB20" s="59"/>
      <c r="GC20" s="59"/>
      <c r="GD20" s="59"/>
      <c r="GE20" s="59"/>
      <c r="GF20" s="59"/>
      <c r="GG20" s="59"/>
      <c r="GH20" s="59"/>
    </row>
    <row r="21" spans="1:190" s="1" customFormat="1" ht="25.15" customHeight="1" thickBot="1" x14ac:dyDescent="0.3">
      <c r="A21" s="208" t="s">
        <v>34</v>
      </c>
      <c r="B21" s="149" t="s">
        <v>312</v>
      </c>
      <c r="C21" s="84">
        <v>2776</v>
      </c>
      <c r="D21" s="19" t="s">
        <v>33</v>
      </c>
      <c r="E21" s="3" t="str">
        <f t="shared" si="3"/>
        <v>٨</v>
      </c>
      <c r="F21" s="3">
        <v>8</v>
      </c>
      <c r="G21" s="3" t="s">
        <v>56</v>
      </c>
      <c r="H21" s="3">
        <v>9</v>
      </c>
      <c r="I21" s="3">
        <v>9</v>
      </c>
      <c r="J21" s="3">
        <v>8</v>
      </c>
      <c r="K21" s="3">
        <v>7</v>
      </c>
      <c r="L21" s="3">
        <v>6</v>
      </c>
      <c r="M21" s="3">
        <v>5</v>
      </c>
      <c r="N21" s="3">
        <v>8</v>
      </c>
      <c r="O21" s="3">
        <v>9</v>
      </c>
      <c r="P21" s="3">
        <v>8</v>
      </c>
      <c r="Q21" s="3">
        <v>8</v>
      </c>
      <c r="R21" s="3">
        <v>8</v>
      </c>
      <c r="S21" s="3">
        <v>8</v>
      </c>
      <c r="T21" s="4">
        <f t="shared" si="4"/>
        <v>101</v>
      </c>
      <c r="U21" s="44" t="s">
        <v>56</v>
      </c>
      <c r="V21" s="44" t="s">
        <v>56</v>
      </c>
      <c r="X21" s="27">
        <f>'2 ALIYAH H'!T21</f>
        <v>95</v>
      </c>
      <c r="Y21" s="27">
        <f t="shared" si="0"/>
        <v>101</v>
      </c>
      <c r="Z21" s="28">
        <f t="shared" si="1"/>
        <v>196</v>
      </c>
      <c r="AA21" s="27">
        <v>26</v>
      </c>
      <c r="AB21" s="28">
        <f t="shared" si="5"/>
        <v>8</v>
      </c>
      <c r="AC21" s="29" t="str">
        <f t="shared" si="2"/>
        <v>الجيد الثاني</v>
      </c>
      <c r="AE21" s="51">
        <f>'2 ALIYAH G'!U21</f>
        <v>2</v>
      </c>
      <c r="AF21" s="51" t="str">
        <f t="shared" si="6"/>
        <v>-</v>
      </c>
      <c r="AG21" s="52">
        <f t="shared" si="7"/>
        <v>2</v>
      </c>
      <c r="AI21" s="51">
        <f>'2 ALIYAH G'!V21</f>
        <v>0</v>
      </c>
      <c r="AJ21" s="51" t="str">
        <f t="shared" si="8"/>
        <v>-</v>
      </c>
      <c r="AK21" s="52">
        <f t="shared" si="9"/>
        <v>0</v>
      </c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9"/>
      <c r="EN21" s="59"/>
      <c r="EO21" s="59"/>
      <c r="EP21" s="59"/>
      <c r="EQ21" s="59"/>
      <c r="ER21" s="59"/>
      <c r="ES21" s="59"/>
      <c r="ET21" s="59"/>
      <c r="EU21" s="59"/>
      <c r="EV21" s="59"/>
      <c r="EW21" s="59"/>
      <c r="EX21" s="59"/>
      <c r="EY21" s="59"/>
      <c r="EZ21" s="59"/>
      <c r="FA21" s="59"/>
      <c r="FB21" s="59"/>
      <c r="FC21" s="59"/>
      <c r="FD21" s="59"/>
      <c r="FE21" s="59"/>
      <c r="FF21" s="59"/>
      <c r="FG21" s="59"/>
      <c r="FH21" s="59"/>
      <c r="FI21" s="59"/>
      <c r="FJ21" s="59"/>
      <c r="FK21" s="59"/>
      <c r="FL21" s="59"/>
      <c r="FM21" s="59"/>
      <c r="FN21" s="59"/>
      <c r="FO21" s="59"/>
      <c r="FP21" s="59"/>
      <c r="FQ21" s="59"/>
      <c r="FR21" s="59"/>
      <c r="FS21" s="59"/>
      <c r="FT21" s="59"/>
      <c r="FU21" s="59"/>
      <c r="FV21" s="59"/>
      <c r="FW21" s="59"/>
      <c r="FX21" s="59"/>
      <c r="FY21" s="59"/>
      <c r="FZ21" s="59"/>
      <c r="GA21" s="59"/>
      <c r="GB21" s="59"/>
      <c r="GC21" s="59"/>
      <c r="GD21" s="59"/>
      <c r="GE21" s="59"/>
      <c r="GF21" s="59"/>
      <c r="GG21" s="59"/>
      <c r="GH21" s="59"/>
    </row>
    <row r="22" spans="1:190" s="59" customFormat="1" ht="25.15" customHeight="1" thickBot="1" x14ac:dyDescent="0.3">
      <c r="A22" s="243" t="s">
        <v>35</v>
      </c>
      <c r="B22" s="149" t="s">
        <v>313</v>
      </c>
      <c r="C22" s="85">
        <v>2840</v>
      </c>
      <c r="D22" s="150" t="s">
        <v>34</v>
      </c>
      <c r="E22" s="151" t="str">
        <f t="shared" si="3"/>
        <v>٩</v>
      </c>
      <c r="F22" s="151">
        <v>9</v>
      </c>
      <c r="G22" s="151" t="s">
        <v>56</v>
      </c>
      <c r="H22" s="151">
        <v>9</v>
      </c>
      <c r="I22" s="151">
        <v>9</v>
      </c>
      <c r="J22" s="151">
        <v>9</v>
      </c>
      <c r="K22" s="151">
        <v>9</v>
      </c>
      <c r="L22" s="151">
        <v>9</v>
      </c>
      <c r="M22" s="151">
        <v>7</v>
      </c>
      <c r="N22" s="151">
        <v>9</v>
      </c>
      <c r="O22" s="151">
        <v>9</v>
      </c>
      <c r="P22" s="151">
        <v>8</v>
      </c>
      <c r="Q22" s="151">
        <v>8</v>
      </c>
      <c r="R22" s="151">
        <v>8</v>
      </c>
      <c r="S22" s="151">
        <v>8</v>
      </c>
      <c r="T22" s="4">
        <f t="shared" si="4"/>
        <v>111</v>
      </c>
      <c r="U22" s="152">
        <v>1</v>
      </c>
      <c r="V22" s="152" t="s">
        <v>56</v>
      </c>
      <c r="X22" s="27">
        <f>'2 ALIYAH H'!T22</f>
        <v>113</v>
      </c>
      <c r="Y22" s="27">
        <f t="shared" si="0"/>
        <v>111</v>
      </c>
      <c r="Z22" s="60">
        <f t="shared" si="1"/>
        <v>224</v>
      </c>
      <c r="AA22" s="27">
        <v>26</v>
      </c>
      <c r="AB22" s="60">
        <f t="shared" si="5"/>
        <v>9</v>
      </c>
      <c r="AC22" s="29" t="str">
        <f t="shared" si="2"/>
        <v>الجيد الأول</v>
      </c>
      <c r="AE22" s="61" t="str">
        <f>'2 ALIYAH G'!U22</f>
        <v>-</v>
      </c>
      <c r="AF22" s="61">
        <f t="shared" si="6"/>
        <v>1</v>
      </c>
      <c r="AG22" s="52">
        <f t="shared" si="7"/>
        <v>1</v>
      </c>
      <c r="AI22" s="61" t="str">
        <f>'2 ALIYAH G'!V22</f>
        <v>-</v>
      </c>
      <c r="AJ22" s="61" t="str">
        <f t="shared" si="8"/>
        <v>-</v>
      </c>
      <c r="AK22" s="52">
        <f t="shared" si="9"/>
        <v>0</v>
      </c>
    </row>
    <row r="23" spans="1:190" s="59" customFormat="1" ht="25.15" customHeight="1" thickBot="1" x14ac:dyDescent="0.3">
      <c r="A23" s="243" t="s">
        <v>36</v>
      </c>
      <c r="B23" s="246" t="s">
        <v>314</v>
      </c>
      <c r="C23" s="85">
        <v>2902</v>
      </c>
      <c r="D23" s="150" t="s">
        <v>35</v>
      </c>
      <c r="E23" s="151" t="str">
        <f t="shared" si="3"/>
        <v>٥</v>
      </c>
      <c r="F23" s="151">
        <v>5</v>
      </c>
      <c r="G23" s="151" t="s">
        <v>56</v>
      </c>
      <c r="H23" s="151">
        <v>9</v>
      </c>
      <c r="I23" s="151">
        <v>5</v>
      </c>
      <c r="J23" s="151">
        <v>4</v>
      </c>
      <c r="K23" s="151">
        <v>5</v>
      </c>
      <c r="L23" s="151">
        <v>4</v>
      </c>
      <c r="M23" s="151">
        <v>6</v>
      </c>
      <c r="N23" s="151">
        <v>7</v>
      </c>
      <c r="O23" s="151">
        <v>8</v>
      </c>
      <c r="P23" s="151">
        <v>7</v>
      </c>
      <c r="Q23" s="151">
        <v>7</v>
      </c>
      <c r="R23" s="151">
        <v>8</v>
      </c>
      <c r="S23" s="151">
        <v>7</v>
      </c>
      <c r="T23" s="4">
        <f t="shared" si="4"/>
        <v>82</v>
      </c>
      <c r="U23" s="152" t="s">
        <v>56</v>
      </c>
      <c r="V23" s="152" t="s">
        <v>56</v>
      </c>
      <c r="X23" s="27">
        <f>'2 ALIYAH H'!T23</f>
        <v>80</v>
      </c>
      <c r="Y23" s="27">
        <f t="shared" si="0"/>
        <v>82</v>
      </c>
      <c r="Z23" s="60">
        <f t="shared" si="1"/>
        <v>162</v>
      </c>
      <c r="AA23" s="27">
        <v>26</v>
      </c>
      <c r="AB23" s="60">
        <f t="shared" si="5"/>
        <v>6</v>
      </c>
      <c r="AC23" s="29" t="str">
        <f t="shared" si="2"/>
        <v>المتوسط الثاني</v>
      </c>
      <c r="AE23" s="61" t="str">
        <f>'2 ALIYAH G'!U23</f>
        <v>-</v>
      </c>
      <c r="AF23" s="61" t="str">
        <f t="shared" si="6"/>
        <v>-</v>
      </c>
      <c r="AG23" s="52">
        <f t="shared" si="7"/>
        <v>0</v>
      </c>
      <c r="AI23" s="61" t="str">
        <f>'2 ALIYAH G'!V23</f>
        <v>-</v>
      </c>
      <c r="AJ23" s="61" t="str">
        <f t="shared" si="8"/>
        <v>-</v>
      </c>
      <c r="AK23" s="52">
        <f t="shared" si="9"/>
        <v>0</v>
      </c>
    </row>
    <row r="24" spans="1:190" s="1" customFormat="1" ht="25.15" customHeight="1" thickBot="1" x14ac:dyDescent="0.3">
      <c r="A24" s="208" t="s">
        <v>37</v>
      </c>
      <c r="B24" s="123" t="s">
        <v>315</v>
      </c>
      <c r="C24" s="84">
        <v>2673</v>
      </c>
      <c r="D24" s="19" t="s">
        <v>36</v>
      </c>
      <c r="E24" s="3" t="str">
        <f t="shared" si="3"/>
        <v>٧</v>
      </c>
      <c r="F24" s="3">
        <v>7</v>
      </c>
      <c r="G24" s="3" t="s">
        <v>56</v>
      </c>
      <c r="H24" s="3">
        <v>8</v>
      </c>
      <c r="I24" s="3">
        <v>8</v>
      </c>
      <c r="J24" s="3">
        <v>5</v>
      </c>
      <c r="K24" s="3">
        <v>7</v>
      </c>
      <c r="L24" s="3">
        <v>8</v>
      </c>
      <c r="M24" s="3">
        <v>6</v>
      </c>
      <c r="N24" s="3">
        <v>5</v>
      </c>
      <c r="O24" s="3">
        <v>8</v>
      </c>
      <c r="P24" s="3">
        <v>8</v>
      </c>
      <c r="Q24" s="3">
        <v>7</v>
      </c>
      <c r="R24" s="3">
        <v>8</v>
      </c>
      <c r="S24" s="3">
        <v>7</v>
      </c>
      <c r="T24" s="4">
        <f t="shared" si="4"/>
        <v>92</v>
      </c>
      <c r="U24" s="44">
        <v>2</v>
      </c>
      <c r="V24" s="44" t="s">
        <v>56</v>
      </c>
      <c r="X24" s="27">
        <f>'2 ALIYAH H'!T24</f>
        <v>88</v>
      </c>
      <c r="Y24" s="27">
        <f t="shared" si="0"/>
        <v>92</v>
      </c>
      <c r="Z24" s="28">
        <f t="shared" si="1"/>
        <v>180</v>
      </c>
      <c r="AA24" s="27">
        <v>26</v>
      </c>
      <c r="AB24" s="28">
        <f t="shared" si="5"/>
        <v>7</v>
      </c>
      <c r="AC24" s="29" t="str">
        <f t="shared" si="2"/>
        <v>المتوسط الأول</v>
      </c>
      <c r="AE24" s="51">
        <f>'2 ALIYAH G'!U24</f>
        <v>6</v>
      </c>
      <c r="AF24" s="51">
        <f t="shared" si="6"/>
        <v>2</v>
      </c>
      <c r="AG24" s="52">
        <f t="shared" si="7"/>
        <v>8</v>
      </c>
      <c r="AI24" s="51" t="str">
        <f>'2 ALIYAH G'!V24</f>
        <v>-</v>
      </c>
      <c r="AJ24" s="51" t="str">
        <f t="shared" si="8"/>
        <v>-</v>
      </c>
      <c r="AK24" s="52">
        <f t="shared" si="9"/>
        <v>0</v>
      </c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59"/>
      <c r="CV24" s="59"/>
      <c r="CW24" s="59"/>
      <c r="CX24" s="59"/>
      <c r="CY24" s="59"/>
      <c r="CZ24" s="59"/>
      <c r="DA24" s="59"/>
      <c r="DB24" s="59"/>
      <c r="DC24" s="59"/>
      <c r="DD24" s="59"/>
      <c r="DE24" s="59"/>
      <c r="DF24" s="59"/>
      <c r="DG24" s="59"/>
      <c r="DH24" s="59"/>
      <c r="DI24" s="59"/>
      <c r="DJ24" s="59"/>
      <c r="DK24" s="59"/>
      <c r="DL24" s="59"/>
      <c r="DM24" s="59"/>
      <c r="DN24" s="59"/>
      <c r="DO24" s="59"/>
      <c r="DP24" s="59"/>
      <c r="DQ24" s="59"/>
      <c r="DR24" s="59"/>
      <c r="DS24" s="59"/>
      <c r="DT24" s="59"/>
      <c r="DU24" s="59"/>
      <c r="DV24" s="59"/>
      <c r="DW24" s="59"/>
      <c r="DX24" s="59"/>
      <c r="DY24" s="59"/>
      <c r="DZ24" s="59"/>
      <c r="EA24" s="59"/>
      <c r="EB24" s="59"/>
      <c r="EC24" s="59"/>
      <c r="ED24" s="59"/>
      <c r="EE24" s="59"/>
      <c r="EF24" s="59"/>
      <c r="EG24" s="59"/>
      <c r="EH24" s="59"/>
      <c r="EI24" s="59"/>
      <c r="EJ24" s="59"/>
      <c r="EK24" s="59"/>
      <c r="EL24" s="59"/>
      <c r="EM24" s="59"/>
      <c r="EN24" s="59"/>
      <c r="EO24" s="59"/>
      <c r="EP24" s="59"/>
      <c r="EQ24" s="59"/>
      <c r="ER24" s="59"/>
      <c r="ES24" s="59"/>
      <c r="ET24" s="59"/>
      <c r="EU24" s="59"/>
      <c r="EV24" s="59"/>
      <c r="EW24" s="59"/>
      <c r="EX24" s="59"/>
      <c r="EY24" s="59"/>
      <c r="EZ24" s="59"/>
      <c r="FA24" s="59"/>
      <c r="FB24" s="59"/>
      <c r="FC24" s="59"/>
      <c r="FD24" s="59"/>
      <c r="FE24" s="59"/>
      <c r="FF24" s="59"/>
      <c r="FG24" s="59"/>
      <c r="FH24" s="59"/>
      <c r="FI24" s="59"/>
      <c r="FJ24" s="59"/>
      <c r="FK24" s="59"/>
      <c r="FL24" s="59"/>
      <c r="FM24" s="59"/>
      <c r="FN24" s="59"/>
      <c r="FO24" s="59"/>
      <c r="FP24" s="59"/>
      <c r="FQ24" s="59"/>
      <c r="FR24" s="59"/>
      <c r="FS24" s="59"/>
      <c r="FT24" s="59"/>
      <c r="FU24" s="59"/>
      <c r="FV24" s="59"/>
      <c r="FW24" s="59"/>
      <c r="FX24" s="59"/>
      <c r="FY24" s="59"/>
      <c r="FZ24" s="59"/>
      <c r="GA24" s="59"/>
      <c r="GB24" s="59"/>
      <c r="GC24" s="59"/>
      <c r="GD24" s="59"/>
      <c r="GE24" s="59"/>
      <c r="GF24" s="59"/>
      <c r="GG24" s="59"/>
      <c r="GH24" s="59"/>
    </row>
    <row r="25" spans="1:190" s="1" customFormat="1" ht="25.15" customHeight="1" thickBot="1" x14ac:dyDescent="0.3">
      <c r="A25" s="208" t="s">
        <v>38</v>
      </c>
      <c r="B25" s="124" t="s">
        <v>316</v>
      </c>
      <c r="C25" s="84">
        <v>2844</v>
      </c>
      <c r="D25" s="19" t="s">
        <v>37</v>
      </c>
      <c r="E25" s="3" t="str">
        <f t="shared" si="3"/>
        <v>٥</v>
      </c>
      <c r="F25" s="3">
        <v>5</v>
      </c>
      <c r="G25" s="3" t="s">
        <v>56</v>
      </c>
      <c r="H25" s="3">
        <v>6</v>
      </c>
      <c r="I25" s="3">
        <v>9</v>
      </c>
      <c r="J25" s="3">
        <v>6</v>
      </c>
      <c r="K25" s="3">
        <v>6</v>
      </c>
      <c r="L25" s="3">
        <v>7</v>
      </c>
      <c r="M25" s="3">
        <v>4</v>
      </c>
      <c r="N25" s="3">
        <v>8</v>
      </c>
      <c r="O25" s="3">
        <v>6</v>
      </c>
      <c r="P25" s="3">
        <v>7</v>
      </c>
      <c r="Q25" s="3">
        <v>7</v>
      </c>
      <c r="R25" s="3">
        <v>8</v>
      </c>
      <c r="S25" s="3">
        <v>8</v>
      </c>
      <c r="T25" s="4">
        <f t="shared" si="4"/>
        <v>87</v>
      </c>
      <c r="U25" s="44" t="s">
        <v>56</v>
      </c>
      <c r="V25" s="44" t="s">
        <v>56</v>
      </c>
      <c r="X25" s="27">
        <f>'2 ALIYAH H'!T25</f>
        <v>84</v>
      </c>
      <c r="Y25" s="27">
        <f t="shared" si="0"/>
        <v>87</v>
      </c>
      <c r="Z25" s="28">
        <f t="shared" si="1"/>
        <v>171</v>
      </c>
      <c r="AA25" s="27">
        <v>26</v>
      </c>
      <c r="AB25" s="28">
        <f t="shared" si="5"/>
        <v>7</v>
      </c>
      <c r="AC25" s="29" t="str">
        <f t="shared" si="2"/>
        <v>المتوسط الأول</v>
      </c>
      <c r="AE25" s="51">
        <f>'2 ALIYAH G'!U25</f>
        <v>2</v>
      </c>
      <c r="AF25" s="51" t="str">
        <f t="shared" si="6"/>
        <v>-</v>
      </c>
      <c r="AG25" s="52">
        <f t="shared" si="7"/>
        <v>2</v>
      </c>
      <c r="AI25" s="51" t="str">
        <f>'2 ALIYAH G'!V25</f>
        <v>-</v>
      </c>
      <c r="AJ25" s="51" t="str">
        <f t="shared" si="8"/>
        <v>-</v>
      </c>
      <c r="AK25" s="52">
        <f t="shared" si="9"/>
        <v>0</v>
      </c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  <c r="DK25" s="59"/>
      <c r="DL25" s="59"/>
      <c r="DM25" s="59"/>
      <c r="DN25" s="59"/>
      <c r="DO25" s="59"/>
      <c r="DP25" s="59"/>
      <c r="DQ25" s="59"/>
      <c r="DR25" s="59"/>
      <c r="DS25" s="59"/>
      <c r="DT25" s="59"/>
      <c r="DU25" s="59"/>
      <c r="DV25" s="59"/>
      <c r="DW25" s="59"/>
      <c r="DX25" s="59"/>
      <c r="DY25" s="59"/>
      <c r="DZ25" s="59"/>
      <c r="EA25" s="59"/>
      <c r="EB25" s="59"/>
      <c r="EC25" s="59"/>
      <c r="ED25" s="59"/>
      <c r="EE25" s="59"/>
      <c r="EF25" s="59"/>
      <c r="EG25" s="59"/>
      <c r="EH25" s="59"/>
      <c r="EI25" s="59"/>
      <c r="EJ25" s="59"/>
      <c r="EK25" s="59"/>
      <c r="EL25" s="59"/>
      <c r="EM25" s="59"/>
      <c r="EN25" s="59"/>
      <c r="EO25" s="59"/>
      <c r="EP25" s="59"/>
      <c r="EQ25" s="59"/>
      <c r="ER25" s="59"/>
      <c r="ES25" s="59"/>
      <c r="ET25" s="59"/>
      <c r="EU25" s="59"/>
      <c r="EV25" s="59"/>
      <c r="EW25" s="59"/>
      <c r="EX25" s="59"/>
      <c r="EY25" s="59"/>
      <c r="EZ25" s="59"/>
      <c r="FA25" s="59"/>
      <c r="FB25" s="59"/>
      <c r="FC25" s="59"/>
      <c r="FD25" s="59"/>
      <c r="FE25" s="59"/>
      <c r="FF25" s="59"/>
      <c r="FG25" s="59"/>
      <c r="FH25" s="59"/>
      <c r="FI25" s="59"/>
      <c r="FJ25" s="59"/>
      <c r="FK25" s="59"/>
      <c r="FL25" s="59"/>
      <c r="FM25" s="59"/>
      <c r="FN25" s="59"/>
      <c r="FO25" s="59"/>
      <c r="FP25" s="59"/>
      <c r="FQ25" s="59"/>
      <c r="FR25" s="59"/>
      <c r="FS25" s="59"/>
      <c r="FT25" s="59"/>
      <c r="FU25" s="59"/>
      <c r="FV25" s="59"/>
      <c r="FW25" s="59"/>
      <c r="FX25" s="59"/>
      <c r="FY25" s="59"/>
      <c r="FZ25" s="59"/>
      <c r="GA25" s="59"/>
      <c r="GB25" s="59"/>
      <c r="GC25" s="59"/>
      <c r="GD25" s="59"/>
      <c r="GE25" s="59"/>
      <c r="GF25" s="59"/>
      <c r="GG25" s="59"/>
      <c r="GH25" s="59"/>
    </row>
    <row r="26" spans="1:190" s="1" customFormat="1" ht="25.15" customHeight="1" thickBot="1" x14ac:dyDescent="0.3">
      <c r="A26" s="208" t="s">
        <v>39</v>
      </c>
      <c r="B26" s="124" t="s">
        <v>317</v>
      </c>
      <c r="C26" s="134">
        <v>2816</v>
      </c>
      <c r="D26" s="19" t="s">
        <v>38</v>
      </c>
      <c r="E26" s="3" t="str">
        <f t="shared" si="3"/>
        <v>٩</v>
      </c>
      <c r="F26" s="3">
        <v>9</v>
      </c>
      <c r="G26" s="3" t="s">
        <v>56</v>
      </c>
      <c r="H26" s="3">
        <v>9</v>
      </c>
      <c r="I26" s="3">
        <v>9</v>
      </c>
      <c r="J26" s="3">
        <v>9</v>
      </c>
      <c r="K26" s="3">
        <v>8</v>
      </c>
      <c r="L26" s="3">
        <v>9</v>
      </c>
      <c r="M26" s="3">
        <v>7</v>
      </c>
      <c r="N26" s="3">
        <v>9</v>
      </c>
      <c r="O26" s="3">
        <v>9</v>
      </c>
      <c r="P26" s="3">
        <v>8</v>
      </c>
      <c r="Q26" s="3">
        <v>8</v>
      </c>
      <c r="R26" s="3">
        <v>8</v>
      </c>
      <c r="S26" s="3">
        <v>8</v>
      </c>
      <c r="T26" s="4">
        <f t="shared" si="4"/>
        <v>110</v>
      </c>
      <c r="U26" s="44" t="s">
        <v>56</v>
      </c>
      <c r="V26" s="44" t="s">
        <v>56</v>
      </c>
      <c r="X26" s="27">
        <f>'2 ALIYAH H'!T26</f>
        <v>107</v>
      </c>
      <c r="Y26" s="27">
        <f t="shared" si="0"/>
        <v>110</v>
      </c>
      <c r="Z26" s="28">
        <f t="shared" si="1"/>
        <v>217</v>
      </c>
      <c r="AA26" s="27">
        <v>26</v>
      </c>
      <c r="AB26" s="28">
        <f t="shared" si="5"/>
        <v>8</v>
      </c>
      <c r="AC26" s="29" t="str">
        <f t="shared" si="2"/>
        <v>الجيد الثاني</v>
      </c>
      <c r="AE26" s="51">
        <f>'2 ALIYAH G'!U26</f>
        <v>1</v>
      </c>
      <c r="AF26" s="51" t="str">
        <f t="shared" si="6"/>
        <v>-</v>
      </c>
      <c r="AG26" s="52">
        <f t="shared" si="7"/>
        <v>1</v>
      </c>
      <c r="AI26" s="51" t="str">
        <f>'2 ALIYAH G'!V26</f>
        <v>-</v>
      </c>
      <c r="AJ26" s="51" t="str">
        <f t="shared" si="8"/>
        <v>-</v>
      </c>
      <c r="AK26" s="52">
        <f t="shared" si="9"/>
        <v>0</v>
      </c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59"/>
      <c r="DE26" s="59"/>
      <c r="DF26" s="59"/>
      <c r="DG26" s="59"/>
      <c r="DH26" s="59"/>
      <c r="DI26" s="59"/>
      <c r="DJ26" s="59"/>
      <c r="DK26" s="59"/>
      <c r="DL26" s="59"/>
      <c r="DM26" s="59"/>
      <c r="DN26" s="59"/>
      <c r="DO26" s="59"/>
      <c r="DP26" s="59"/>
      <c r="DQ26" s="59"/>
      <c r="DR26" s="59"/>
      <c r="DS26" s="59"/>
      <c r="DT26" s="59"/>
      <c r="DU26" s="59"/>
      <c r="DV26" s="59"/>
      <c r="DW26" s="59"/>
      <c r="DX26" s="59"/>
      <c r="DY26" s="59"/>
      <c r="DZ26" s="59"/>
      <c r="EA26" s="59"/>
      <c r="EB26" s="59"/>
      <c r="EC26" s="59"/>
      <c r="ED26" s="59"/>
      <c r="EE26" s="59"/>
      <c r="EF26" s="59"/>
      <c r="EG26" s="59"/>
      <c r="EH26" s="59"/>
      <c r="EI26" s="59"/>
      <c r="EJ26" s="59"/>
      <c r="EK26" s="59"/>
      <c r="EL26" s="59"/>
      <c r="EM26" s="59"/>
      <c r="EN26" s="59"/>
      <c r="EO26" s="59"/>
      <c r="EP26" s="59"/>
      <c r="EQ26" s="59"/>
      <c r="ER26" s="59"/>
      <c r="ES26" s="59"/>
      <c r="ET26" s="59"/>
      <c r="EU26" s="59"/>
      <c r="EV26" s="59"/>
      <c r="EW26" s="59"/>
      <c r="EX26" s="59"/>
      <c r="EY26" s="59"/>
      <c r="EZ26" s="59"/>
      <c r="FA26" s="59"/>
      <c r="FB26" s="59"/>
      <c r="FC26" s="59"/>
      <c r="FD26" s="59"/>
      <c r="FE26" s="59"/>
      <c r="FF26" s="59"/>
      <c r="FG26" s="59"/>
      <c r="FH26" s="59"/>
      <c r="FI26" s="59"/>
      <c r="FJ26" s="59"/>
      <c r="FK26" s="59"/>
      <c r="FL26" s="59"/>
      <c r="FM26" s="59"/>
      <c r="FN26" s="59"/>
      <c r="FO26" s="59"/>
      <c r="FP26" s="59"/>
      <c r="FQ26" s="59"/>
      <c r="FR26" s="59"/>
      <c r="FS26" s="59"/>
      <c r="FT26" s="59"/>
      <c r="FU26" s="59"/>
      <c r="FV26" s="59"/>
      <c r="FW26" s="59"/>
      <c r="FX26" s="59"/>
      <c r="FY26" s="59"/>
      <c r="FZ26" s="59"/>
      <c r="GA26" s="59"/>
      <c r="GB26" s="59"/>
      <c r="GC26" s="59"/>
      <c r="GD26" s="59"/>
      <c r="GE26" s="59"/>
      <c r="GF26" s="59"/>
      <c r="GG26" s="59"/>
      <c r="GH26" s="59"/>
    </row>
    <row r="27" spans="1:190" s="62" customFormat="1" ht="25.15" customHeight="1" thickBot="1" x14ac:dyDescent="0.3">
      <c r="A27" s="243" t="s">
        <v>40</v>
      </c>
      <c r="B27" s="149" t="s">
        <v>318</v>
      </c>
      <c r="C27" s="84">
        <v>2846</v>
      </c>
      <c r="D27" s="150" t="s">
        <v>39</v>
      </c>
      <c r="E27" s="151" t="str">
        <f t="shared" si="3"/>
        <v>٨</v>
      </c>
      <c r="F27" s="151">
        <v>8</v>
      </c>
      <c r="G27" s="151" t="s">
        <v>56</v>
      </c>
      <c r="H27" s="151">
        <v>8</v>
      </c>
      <c r="I27" s="151">
        <v>9</v>
      </c>
      <c r="J27" s="151">
        <v>7</v>
      </c>
      <c r="K27" s="151">
        <v>7</v>
      </c>
      <c r="L27" s="151">
        <v>7</v>
      </c>
      <c r="M27" s="151">
        <v>5</v>
      </c>
      <c r="N27" s="151">
        <v>7</v>
      </c>
      <c r="O27" s="151">
        <v>8</v>
      </c>
      <c r="P27" s="151">
        <v>8</v>
      </c>
      <c r="Q27" s="151">
        <v>8</v>
      </c>
      <c r="R27" s="151">
        <v>8</v>
      </c>
      <c r="S27" s="151">
        <v>8</v>
      </c>
      <c r="T27" s="4">
        <f t="shared" si="4"/>
        <v>98</v>
      </c>
      <c r="U27" s="152" t="s">
        <v>56</v>
      </c>
      <c r="V27" s="152" t="s">
        <v>56</v>
      </c>
      <c r="X27" s="27">
        <f>'2 ALIYAH H'!T27</f>
        <v>84</v>
      </c>
      <c r="Y27" s="27">
        <f t="shared" si="0"/>
        <v>98</v>
      </c>
      <c r="Z27" s="60">
        <f t="shared" si="1"/>
        <v>182</v>
      </c>
      <c r="AA27" s="27">
        <v>26</v>
      </c>
      <c r="AB27" s="60">
        <f t="shared" si="5"/>
        <v>7</v>
      </c>
      <c r="AC27" s="29" t="str">
        <f t="shared" si="2"/>
        <v>المتوسط الأول</v>
      </c>
      <c r="AE27" s="61" t="str">
        <f>'2 ALIYAH G'!U27</f>
        <v>-</v>
      </c>
      <c r="AF27" s="61" t="str">
        <f t="shared" si="6"/>
        <v>-</v>
      </c>
      <c r="AG27" s="52">
        <f t="shared" si="7"/>
        <v>0</v>
      </c>
      <c r="AH27" s="59"/>
      <c r="AI27" s="61" t="str">
        <f>'2 ALIYAH G'!V27</f>
        <v>-</v>
      </c>
      <c r="AJ27" s="61" t="str">
        <f t="shared" si="8"/>
        <v>-</v>
      </c>
      <c r="AK27" s="52">
        <f t="shared" si="9"/>
        <v>0</v>
      </c>
    </row>
    <row r="28" spans="1:190" s="2" customFormat="1" ht="25.15" customHeight="1" thickBot="1" x14ac:dyDescent="0.3">
      <c r="A28" s="208" t="s">
        <v>41</v>
      </c>
      <c r="B28" s="124" t="s">
        <v>319</v>
      </c>
      <c r="C28" s="84">
        <v>2783</v>
      </c>
      <c r="D28" s="19" t="s">
        <v>40</v>
      </c>
      <c r="E28" s="3" t="str">
        <f t="shared" si="3"/>
        <v>٨</v>
      </c>
      <c r="F28" s="3">
        <v>8</v>
      </c>
      <c r="G28" s="3" t="s">
        <v>56</v>
      </c>
      <c r="H28" s="3">
        <v>9</v>
      </c>
      <c r="I28" s="3">
        <v>9</v>
      </c>
      <c r="J28" s="3">
        <v>9</v>
      </c>
      <c r="K28" s="3">
        <v>7</v>
      </c>
      <c r="L28" s="3">
        <v>9</v>
      </c>
      <c r="M28" s="3">
        <v>9</v>
      </c>
      <c r="N28" s="3">
        <v>8</v>
      </c>
      <c r="O28" s="3">
        <v>8</v>
      </c>
      <c r="P28" s="3">
        <v>8</v>
      </c>
      <c r="Q28" s="3">
        <v>8</v>
      </c>
      <c r="R28" s="3">
        <v>8</v>
      </c>
      <c r="S28" s="3">
        <v>8</v>
      </c>
      <c r="T28" s="4">
        <f t="shared" si="4"/>
        <v>108</v>
      </c>
      <c r="U28" s="44" t="s">
        <v>56</v>
      </c>
      <c r="V28" s="44" t="s">
        <v>56</v>
      </c>
      <c r="X28" s="27">
        <f>'2 ALIYAH H'!T28</f>
        <v>107</v>
      </c>
      <c r="Y28" s="27">
        <f t="shared" si="0"/>
        <v>108</v>
      </c>
      <c r="Z28" s="28">
        <f t="shared" si="1"/>
        <v>215</v>
      </c>
      <c r="AA28" s="27">
        <v>26</v>
      </c>
      <c r="AB28" s="28">
        <f t="shared" si="5"/>
        <v>8</v>
      </c>
      <c r="AC28" s="29" t="str">
        <f t="shared" si="2"/>
        <v>الجيد الثاني</v>
      </c>
      <c r="AE28" s="51">
        <f>'2 ALIYAH G'!U28</f>
        <v>2</v>
      </c>
      <c r="AF28" s="51" t="str">
        <f t="shared" si="6"/>
        <v>-</v>
      </c>
      <c r="AG28" s="52">
        <f t="shared" si="7"/>
        <v>2</v>
      </c>
      <c r="AH28" s="1"/>
      <c r="AI28" s="51" t="str">
        <f>'2 ALIYAH G'!V28</f>
        <v>-</v>
      </c>
      <c r="AJ28" s="51" t="str">
        <f t="shared" si="8"/>
        <v>-</v>
      </c>
      <c r="AK28" s="52">
        <f t="shared" si="9"/>
        <v>0</v>
      </c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2"/>
      <c r="CF28" s="62"/>
      <c r="CG28" s="62"/>
      <c r="CH28" s="62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H28" s="62"/>
      <c r="DI28" s="62"/>
      <c r="DJ28" s="62"/>
      <c r="DK28" s="62"/>
      <c r="DL28" s="62"/>
      <c r="DM28" s="62"/>
      <c r="DN28" s="62"/>
      <c r="DO28" s="62"/>
      <c r="DP28" s="62"/>
      <c r="DQ28" s="62"/>
      <c r="DR28" s="62"/>
      <c r="DS28" s="62"/>
      <c r="DT28" s="62"/>
      <c r="DU28" s="62"/>
      <c r="DV28" s="62"/>
      <c r="DW28" s="62"/>
      <c r="DX28" s="62"/>
      <c r="DY28" s="62"/>
      <c r="DZ28" s="62"/>
      <c r="EA28" s="62"/>
      <c r="EB28" s="62"/>
      <c r="EC28" s="62"/>
      <c r="ED28" s="62"/>
      <c r="EE28" s="62"/>
      <c r="EF28" s="62"/>
      <c r="EG28" s="62"/>
      <c r="EH28" s="62"/>
      <c r="EI28" s="62"/>
      <c r="EJ28" s="62"/>
      <c r="EK28" s="62"/>
      <c r="EL28" s="62"/>
      <c r="EM28" s="62"/>
      <c r="EN28" s="62"/>
      <c r="EO28" s="62"/>
      <c r="EP28" s="62"/>
      <c r="EQ28" s="62"/>
      <c r="ER28" s="62"/>
      <c r="ES28" s="62"/>
      <c r="ET28" s="62"/>
      <c r="EU28" s="62"/>
      <c r="EV28" s="62"/>
      <c r="EW28" s="62"/>
      <c r="EX28" s="62"/>
      <c r="EY28" s="62"/>
      <c r="EZ28" s="62"/>
      <c r="FA28" s="62"/>
      <c r="FB28" s="62"/>
      <c r="FC28" s="62"/>
      <c r="FD28" s="62"/>
      <c r="FE28" s="62"/>
      <c r="FF28" s="62"/>
      <c r="FG28" s="62"/>
      <c r="FH28" s="62"/>
      <c r="FI28" s="62"/>
      <c r="FJ28" s="62"/>
      <c r="FK28" s="62"/>
      <c r="FL28" s="62"/>
      <c r="FM28" s="62"/>
      <c r="FN28" s="62"/>
      <c r="FO28" s="62"/>
      <c r="FP28" s="62"/>
      <c r="FQ28" s="62"/>
      <c r="FR28" s="62"/>
      <c r="FS28" s="62"/>
      <c r="FT28" s="62"/>
      <c r="FU28" s="62"/>
      <c r="FV28" s="62"/>
      <c r="FW28" s="62"/>
      <c r="FX28" s="62"/>
      <c r="FY28" s="62"/>
      <c r="FZ28" s="62"/>
      <c r="GA28" s="62"/>
      <c r="GB28" s="62"/>
      <c r="GC28" s="62"/>
      <c r="GD28" s="62"/>
      <c r="GE28" s="62"/>
      <c r="GF28" s="62"/>
      <c r="GG28" s="62"/>
      <c r="GH28" s="62"/>
    </row>
    <row r="29" spans="1:190" s="62" customFormat="1" ht="25.15" customHeight="1" thickBot="1" x14ac:dyDescent="0.3">
      <c r="A29" s="243" t="s">
        <v>42</v>
      </c>
      <c r="B29" s="149" t="s">
        <v>320</v>
      </c>
      <c r="C29" s="205">
        <v>2908</v>
      </c>
      <c r="D29" s="150" t="s">
        <v>41</v>
      </c>
      <c r="E29" s="151" t="str">
        <f t="shared" si="3"/>
        <v>٥</v>
      </c>
      <c r="F29" s="151">
        <v>5</v>
      </c>
      <c r="G29" s="151" t="s">
        <v>56</v>
      </c>
      <c r="H29" s="151">
        <v>8</v>
      </c>
      <c r="I29" s="151">
        <v>8</v>
      </c>
      <c r="J29" s="151">
        <v>5</v>
      </c>
      <c r="K29" s="151">
        <v>6</v>
      </c>
      <c r="L29" s="151">
        <v>5</v>
      </c>
      <c r="M29" s="151">
        <v>8</v>
      </c>
      <c r="N29" s="151">
        <v>7</v>
      </c>
      <c r="O29" s="151">
        <v>6</v>
      </c>
      <c r="P29" s="151">
        <v>8</v>
      </c>
      <c r="Q29" s="151">
        <v>7</v>
      </c>
      <c r="R29" s="151">
        <v>8</v>
      </c>
      <c r="S29" s="151">
        <v>8</v>
      </c>
      <c r="T29" s="4">
        <f t="shared" si="4"/>
        <v>89</v>
      </c>
      <c r="U29" s="152">
        <v>1</v>
      </c>
      <c r="V29" s="152" t="s">
        <v>56</v>
      </c>
      <c r="X29" s="27">
        <f>'2 ALIYAH H'!T29</f>
        <v>89</v>
      </c>
      <c r="Y29" s="27">
        <f t="shared" si="0"/>
        <v>89</v>
      </c>
      <c r="Z29" s="60">
        <f t="shared" si="1"/>
        <v>178</v>
      </c>
      <c r="AA29" s="27">
        <v>26</v>
      </c>
      <c r="AB29" s="60">
        <f t="shared" si="5"/>
        <v>7</v>
      </c>
      <c r="AC29" s="29" t="str">
        <f t="shared" si="2"/>
        <v>المتوسط الأول</v>
      </c>
      <c r="AE29" s="61">
        <f>'2 ALIYAH G'!U29</f>
        <v>4</v>
      </c>
      <c r="AF29" s="61">
        <f t="shared" si="6"/>
        <v>1</v>
      </c>
      <c r="AG29" s="52">
        <f t="shared" si="7"/>
        <v>5</v>
      </c>
      <c r="AH29" s="59"/>
      <c r="AI29" s="61" t="str">
        <f>'2 ALIYAH G'!V29</f>
        <v>-</v>
      </c>
      <c r="AJ29" s="61" t="str">
        <f t="shared" si="8"/>
        <v>-</v>
      </c>
      <c r="AK29" s="52">
        <f t="shared" si="9"/>
        <v>0</v>
      </c>
    </row>
    <row r="30" spans="1:190" s="62" customFormat="1" ht="25.15" customHeight="1" thickBot="1" x14ac:dyDescent="0.3">
      <c r="A30" s="243" t="s">
        <v>43</v>
      </c>
      <c r="B30" s="149" t="s">
        <v>321</v>
      </c>
      <c r="C30" s="84">
        <v>2713</v>
      </c>
      <c r="D30" s="150" t="s">
        <v>42</v>
      </c>
      <c r="E30" s="151" t="str">
        <f t="shared" si="3"/>
        <v>٩</v>
      </c>
      <c r="F30" s="151">
        <v>9</v>
      </c>
      <c r="G30" s="151" t="s">
        <v>56</v>
      </c>
      <c r="H30" s="151">
        <v>9</v>
      </c>
      <c r="I30" s="151">
        <v>9</v>
      </c>
      <c r="J30" s="151">
        <v>9</v>
      </c>
      <c r="K30" s="151">
        <v>9</v>
      </c>
      <c r="L30" s="151">
        <v>9</v>
      </c>
      <c r="M30" s="151">
        <v>9</v>
      </c>
      <c r="N30" s="151">
        <v>9</v>
      </c>
      <c r="O30" s="151">
        <v>9</v>
      </c>
      <c r="P30" s="151">
        <v>8</v>
      </c>
      <c r="Q30" s="151">
        <v>8</v>
      </c>
      <c r="R30" s="151">
        <v>8</v>
      </c>
      <c r="S30" s="151">
        <v>8</v>
      </c>
      <c r="T30" s="4">
        <f t="shared" si="4"/>
        <v>113</v>
      </c>
      <c r="U30" s="152" t="s">
        <v>56</v>
      </c>
      <c r="V30" s="152" t="s">
        <v>56</v>
      </c>
      <c r="X30" s="27">
        <f>'2 ALIYAH H'!T30</f>
        <v>111</v>
      </c>
      <c r="Y30" s="27">
        <f t="shared" si="0"/>
        <v>113</v>
      </c>
      <c r="Z30" s="60">
        <f t="shared" si="1"/>
        <v>224</v>
      </c>
      <c r="AA30" s="27">
        <v>26</v>
      </c>
      <c r="AB30" s="60">
        <f t="shared" si="5"/>
        <v>9</v>
      </c>
      <c r="AC30" s="29" t="str">
        <f t="shared" si="2"/>
        <v>الجيد الأول</v>
      </c>
      <c r="AE30" s="61">
        <f>'2 ALIYAH G'!U30</f>
        <v>1</v>
      </c>
      <c r="AF30" s="61" t="str">
        <f t="shared" si="6"/>
        <v>-</v>
      </c>
      <c r="AG30" s="52">
        <f t="shared" si="7"/>
        <v>1</v>
      </c>
      <c r="AH30" s="59"/>
      <c r="AI30" s="61" t="str">
        <f>'2 ALIYAH G'!V30</f>
        <v>-</v>
      </c>
      <c r="AJ30" s="61" t="str">
        <f t="shared" si="8"/>
        <v>-</v>
      </c>
      <c r="AK30" s="52">
        <f t="shared" si="9"/>
        <v>0</v>
      </c>
    </row>
    <row r="31" spans="1:190" s="62" customFormat="1" ht="25.15" customHeight="1" thickBot="1" x14ac:dyDescent="0.3">
      <c r="A31" s="243" t="s">
        <v>44</v>
      </c>
      <c r="B31" s="149" t="s">
        <v>322</v>
      </c>
      <c r="C31" s="84">
        <v>2818</v>
      </c>
      <c r="D31" s="150" t="s">
        <v>43</v>
      </c>
      <c r="E31" s="151" t="str">
        <f t="shared" si="3"/>
        <v>٧</v>
      </c>
      <c r="F31" s="151">
        <v>7</v>
      </c>
      <c r="G31" s="151" t="s">
        <v>56</v>
      </c>
      <c r="H31" s="151">
        <v>9</v>
      </c>
      <c r="I31" s="151">
        <v>8</v>
      </c>
      <c r="J31" s="151">
        <v>6</v>
      </c>
      <c r="K31" s="151">
        <v>8</v>
      </c>
      <c r="L31" s="151">
        <v>9</v>
      </c>
      <c r="M31" s="151">
        <v>6</v>
      </c>
      <c r="N31" s="151">
        <v>7</v>
      </c>
      <c r="O31" s="151">
        <v>8</v>
      </c>
      <c r="P31" s="151">
        <v>8</v>
      </c>
      <c r="Q31" s="151">
        <v>8</v>
      </c>
      <c r="R31" s="151">
        <v>8</v>
      </c>
      <c r="S31" s="151">
        <v>8</v>
      </c>
      <c r="T31" s="4">
        <f t="shared" si="4"/>
        <v>100</v>
      </c>
      <c r="U31" s="152" t="s">
        <v>56</v>
      </c>
      <c r="V31" s="152" t="s">
        <v>56</v>
      </c>
      <c r="X31" s="27">
        <f>'2 ALIYAH H'!T31</f>
        <v>91</v>
      </c>
      <c r="Y31" s="27">
        <f t="shared" si="0"/>
        <v>100</v>
      </c>
      <c r="Z31" s="60">
        <f t="shared" si="1"/>
        <v>191</v>
      </c>
      <c r="AA31" s="27">
        <v>26</v>
      </c>
      <c r="AB31" s="60">
        <f t="shared" si="5"/>
        <v>7</v>
      </c>
      <c r="AC31" s="29" t="str">
        <f t="shared" si="2"/>
        <v>المتوسط الأول</v>
      </c>
      <c r="AE31" s="61">
        <f>'2 ALIYAH G'!U31</f>
        <v>2</v>
      </c>
      <c r="AF31" s="61" t="str">
        <f t="shared" si="6"/>
        <v>-</v>
      </c>
      <c r="AG31" s="52">
        <f t="shared" si="7"/>
        <v>2</v>
      </c>
      <c r="AH31" s="59"/>
      <c r="AI31" s="61" t="str">
        <f>'2 ALIYAH G'!V31</f>
        <v>-</v>
      </c>
      <c r="AJ31" s="61" t="str">
        <f t="shared" si="8"/>
        <v>-</v>
      </c>
      <c r="AK31" s="52">
        <f t="shared" si="9"/>
        <v>0</v>
      </c>
    </row>
    <row r="32" spans="1:190" s="62" customFormat="1" ht="25.15" customHeight="1" thickBot="1" x14ac:dyDescent="0.3">
      <c r="A32" s="243" t="s">
        <v>45</v>
      </c>
      <c r="B32" s="149" t="s">
        <v>323</v>
      </c>
      <c r="C32" s="84">
        <v>2715</v>
      </c>
      <c r="D32" s="150" t="s">
        <v>44</v>
      </c>
      <c r="E32" s="151" t="str">
        <f t="shared" si="3"/>
        <v>٩</v>
      </c>
      <c r="F32" s="151">
        <v>9</v>
      </c>
      <c r="G32" s="151" t="s">
        <v>56</v>
      </c>
      <c r="H32" s="151">
        <v>8</v>
      </c>
      <c r="I32" s="151">
        <v>8</v>
      </c>
      <c r="J32" s="151">
        <v>9</v>
      </c>
      <c r="K32" s="151">
        <v>8</v>
      </c>
      <c r="L32" s="151">
        <v>9</v>
      </c>
      <c r="M32" s="151">
        <v>7</v>
      </c>
      <c r="N32" s="151">
        <v>7</v>
      </c>
      <c r="O32" s="151">
        <v>9</v>
      </c>
      <c r="P32" s="151">
        <v>8</v>
      </c>
      <c r="Q32" s="151">
        <v>8</v>
      </c>
      <c r="R32" s="151">
        <v>8</v>
      </c>
      <c r="S32" s="151">
        <v>8</v>
      </c>
      <c r="T32" s="4">
        <f t="shared" si="4"/>
        <v>106</v>
      </c>
      <c r="U32" s="152" t="s">
        <v>56</v>
      </c>
      <c r="V32" s="152" t="s">
        <v>56</v>
      </c>
      <c r="X32" s="27">
        <f>'2 ALIYAH H'!T32</f>
        <v>107</v>
      </c>
      <c r="Y32" s="27">
        <f t="shared" si="0"/>
        <v>106</v>
      </c>
      <c r="Z32" s="60">
        <f t="shared" si="1"/>
        <v>213</v>
      </c>
      <c r="AA32" s="27">
        <v>26</v>
      </c>
      <c r="AB32" s="60">
        <f t="shared" si="5"/>
        <v>8</v>
      </c>
      <c r="AC32" s="29" t="str">
        <f t="shared" si="2"/>
        <v>الجيد الثاني</v>
      </c>
      <c r="AE32" s="61" t="str">
        <f>'2 ALIYAH G'!U32</f>
        <v>-</v>
      </c>
      <c r="AF32" s="61" t="str">
        <f t="shared" si="6"/>
        <v>-</v>
      </c>
      <c r="AG32" s="52">
        <f t="shared" si="7"/>
        <v>0</v>
      </c>
      <c r="AH32" s="59"/>
      <c r="AI32" s="61" t="str">
        <f>'2 ALIYAH G'!V32</f>
        <v>-</v>
      </c>
      <c r="AJ32" s="61" t="str">
        <f t="shared" si="8"/>
        <v>-</v>
      </c>
      <c r="AK32" s="52">
        <f t="shared" si="9"/>
        <v>0</v>
      </c>
    </row>
    <row r="33" spans="1:190" s="2" customFormat="1" ht="25.15" customHeight="1" x14ac:dyDescent="0.3">
      <c r="A33" s="209"/>
      <c r="B33" s="10" t="s">
        <v>50</v>
      </c>
      <c r="C33" s="7"/>
      <c r="D33" s="7"/>
      <c r="E33" s="3" t="str">
        <f t="shared" si="3"/>
        <v>٢٢٣</v>
      </c>
      <c r="F33" s="38">
        <f t="shared" ref="F33:S33" si="10">SUM(F2:F32)</f>
        <v>223</v>
      </c>
      <c r="G33" s="8">
        <f t="shared" si="10"/>
        <v>0</v>
      </c>
      <c r="H33" s="8">
        <f t="shared" si="10"/>
        <v>248</v>
      </c>
      <c r="I33" s="24">
        <f t="shared" si="10"/>
        <v>246</v>
      </c>
      <c r="J33" s="8">
        <f t="shared" si="10"/>
        <v>215</v>
      </c>
      <c r="K33" s="8">
        <f t="shared" si="10"/>
        <v>202</v>
      </c>
      <c r="L33" s="8">
        <f t="shared" si="10"/>
        <v>225</v>
      </c>
      <c r="M33" s="8">
        <f t="shared" si="10"/>
        <v>199</v>
      </c>
      <c r="N33" s="8">
        <f t="shared" si="10"/>
        <v>214</v>
      </c>
      <c r="O33" s="24">
        <f t="shared" si="10"/>
        <v>232</v>
      </c>
      <c r="P33" s="8">
        <f t="shared" si="10"/>
        <v>229</v>
      </c>
      <c r="Q33" s="8">
        <f t="shared" si="10"/>
        <v>228</v>
      </c>
      <c r="R33" s="8">
        <f t="shared" si="10"/>
        <v>237</v>
      </c>
      <c r="S33" s="8">
        <f t="shared" si="10"/>
        <v>238</v>
      </c>
      <c r="T33" s="4">
        <f t="shared" si="4"/>
        <v>2936</v>
      </c>
      <c r="U33" s="44" t="s">
        <v>56</v>
      </c>
      <c r="V33" s="44" t="s">
        <v>56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2"/>
      <c r="CU33" s="62"/>
      <c r="CV33" s="62"/>
      <c r="CW33" s="62"/>
      <c r="CX33" s="62"/>
      <c r="CY33" s="62"/>
      <c r="CZ33" s="62"/>
      <c r="DA33" s="62"/>
      <c r="DB33" s="62"/>
      <c r="DC33" s="62"/>
      <c r="DD33" s="62"/>
      <c r="DE33" s="62"/>
      <c r="DF33" s="62"/>
      <c r="DG33" s="62"/>
      <c r="DH33" s="62"/>
      <c r="DI33" s="62"/>
      <c r="DJ33" s="62"/>
      <c r="DK33" s="62"/>
      <c r="DL33" s="62"/>
      <c r="DM33" s="62"/>
      <c r="DN33" s="62"/>
      <c r="DO33" s="62"/>
      <c r="DP33" s="62"/>
      <c r="DQ33" s="62"/>
      <c r="DR33" s="62"/>
      <c r="DS33" s="62"/>
      <c r="DT33" s="62"/>
      <c r="DU33" s="62"/>
      <c r="DV33" s="62"/>
      <c r="DW33" s="62"/>
      <c r="DX33" s="62"/>
      <c r="DY33" s="62"/>
      <c r="DZ33" s="62"/>
      <c r="EA33" s="62"/>
      <c r="EB33" s="62"/>
      <c r="EC33" s="62"/>
      <c r="ED33" s="62"/>
      <c r="EE33" s="62"/>
      <c r="EF33" s="62"/>
      <c r="EG33" s="62"/>
      <c r="EH33" s="62"/>
      <c r="EI33" s="62"/>
      <c r="EJ33" s="62"/>
      <c r="EK33" s="62"/>
      <c r="EL33" s="62"/>
      <c r="EM33" s="62"/>
      <c r="EN33" s="62"/>
      <c r="EO33" s="62"/>
      <c r="EP33" s="62"/>
      <c r="EQ33" s="62"/>
      <c r="ER33" s="62"/>
      <c r="ES33" s="62"/>
      <c r="ET33" s="62"/>
      <c r="EU33" s="62"/>
      <c r="EV33" s="62"/>
      <c r="EW33" s="62"/>
      <c r="EX33" s="62"/>
      <c r="EY33" s="62"/>
      <c r="EZ33" s="62"/>
      <c r="FA33" s="62"/>
      <c r="FB33" s="62"/>
      <c r="FC33" s="62"/>
      <c r="FD33" s="62"/>
      <c r="FE33" s="62"/>
      <c r="FF33" s="62"/>
      <c r="FG33" s="62"/>
      <c r="FH33" s="62"/>
      <c r="FI33" s="62"/>
      <c r="FJ33" s="62"/>
      <c r="FK33" s="62"/>
      <c r="FL33" s="62"/>
      <c r="FM33" s="62"/>
      <c r="FN33" s="62"/>
      <c r="FO33" s="62"/>
      <c r="FP33" s="62"/>
      <c r="FQ33" s="62"/>
      <c r="FR33" s="62"/>
      <c r="FS33" s="62"/>
      <c r="FT33" s="62"/>
      <c r="FU33" s="62"/>
      <c r="FV33" s="62"/>
      <c r="FW33" s="62"/>
      <c r="FX33" s="62"/>
      <c r="FY33" s="62"/>
      <c r="FZ33" s="62"/>
      <c r="GA33" s="62"/>
      <c r="GB33" s="62"/>
      <c r="GC33" s="62"/>
      <c r="GD33" s="62"/>
      <c r="GE33" s="62"/>
      <c r="GF33" s="62"/>
      <c r="GG33" s="62"/>
      <c r="GH33" s="62"/>
    </row>
    <row r="34" spans="1:190" s="2" customFormat="1" ht="25.15" customHeight="1" x14ac:dyDescent="0.25">
      <c r="B34" s="7"/>
      <c r="C34" s="7"/>
      <c r="D34" s="7"/>
      <c r="E34" s="3"/>
      <c r="F34" s="5"/>
      <c r="G34" s="5"/>
      <c r="H34" s="5"/>
      <c r="I34" s="25"/>
      <c r="J34" s="5"/>
      <c r="K34" s="5"/>
      <c r="L34" s="5"/>
      <c r="M34" s="5"/>
      <c r="N34" s="5"/>
      <c r="O34" s="25"/>
      <c r="P34" s="5"/>
      <c r="Q34" s="5"/>
      <c r="R34" s="5"/>
      <c r="S34" s="5"/>
      <c r="T34" s="5"/>
      <c r="U34" s="5"/>
      <c r="V34" s="5"/>
      <c r="W34" s="5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62"/>
      <c r="CD34" s="62"/>
      <c r="CE34" s="62"/>
      <c r="CF34" s="62"/>
      <c r="CG34" s="62"/>
      <c r="CH34" s="62"/>
      <c r="CI34" s="62"/>
      <c r="CJ34" s="62"/>
      <c r="CK34" s="62"/>
      <c r="CL34" s="62"/>
      <c r="CM34" s="62"/>
      <c r="CN34" s="62"/>
      <c r="CO34" s="62"/>
      <c r="CP34" s="62"/>
      <c r="CQ34" s="62"/>
      <c r="CR34" s="62"/>
      <c r="CS34" s="62"/>
      <c r="CT34" s="62"/>
      <c r="CU34" s="62"/>
      <c r="CV34" s="62"/>
      <c r="CW34" s="62"/>
      <c r="CX34" s="62"/>
      <c r="CY34" s="62"/>
      <c r="CZ34" s="62"/>
      <c r="DA34" s="62"/>
      <c r="DB34" s="62"/>
      <c r="DC34" s="62"/>
      <c r="DD34" s="62"/>
      <c r="DE34" s="62"/>
      <c r="DF34" s="62"/>
      <c r="DG34" s="62"/>
      <c r="DH34" s="62"/>
      <c r="DI34" s="62"/>
      <c r="DJ34" s="62"/>
      <c r="DK34" s="62"/>
      <c r="DL34" s="62"/>
      <c r="DM34" s="62"/>
      <c r="DN34" s="62"/>
      <c r="DO34" s="62"/>
      <c r="DP34" s="62"/>
      <c r="DQ34" s="62"/>
      <c r="DR34" s="62"/>
      <c r="DS34" s="62"/>
      <c r="DT34" s="62"/>
      <c r="DU34" s="62"/>
      <c r="DV34" s="62"/>
      <c r="DW34" s="62"/>
      <c r="DX34" s="62"/>
      <c r="DY34" s="62"/>
      <c r="DZ34" s="62"/>
      <c r="EA34" s="62"/>
      <c r="EB34" s="62"/>
      <c r="EC34" s="62"/>
      <c r="ED34" s="62"/>
      <c r="EE34" s="62"/>
      <c r="EF34" s="62"/>
      <c r="EG34" s="62"/>
      <c r="EH34" s="62"/>
      <c r="EI34" s="62"/>
      <c r="EJ34" s="62"/>
      <c r="EK34" s="62"/>
      <c r="EL34" s="62"/>
      <c r="EM34" s="62"/>
      <c r="EN34" s="62"/>
      <c r="EO34" s="62"/>
      <c r="EP34" s="62"/>
      <c r="EQ34" s="62"/>
      <c r="ER34" s="62"/>
      <c r="ES34" s="62"/>
      <c r="ET34" s="62"/>
      <c r="EU34" s="62"/>
      <c r="EV34" s="62"/>
      <c r="EW34" s="62"/>
      <c r="EX34" s="62"/>
      <c r="EY34" s="62"/>
      <c r="EZ34" s="62"/>
      <c r="FA34" s="62"/>
      <c r="FB34" s="62"/>
      <c r="FC34" s="62"/>
      <c r="FD34" s="62"/>
      <c r="FE34" s="62"/>
      <c r="FF34" s="62"/>
      <c r="FG34" s="62"/>
      <c r="FH34" s="62"/>
      <c r="FI34" s="62"/>
      <c r="FJ34" s="62"/>
      <c r="FK34" s="62"/>
      <c r="FL34" s="62"/>
      <c r="FM34" s="62"/>
      <c r="FN34" s="62"/>
      <c r="FO34" s="62"/>
      <c r="FP34" s="62"/>
      <c r="FQ34" s="62"/>
      <c r="FR34" s="62"/>
      <c r="FS34" s="62"/>
      <c r="FT34" s="62"/>
      <c r="FU34" s="62"/>
      <c r="FV34" s="62"/>
      <c r="FW34" s="62"/>
      <c r="FX34" s="62"/>
      <c r="FY34" s="62"/>
      <c r="FZ34" s="62"/>
      <c r="GA34" s="62"/>
      <c r="GB34" s="62"/>
      <c r="GC34" s="62"/>
      <c r="GD34" s="62"/>
      <c r="GE34" s="62"/>
      <c r="GF34" s="62"/>
      <c r="GG34" s="62"/>
      <c r="GH34" s="62"/>
    </row>
    <row r="35" spans="1:190" s="2" customFormat="1" ht="25.15" customHeight="1" x14ac:dyDescent="0.3">
      <c r="A35" s="210"/>
      <c r="B35" s="7"/>
      <c r="C35" s="210"/>
      <c r="D35" s="7"/>
      <c r="E35" s="3"/>
      <c r="F35" s="5"/>
      <c r="G35" s="5"/>
      <c r="H35" s="5"/>
      <c r="I35" s="25"/>
      <c r="J35" s="5"/>
      <c r="K35" s="5"/>
      <c r="L35" s="5"/>
      <c r="M35" s="5"/>
      <c r="N35" s="5"/>
      <c r="O35" s="25"/>
      <c r="P35" s="5"/>
      <c r="Q35" s="5"/>
      <c r="R35" s="5"/>
      <c r="S35" s="5"/>
      <c r="T35" s="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</row>
    <row r="36" spans="1:190" s="9" customFormat="1" ht="25.15" customHeight="1" x14ac:dyDescent="0.3">
      <c r="A36" s="210"/>
      <c r="B36" s="147" t="s">
        <v>333</v>
      </c>
      <c r="C36" s="7"/>
      <c r="D36" s="7"/>
      <c r="E36" s="3"/>
      <c r="F36" s="5"/>
      <c r="G36" s="5"/>
      <c r="H36" s="5"/>
      <c r="I36" s="25"/>
      <c r="J36" s="5"/>
      <c r="K36" s="5"/>
      <c r="L36" s="5"/>
      <c r="M36" s="5"/>
      <c r="N36" s="5"/>
      <c r="O36" s="25"/>
      <c r="P36" s="5"/>
      <c r="Q36" s="5"/>
      <c r="R36" s="5"/>
      <c r="S36" s="5"/>
      <c r="T36" s="5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2"/>
      <c r="DA36" s="62"/>
      <c r="DB36" s="62"/>
      <c r="DC36" s="62"/>
      <c r="DD36" s="62"/>
      <c r="DE36" s="62"/>
      <c r="DF36" s="62"/>
      <c r="DG36" s="62"/>
      <c r="DH36" s="62"/>
      <c r="DI36" s="62"/>
      <c r="DJ36" s="62"/>
      <c r="DK36" s="62"/>
      <c r="DL36" s="62"/>
      <c r="DM36" s="62"/>
      <c r="DN36" s="62"/>
      <c r="DO36" s="62"/>
      <c r="DP36" s="62"/>
      <c r="DQ36" s="62"/>
      <c r="DR36" s="62"/>
      <c r="DS36" s="62"/>
      <c r="DT36" s="62"/>
      <c r="DU36" s="62"/>
      <c r="DV36" s="62"/>
      <c r="DW36" s="62"/>
      <c r="DX36" s="62"/>
      <c r="DY36" s="62"/>
      <c r="DZ36" s="62"/>
      <c r="EA36" s="62"/>
      <c r="EB36" s="62"/>
      <c r="EC36" s="62"/>
      <c r="ED36" s="62"/>
      <c r="EE36" s="62"/>
      <c r="EF36" s="62"/>
      <c r="EG36" s="62"/>
      <c r="EH36" s="62"/>
      <c r="EI36" s="62"/>
      <c r="EJ36" s="62"/>
      <c r="EK36" s="62"/>
      <c r="EL36" s="62"/>
      <c r="EM36" s="62"/>
      <c r="EN36" s="62"/>
      <c r="EO36" s="62"/>
      <c r="EP36" s="62"/>
      <c r="EQ36" s="62"/>
      <c r="ER36" s="62"/>
      <c r="ES36" s="62"/>
      <c r="ET36" s="62"/>
      <c r="EU36" s="62"/>
      <c r="EV36" s="62"/>
      <c r="EW36" s="62"/>
      <c r="EX36" s="62"/>
      <c r="EY36" s="62"/>
      <c r="EZ36" s="62"/>
      <c r="FA36" s="62"/>
      <c r="FB36" s="62"/>
      <c r="FC36" s="62"/>
      <c r="FD36" s="62"/>
      <c r="FE36" s="62"/>
      <c r="FF36" s="62"/>
      <c r="FG36" s="62"/>
      <c r="FH36" s="62"/>
      <c r="FI36" s="62"/>
      <c r="FJ36" s="62"/>
      <c r="FK36" s="62"/>
      <c r="FL36" s="62"/>
      <c r="FM36" s="62"/>
      <c r="FN36" s="62"/>
      <c r="FO36" s="62"/>
      <c r="FP36" s="62"/>
      <c r="FQ36" s="62"/>
      <c r="FR36" s="62"/>
      <c r="FS36" s="62"/>
      <c r="FT36" s="62"/>
      <c r="FU36" s="62"/>
      <c r="FV36" s="62"/>
      <c r="FW36" s="62"/>
      <c r="FX36" s="62"/>
      <c r="FY36" s="62"/>
      <c r="FZ36" s="62"/>
      <c r="GA36" s="62"/>
      <c r="GB36" s="62"/>
      <c r="GC36" s="62"/>
      <c r="GD36" s="62"/>
      <c r="GE36" s="62"/>
      <c r="GF36" s="62"/>
      <c r="GG36" s="62"/>
      <c r="GH36" s="62"/>
    </row>
    <row r="37" spans="1:190" ht="25.15" customHeight="1" x14ac:dyDescent="0.3">
      <c r="A37" s="210"/>
      <c r="B37" s="263"/>
      <c r="C37" s="7"/>
      <c r="D37" s="7"/>
      <c r="E37" s="3"/>
      <c r="F37" s="5"/>
      <c r="G37" s="4"/>
      <c r="H37" s="14" t="s">
        <v>49</v>
      </c>
      <c r="I37" s="23"/>
      <c r="J37" s="5"/>
      <c r="K37" s="5"/>
      <c r="L37" s="5"/>
      <c r="M37" s="5"/>
      <c r="N37" s="5"/>
      <c r="O37" s="25"/>
      <c r="P37" s="5"/>
      <c r="Q37" s="5"/>
      <c r="R37" s="5"/>
      <c r="S37" s="5"/>
      <c r="T37" s="5"/>
    </row>
    <row r="38" spans="1:190" ht="25.15" customHeight="1" x14ac:dyDescent="0.3">
      <c r="A38" s="210"/>
      <c r="B38" s="263"/>
      <c r="C38" s="7"/>
      <c r="D38" s="7"/>
      <c r="E38" s="3"/>
      <c r="F38" s="5"/>
      <c r="G38" s="5"/>
      <c r="H38" s="16">
        <f>E33/D32</f>
        <v>7</v>
      </c>
      <c r="I38" s="25"/>
      <c r="J38" s="5"/>
      <c r="K38" s="5"/>
      <c r="L38" s="5"/>
      <c r="M38" s="5"/>
      <c r="N38" s="5"/>
      <c r="O38" s="25"/>
      <c r="P38" s="5"/>
      <c r="Q38" s="5"/>
      <c r="R38" s="5"/>
      <c r="S38" s="5"/>
      <c r="T38" s="5"/>
      <c r="U38" s="45"/>
    </row>
    <row r="39" spans="1:190" s="18" customFormat="1" ht="25.15" customHeight="1" x14ac:dyDescent="0.3">
      <c r="A39" s="210"/>
      <c r="B39" s="210"/>
      <c r="C39" s="210"/>
      <c r="D39" s="210"/>
      <c r="E39" s="210"/>
      <c r="F39" s="5"/>
      <c r="G39" s="5"/>
      <c r="H39" s="33" t="s">
        <v>56</v>
      </c>
      <c r="I39" s="25"/>
      <c r="K39" s="5"/>
      <c r="L39" s="5"/>
      <c r="M39" s="5"/>
      <c r="N39" s="5"/>
      <c r="O39" s="25"/>
      <c r="P39" s="5"/>
      <c r="Q39" s="5"/>
      <c r="R39" s="5"/>
      <c r="S39" s="5"/>
      <c r="T39" s="5"/>
      <c r="U39" s="45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 s="242"/>
      <c r="AM39" s="242"/>
      <c r="AN39" s="242"/>
      <c r="AO39" s="242"/>
      <c r="AP39" s="242"/>
      <c r="AQ39" s="242"/>
      <c r="AR39" s="242"/>
      <c r="AS39" s="242"/>
      <c r="AT39" s="242"/>
      <c r="AU39" s="242"/>
      <c r="AV39" s="242"/>
      <c r="AW39" s="242"/>
      <c r="AX39" s="242"/>
      <c r="AY39" s="242"/>
      <c r="AZ39" s="242"/>
      <c r="BA39" s="242"/>
      <c r="BB39" s="242"/>
      <c r="BC39" s="242"/>
      <c r="BD39" s="242"/>
      <c r="BE39" s="242"/>
      <c r="BF39" s="242"/>
      <c r="BG39" s="242"/>
      <c r="BH39" s="242"/>
      <c r="BI39" s="242"/>
      <c r="BJ39" s="242"/>
      <c r="BK39" s="242"/>
      <c r="BL39" s="242"/>
      <c r="BM39" s="242"/>
      <c r="BN39" s="242"/>
      <c r="BO39" s="242"/>
      <c r="BP39" s="242"/>
      <c r="BQ39" s="242"/>
      <c r="BR39" s="242"/>
      <c r="BS39" s="242"/>
      <c r="BT39" s="242"/>
      <c r="BU39" s="242"/>
      <c r="BV39" s="242"/>
      <c r="BW39" s="242"/>
      <c r="BX39" s="242"/>
      <c r="BY39" s="242"/>
      <c r="BZ39" s="242"/>
      <c r="CA39" s="242"/>
      <c r="CB39" s="242"/>
      <c r="CC39" s="242"/>
      <c r="CD39" s="242"/>
      <c r="CE39" s="242"/>
      <c r="CF39" s="242"/>
      <c r="CG39" s="242"/>
      <c r="CH39" s="242"/>
      <c r="CI39" s="242"/>
      <c r="CJ39" s="242"/>
      <c r="CK39" s="242"/>
      <c r="CL39" s="242"/>
      <c r="CM39" s="242"/>
      <c r="CN39" s="242"/>
      <c r="CO39" s="242"/>
      <c r="CP39" s="242"/>
      <c r="CQ39" s="242"/>
      <c r="CR39" s="242"/>
      <c r="CS39" s="242"/>
      <c r="CT39" s="242"/>
      <c r="CU39" s="242"/>
      <c r="CV39" s="242"/>
      <c r="CW39" s="242"/>
      <c r="CX39" s="242"/>
      <c r="CY39" s="242"/>
      <c r="CZ39" s="242"/>
      <c r="DA39" s="242"/>
      <c r="DB39" s="242"/>
      <c r="DC39" s="242"/>
      <c r="DD39" s="242"/>
      <c r="DE39" s="242"/>
      <c r="DF39" s="242"/>
      <c r="DG39" s="242"/>
      <c r="DH39" s="242"/>
      <c r="DI39" s="242"/>
      <c r="DJ39" s="242"/>
      <c r="DK39" s="242"/>
      <c r="DL39" s="242"/>
      <c r="DM39" s="242"/>
      <c r="DN39" s="242"/>
      <c r="DO39" s="242"/>
      <c r="DP39" s="242"/>
      <c r="DQ39" s="242"/>
      <c r="DR39" s="242"/>
      <c r="DS39" s="242"/>
      <c r="DT39" s="242"/>
      <c r="DU39" s="242"/>
      <c r="DV39" s="242"/>
      <c r="DW39" s="242"/>
      <c r="DX39" s="242"/>
      <c r="DY39" s="242"/>
      <c r="DZ39" s="242"/>
      <c r="EA39" s="242"/>
      <c r="EB39" s="242"/>
      <c r="EC39" s="242"/>
      <c r="ED39" s="242"/>
      <c r="EE39" s="242"/>
      <c r="EF39" s="242"/>
      <c r="EG39" s="242"/>
      <c r="EH39" s="242"/>
      <c r="EI39" s="242"/>
      <c r="EJ39" s="242"/>
      <c r="EK39" s="242"/>
      <c r="EL39" s="242"/>
      <c r="EM39" s="242"/>
      <c r="EN39" s="242"/>
      <c r="EO39" s="242"/>
      <c r="EP39" s="242"/>
      <c r="EQ39" s="242"/>
      <c r="ER39" s="242"/>
      <c r="ES39" s="242"/>
      <c r="ET39" s="242"/>
      <c r="EU39" s="242"/>
      <c r="EV39" s="242"/>
      <c r="EW39" s="242"/>
      <c r="EX39" s="242"/>
      <c r="EY39" s="242"/>
      <c r="EZ39" s="242"/>
      <c r="FA39" s="242"/>
      <c r="FB39" s="242"/>
      <c r="FC39" s="242"/>
      <c r="FD39" s="242"/>
      <c r="FE39" s="242"/>
      <c r="FF39" s="242"/>
      <c r="FG39" s="242"/>
      <c r="FH39" s="242"/>
      <c r="FI39" s="242"/>
      <c r="FJ39" s="242"/>
      <c r="FK39" s="242"/>
      <c r="FL39" s="242"/>
      <c r="FM39" s="242"/>
      <c r="FN39" s="242"/>
      <c r="FO39" s="242"/>
      <c r="FP39" s="242"/>
      <c r="FQ39" s="242"/>
      <c r="FR39" s="242"/>
      <c r="FS39" s="242"/>
      <c r="FT39" s="242"/>
      <c r="FU39" s="242"/>
      <c r="FV39" s="242"/>
      <c r="FW39" s="242"/>
      <c r="FX39" s="242"/>
      <c r="FY39" s="242"/>
      <c r="FZ39" s="242"/>
      <c r="GA39" s="242"/>
      <c r="GB39" s="242"/>
      <c r="GC39" s="242"/>
      <c r="GD39" s="242"/>
      <c r="GE39" s="242"/>
      <c r="GF39" s="242"/>
      <c r="GG39" s="242"/>
      <c r="GH39" s="242"/>
    </row>
    <row r="40" spans="1:190" s="18" customFormat="1" ht="25.15" customHeight="1" x14ac:dyDescent="0.3">
      <c r="A40" s="210"/>
      <c r="B40" s="210"/>
      <c r="C40" s="210"/>
      <c r="D40" s="210"/>
      <c r="E40" s="210"/>
      <c r="F40" s="5"/>
      <c r="G40" s="5"/>
      <c r="H40" s="16">
        <f>H33/D32</f>
        <v>8</v>
      </c>
      <c r="I40" s="25"/>
      <c r="J40" s="5"/>
      <c r="K40" s="5"/>
      <c r="L40" s="5"/>
      <c r="M40" s="5"/>
      <c r="N40" s="5"/>
      <c r="O40" s="25"/>
      <c r="P40" s="5"/>
      <c r="Q40" s="5"/>
      <c r="R40" s="5"/>
      <c r="S40" s="5"/>
      <c r="T40" s="5"/>
      <c r="U40" s="45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 s="242"/>
      <c r="AM40" s="242"/>
      <c r="AN40" s="242"/>
      <c r="AO40" s="242"/>
      <c r="AP40" s="242"/>
      <c r="AQ40" s="242"/>
      <c r="AR40" s="242"/>
      <c r="AS40" s="242"/>
      <c r="AT40" s="242"/>
      <c r="AU40" s="242"/>
      <c r="AV40" s="242"/>
      <c r="AW40" s="242"/>
      <c r="AX40" s="242"/>
      <c r="AY40" s="242"/>
      <c r="AZ40" s="242"/>
      <c r="BA40" s="242"/>
      <c r="BB40" s="242"/>
      <c r="BC40" s="242"/>
      <c r="BD40" s="242"/>
      <c r="BE40" s="242"/>
      <c r="BF40" s="242"/>
      <c r="BG40" s="242"/>
      <c r="BH40" s="242"/>
      <c r="BI40" s="242"/>
      <c r="BJ40" s="242"/>
      <c r="BK40" s="242"/>
      <c r="BL40" s="242"/>
      <c r="BM40" s="242"/>
      <c r="BN40" s="242"/>
      <c r="BO40" s="242"/>
      <c r="BP40" s="242"/>
      <c r="BQ40" s="242"/>
      <c r="BR40" s="242"/>
      <c r="BS40" s="242"/>
      <c r="BT40" s="242"/>
      <c r="BU40" s="242"/>
      <c r="BV40" s="242"/>
      <c r="BW40" s="242"/>
      <c r="BX40" s="242"/>
      <c r="BY40" s="242"/>
      <c r="BZ40" s="242"/>
      <c r="CA40" s="242"/>
      <c r="CB40" s="242"/>
      <c r="CC40" s="242"/>
      <c r="CD40" s="242"/>
      <c r="CE40" s="242"/>
      <c r="CF40" s="242"/>
      <c r="CG40" s="242"/>
      <c r="CH40" s="242"/>
      <c r="CI40" s="242"/>
      <c r="CJ40" s="242"/>
      <c r="CK40" s="242"/>
      <c r="CL40" s="242"/>
      <c r="CM40" s="242"/>
      <c r="CN40" s="242"/>
      <c r="CO40" s="242"/>
      <c r="CP40" s="242"/>
      <c r="CQ40" s="242"/>
      <c r="CR40" s="242"/>
      <c r="CS40" s="242"/>
      <c r="CT40" s="242"/>
      <c r="CU40" s="242"/>
      <c r="CV40" s="242"/>
      <c r="CW40" s="242"/>
      <c r="CX40" s="242"/>
      <c r="CY40" s="242"/>
      <c r="CZ40" s="242"/>
      <c r="DA40" s="242"/>
      <c r="DB40" s="242"/>
      <c r="DC40" s="242"/>
      <c r="DD40" s="242"/>
      <c r="DE40" s="242"/>
      <c r="DF40" s="242"/>
      <c r="DG40" s="242"/>
      <c r="DH40" s="242"/>
      <c r="DI40" s="242"/>
      <c r="DJ40" s="242"/>
      <c r="DK40" s="242"/>
      <c r="DL40" s="242"/>
      <c r="DM40" s="242"/>
      <c r="DN40" s="242"/>
      <c r="DO40" s="242"/>
      <c r="DP40" s="242"/>
      <c r="DQ40" s="242"/>
      <c r="DR40" s="242"/>
      <c r="DS40" s="242"/>
      <c r="DT40" s="242"/>
      <c r="DU40" s="242"/>
      <c r="DV40" s="242"/>
      <c r="DW40" s="242"/>
      <c r="DX40" s="242"/>
      <c r="DY40" s="242"/>
      <c r="DZ40" s="242"/>
      <c r="EA40" s="242"/>
      <c r="EB40" s="242"/>
      <c r="EC40" s="242"/>
      <c r="ED40" s="242"/>
      <c r="EE40" s="242"/>
      <c r="EF40" s="242"/>
      <c r="EG40" s="242"/>
      <c r="EH40" s="242"/>
      <c r="EI40" s="242"/>
      <c r="EJ40" s="242"/>
      <c r="EK40" s="242"/>
      <c r="EL40" s="242"/>
      <c r="EM40" s="242"/>
      <c r="EN40" s="242"/>
      <c r="EO40" s="242"/>
      <c r="EP40" s="242"/>
      <c r="EQ40" s="242"/>
      <c r="ER40" s="242"/>
      <c r="ES40" s="242"/>
      <c r="ET40" s="242"/>
      <c r="EU40" s="242"/>
      <c r="EV40" s="242"/>
      <c r="EW40" s="242"/>
      <c r="EX40" s="242"/>
      <c r="EY40" s="242"/>
      <c r="EZ40" s="242"/>
      <c r="FA40" s="242"/>
      <c r="FB40" s="242"/>
      <c r="FC40" s="242"/>
      <c r="FD40" s="242"/>
      <c r="FE40" s="242"/>
      <c r="FF40" s="242"/>
      <c r="FG40" s="242"/>
      <c r="FH40" s="242"/>
      <c r="FI40" s="242"/>
      <c r="FJ40" s="242"/>
      <c r="FK40" s="242"/>
      <c r="FL40" s="242"/>
      <c r="FM40" s="242"/>
      <c r="FN40" s="242"/>
      <c r="FO40" s="242"/>
      <c r="FP40" s="242"/>
      <c r="FQ40" s="242"/>
      <c r="FR40" s="242"/>
      <c r="FS40" s="242"/>
      <c r="FT40" s="242"/>
      <c r="FU40" s="242"/>
      <c r="FV40" s="242"/>
      <c r="FW40" s="242"/>
      <c r="FX40" s="242"/>
      <c r="FY40" s="242"/>
      <c r="FZ40" s="242"/>
      <c r="GA40" s="242"/>
      <c r="GB40" s="242"/>
      <c r="GC40" s="242"/>
      <c r="GD40" s="242"/>
      <c r="GE40" s="242"/>
      <c r="GF40" s="242"/>
      <c r="GG40" s="242"/>
      <c r="GH40" s="242"/>
    </row>
    <row r="41" spans="1:190" s="18" customFormat="1" ht="25.15" customHeight="1" x14ac:dyDescent="0.3">
      <c r="A41" s="210"/>
      <c r="B41" s="210"/>
      <c r="C41" s="210"/>
      <c r="D41" s="210"/>
      <c r="E41" s="210"/>
      <c r="F41" s="5"/>
      <c r="G41" s="5"/>
      <c r="H41" s="16">
        <f>I33/D32</f>
        <v>8</v>
      </c>
      <c r="I41" s="25"/>
      <c r="J41" s="5"/>
      <c r="K41" s="5"/>
      <c r="L41" s="5"/>
      <c r="M41" s="5"/>
      <c r="N41" s="5"/>
      <c r="O41" s="25"/>
      <c r="P41" s="5"/>
      <c r="Q41" s="5"/>
      <c r="R41" s="5"/>
      <c r="S41" s="5"/>
      <c r="T41" s="5"/>
      <c r="U41" s="45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42"/>
      <c r="BG41" s="242"/>
      <c r="BH41" s="242"/>
      <c r="BI41" s="242"/>
      <c r="BJ41" s="242"/>
      <c r="BK41" s="242"/>
      <c r="BL41" s="242"/>
      <c r="BM41" s="242"/>
      <c r="BN41" s="242"/>
      <c r="BO41" s="242"/>
      <c r="BP41" s="242"/>
      <c r="BQ41" s="242"/>
      <c r="BR41" s="242"/>
      <c r="BS41" s="242"/>
      <c r="BT41" s="242"/>
      <c r="BU41" s="242"/>
      <c r="BV41" s="242"/>
      <c r="BW41" s="242"/>
      <c r="BX41" s="242"/>
      <c r="BY41" s="242"/>
      <c r="BZ41" s="242"/>
      <c r="CA41" s="242"/>
      <c r="CB41" s="242"/>
      <c r="CC41" s="242"/>
      <c r="CD41" s="242"/>
      <c r="CE41" s="242"/>
      <c r="CF41" s="242"/>
      <c r="CG41" s="242"/>
      <c r="CH41" s="242"/>
      <c r="CI41" s="242"/>
      <c r="CJ41" s="242"/>
      <c r="CK41" s="242"/>
      <c r="CL41" s="242"/>
      <c r="CM41" s="242"/>
      <c r="CN41" s="242"/>
      <c r="CO41" s="242"/>
      <c r="CP41" s="242"/>
      <c r="CQ41" s="242"/>
      <c r="CR41" s="242"/>
      <c r="CS41" s="242"/>
      <c r="CT41" s="242"/>
      <c r="CU41" s="242"/>
      <c r="CV41" s="242"/>
      <c r="CW41" s="242"/>
      <c r="CX41" s="242"/>
      <c r="CY41" s="242"/>
      <c r="CZ41" s="242"/>
      <c r="DA41" s="242"/>
      <c r="DB41" s="242"/>
      <c r="DC41" s="242"/>
      <c r="DD41" s="242"/>
      <c r="DE41" s="242"/>
      <c r="DF41" s="242"/>
      <c r="DG41" s="242"/>
      <c r="DH41" s="242"/>
      <c r="DI41" s="242"/>
      <c r="DJ41" s="242"/>
      <c r="DK41" s="242"/>
      <c r="DL41" s="242"/>
      <c r="DM41" s="242"/>
      <c r="DN41" s="242"/>
      <c r="DO41" s="242"/>
      <c r="DP41" s="242"/>
      <c r="DQ41" s="242"/>
      <c r="DR41" s="242"/>
      <c r="DS41" s="242"/>
      <c r="DT41" s="242"/>
      <c r="DU41" s="242"/>
      <c r="DV41" s="242"/>
      <c r="DW41" s="242"/>
      <c r="DX41" s="242"/>
      <c r="DY41" s="242"/>
      <c r="DZ41" s="242"/>
      <c r="EA41" s="242"/>
      <c r="EB41" s="242"/>
      <c r="EC41" s="242"/>
      <c r="ED41" s="242"/>
      <c r="EE41" s="242"/>
      <c r="EF41" s="242"/>
      <c r="EG41" s="242"/>
      <c r="EH41" s="242"/>
      <c r="EI41" s="242"/>
      <c r="EJ41" s="242"/>
      <c r="EK41" s="242"/>
      <c r="EL41" s="242"/>
      <c r="EM41" s="242"/>
      <c r="EN41" s="242"/>
      <c r="EO41" s="242"/>
      <c r="EP41" s="242"/>
      <c r="EQ41" s="242"/>
      <c r="ER41" s="242"/>
      <c r="ES41" s="242"/>
      <c r="ET41" s="242"/>
      <c r="EU41" s="242"/>
      <c r="EV41" s="242"/>
      <c r="EW41" s="242"/>
      <c r="EX41" s="242"/>
      <c r="EY41" s="242"/>
      <c r="EZ41" s="242"/>
      <c r="FA41" s="242"/>
      <c r="FB41" s="242"/>
      <c r="FC41" s="242"/>
      <c r="FD41" s="242"/>
      <c r="FE41" s="242"/>
      <c r="FF41" s="242"/>
      <c r="FG41" s="242"/>
      <c r="FH41" s="242"/>
      <c r="FI41" s="242"/>
      <c r="FJ41" s="242"/>
      <c r="FK41" s="242"/>
      <c r="FL41" s="242"/>
      <c r="FM41" s="242"/>
      <c r="FN41" s="242"/>
      <c r="FO41" s="242"/>
      <c r="FP41" s="242"/>
      <c r="FQ41" s="242"/>
      <c r="FR41" s="242"/>
      <c r="FS41" s="242"/>
      <c r="FT41" s="242"/>
      <c r="FU41" s="242"/>
      <c r="FV41" s="242"/>
      <c r="FW41" s="242"/>
      <c r="FX41" s="242"/>
      <c r="FY41" s="242"/>
      <c r="FZ41" s="242"/>
      <c r="GA41" s="242"/>
      <c r="GB41" s="242"/>
      <c r="GC41" s="242"/>
      <c r="GD41" s="242"/>
      <c r="GE41" s="242"/>
      <c r="GF41" s="242"/>
      <c r="GG41" s="242"/>
      <c r="GH41" s="242"/>
    </row>
    <row r="42" spans="1:190" s="18" customFormat="1" ht="25.15" customHeight="1" x14ac:dyDescent="0.3">
      <c r="A42" s="210"/>
      <c r="B42" s="210"/>
      <c r="C42" s="210"/>
      <c r="D42" s="210"/>
      <c r="E42" s="210"/>
      <c r="F42" s="5"/>
      <c r="G42" s="5"/>
      <c r="H42" s="16">
        <f>J33/D32</f>
        <v>7</v>
      </c>
      <c r="I42" s="25"/>
      <c r="J42" s="5"/>
      <c r="K42" s="5"/>
      <c r="L42" s="5"/>
      <c r="M42" s="5"/>
      <c r="N42" s="5"/>
      <c r="O42" s="25"/>
      <c r="P42" s="5"/>
      <c r="Q42" s="5"/>
      <c r="R42" s="5"/>
      <c r="S42" s="5"/>
      <c r="T42" s="5"/>
      <c r="U42" s="45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2"/>
      <c r="AX42" s="242"/>
      <c r="AY42" s="242"/>
      <c r="AZ42" s="242"/>
      <c r="BA42" s="242"/>
      <c r="BB42" s="242"/>
      <c r="BC42" s="242"/>
      <c r="BD42" s="242"/>
      <c r="BE42" s="242"/>
      <c r="BF42" s="242"/>
      <c r="BG42" s="242"/>
      <c r="BH42" s="242"/>
      <c r="BI42" s="242"/>
      <c r="BJ42" s="242"/>
      <c r="BK42" s="242"/>
      <c r="BL42" s="242"/>
      <c r="BM42" s="242"/>
      <c r="BN42" s="242"/>
      <c r="BO42" s="242"/>
      <c r="BP42" s="242"/>
      <c r="BQ42" s="242"/>
      <c r="BR42" s="242"/>
      <c r="BS42" s="242"/>
      <c r="BT42" s="242"/>
      <c r="BU42" s="242"/>
      <c r="BV42" s="242"/>
      <c r="BW42" s="242"/>
      <c r="BX42" s="242"/>
      <c r="BY42" s="242"/>
      <c r="BZ42" s="242"/>
      <c r="CA42" s="242"/>
      <c r="CB42" s="242"/>
      <c r="CC42" s="242"/>
      <c r="CD42" s="242"/>
      <c r="CE42" s="242"/>
      <c r="CF42" s="242"/>
      <c r="CG42" s="242"/>
      <c r="CH42" s="242"/>
      <c r="CI42" s="242"/>
      <c r="CJ42" s="242"/>
      <c r="CK42" s="242"/>
      <c r="CL42" s="242"/>
      <c r="CM42" s="242"/>
      <c r="CN42" s="242"/>
      <c r="CO42" s="242"/>
      <c r="CP42" s="242"/>
      <c r="CQ42" s="242"/>
      <c r="CR42" s="242"/>
      <c r="CS42" s="242"/>
      <c r="CT42" s="242"/>
      <c r="CU42" s="242"/>
      <c r="CV42" s="242"/>
      <c r="CW42" s="242"/>
      <c r="CX42" s="242"/>
      <c r="CY42" s="242"/>
      <c r="CZ42" s="242"/>
      <c r="DA42" s="242"/>
      <c r="DB42" s="242"/>
      <c r="DC42" s="242"/>
      <c r="DD42" s="242"/>
      <c r="DE42" s="242"/>
      <c r="DF42" s="242"/>
      <c r="DG42" s="242"/>
      <c r="DH42" s="242"/>
      <c r="DI42" s="242"/>
      <c r="DJ42" s="242"/>
      <c r="DK42" s="242"/>
      <c r="DL42" s="242"/>
      <c r="DM42" s="242"/>
      <c r="DN42" s="242"/>
      <c r="DO42" s="242"/>
      <c r="DP42" s="242"/>
      <c r="DQ42" s="242"/>
      <c r="DR42" s="242"/>
      <c r="DS42" s="242"/>
      <c r="DT42" s="242"/>
      <c r="DU42" s="242"/>
      <c r="DV42" s="242"/>
      <c r="DW42" s="242"/>
      <c r="DX42" s="242"/>
      <c r="DY42" s="242"/>
      <c r="DZ42" s="242"/>
      <c r="EA42" s="242"/>
      <c r="EB42" s="242"/>
      <c r="EC42" s="242"/>
      <c r="ED42" s="242"/>
      <c r="EE42" s="242"/>
      <c r="EF42" s="242"/>
      <c r="EG42" s="242"/>
      <c r="EH42" s="242"/>
      <c r="EI42" s="242"/>
      <c r="EJ42" s="242"/>
      <c r="EK42" s="242"/>
      <c r="EL42" s="242"/>
      <c r="EM42" s="242"/>
      <c r="EN42" s="242"/>
      <c r="EO42" s="242"/>
      <c r="EP42" s="242"/>
      <c r="EQ42" s="242"/>
      <c r="ER42" s="242"/>
      <c r="ES42" s="242"/>
      <c r="ET42" s="242"/>
      <c r="EU42" s="242"/>
      <c r="EV42" s="242"/>
      <c r="EW42" s="242"/>
      <c r="EX42" s="242"/>
      <c r="EY42" s="242"/>
      <c r="EZ42" s="242"/>
      <c r="FA42" s="242"/>
      <c r="FB42" s="242"/>
      <c r="FC42" s="242"/>
      <c r="FD42" s="242"/>
      <c r="FE42" s="242"/>
      <c r="FF42" s="242"/>
      <c r="FG42" s="242"/>
      <c r="FH42" s="242"/>
      <c r="FI42" s="242"/>
      <c r="FJ42" s="242"/>
      <c r="FK42" s="242"/>
      <c r="FL42" s="242"/>
      <c r="FM42" s="242"/>
      <c r="FN42" s="242"/>
      <c r="FO42" s="242"/>
      <c r="FP42" s="242"/>
      <c r="FQ42" s="242"/>
      <c r="FR42" s="242"/>
      <c r="FS42" s="242"/>
      <c r="FT42" s="242"/>
      <c r="FU42" s="242"/>
      <c r="FV42" s="242"/>
      <c r="FW42" s="242"/>
      <c r="FX42" s="242"/>
      <c r="FY42" s="242"/>
      <c r="FZ42" s="242"/>
      <c r="GA42" s="242"/>
      <c r="GB42" s="242"/>
      <c r="GC42" s="242"/>
      <c r="GD42" s="242"/>
      <c r="GE42" s="242"/>
      <c r="GF42" s="242"/>
      <c r="GG42" s="242"/>
      <c r="GH42" s="242"/>
    </row>
    <row r="43" spans="1:190" s="18" customFormat="1" ht="25.15" customHeight="1" x14ac:dyDescent="0.3">
      <c r="A43" s="210"/>
      <c r="B43" s="210"/>
      <c r="C43" s="210"/>
      <c r="D43" s="210"/>
      <c r="E43" s="210"/>
      <c r="F43" s="5"/>
      <c r="G43" s="5"/>
      <c r="H43" s="16">
        <f>K33/D32</f>
        <v>7</v>
      </c>
      <c r="I43" s="25"/>
      <c r="J43" s="5"/>
      <c r="K43" s="5"/>
      <c r="L43" s="5"/>
      <c r="M43" s="5"/>
      <c r="N43" s="5"/>
      <c r="O43" s="25"/>
      <c r="P43" s="5"/>
      <c r="Q43" s="5"/>
      <c r="R43" s="5"/>
      <c r="S43" s="5"/>
      <c r="T43" s="5"/>
      <c r="U43" s="45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 s="242"/>
      <c r="AM43" s="242"/>
      <c r="AN43" s="242"/>
      <c r="AO43" s="242"/>
      <c r="AP43" s="242"/>
      <c r="AQ43" s="242"/>
      <c r="AR43" s="242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242"/>
      <c r="BD43" s="242"/>
      <c r="BE43" s="242"/>
      <c r="BF43" s="242"/>
      <c r="BG43" s="242"/>
      <c r="BH43" s="242"/>
      <c r="BI43" s="242"/>
      <c r="BJ43" s="242"/>
      <c r="BK43" s="242"/>
      <c r="BL43" s="242"/>
      <c r="BM43" s="242"/>
      <c r="BN43" s="242"/>
      <c r="BO43" s="242"/>
      <c r="BP43" s="242"/>
      <c r="BQ43" s="242"/>
      <c r="BR43" s="242"/>
      <c r="BS43" s="242"/>
      <c r="BT43" s="242"/>
      <c r="BU43" s="242"/>
      <c r="BV43" s="242"/>
      <c r="BW43" s="242"/>
      <c r="BX43" s="242"/>
      <c r="BY43" s="242"/>
      <c r="BZ43" s="242"/>
      <c r="CA43" s="242"/>
      <c r="CB43" s="242"/>
      <c r="CC43" s="242"/>
      <c r="CD43" s="242"/>
      <c r="CE43" s="242"/>
      <c r="CF43" s="242"/>
      <c r="CG43" s="242"/>
      <c r="CH43" s="242"/>
      <c r="CI43" s="242"/>
      <c r="CJ43" s="242"/>
      <c r="CK43" s="242"/>
      <c r="CL43" s="242"/>
      <c r="CM43" s="242"/>
      <c r="CN43" s="242"/>
      <c r="CO43" s="242"/>
      <c r="CP43" s="242"/>
      <c r="CQ43" s="242"/>
      <c r="CR43" s="242"/>
      <c r="CS43" s="242"/>
      <c r="CT43" s="242"/>
      <c r="CU43" s="242"/>
      <c r="CV43" s="242"/>
      <c r="CW43" s="242"/>
      <c r="CX43" s="242"/>
      <c r="CY43" s="242"/>
      <c r="CZ43" s="242"/>
      <c r="DA43" s="242"/>
      <c r="DB43" s="242"/>
      <c r="DC43" s="242"/>
      <c r="DD43" s="242"/>
      <c r="DE43" s="242"/>
      <c r="DF43" s="242"/>
      <c r="DG43" s="242"/>
      <c r="DH43" s="242"/>
      <c r="DI43" s="242"/>
      <c r="DJ43" s="242"/>
      <c r="DK43" s="242"/>
      <c r="DL43" s="242"/>
      <c r="DM43" s="242"/>
      <c r="DN43" s="242"/>
      <c r="DO43" s="242"/>
      <c r="DP43" s="242"/>
      <c r="DQ43" s="242"/>
      <c r="DR43" s="242"/>
      <c r="DS43" s="242"/>
      <c r="DT43" s="242"/>
      <c r="DU43" s="242"/>
      <c r="DV43" s="242"/>
      <c r="DW43" s="242"/>
      <c r="DX43" s="242"/>
      <c r="DY43" s="242"/>
      <c r="DZ43" s="242"/>
      <c r="EA43" s="242"/>
      <c r="EB43" s="242"/>
      <c r="EC43" s="242"/>
      <c r="ED43" s="242"/>
      <c r="EE43" s="242"/>
      <c r="EF43" s="242"/>
      <c r="EG43" s="242"/>
      <c r="EH43" s="242"/>
      <c r="EI43" s="242"/>
      <c r="EJ43" s="242"/>
      <c r="EK43" s="242"/>
      <c r="EL43" s="242"/>
      <c r="EM43" s="242"/>
      <c r="EN43" s="242"/>
      <c r="EO43" s="242"/>
      <c r="EP43" s="242"/>
      <c r="EQ43" s="242"/>
      <c r="ER43" s="242"/>
      <c r="ES43" s="242"/>
      <c r="ET43" s="242"/>
      <c r="EU43" s="242"/>
      <c r="EV43" s="242"/>
      <c r="EW43" s="242"/>
      <c r="EX43" s="242"/>
      <c r="EY43" s="242"/>
      <c r="EZ43" s="242"/>
      <c r="FA43" s="242"/>
      <c r="FB43" s="242"/>
      <c r="FC43" s="242"/>
      <c r="FD43" s="242"/>
      <c r="FE43" s="242"/>
      <c r="FF43" s="242"/>
      <c r="FG43" s="242"/>
      <c r="FH43" s="242"/>
      <c r="FI43" s="242"/>
      <c r="FJ43" s="242"/>
      <c r="FK43" s="242"/>
      <c r="FL43" s="242"/>
      <c r="FM43" s="242"/>
      <c r="FN43" s="242"/>
      <c r="FO43" s="242"/>
      <c r="FP43" s="242"/>
      <c r="FQ43" s="242"/>
      <c r="FR43" s="242"/>
      <c r="FS43" s="242"/>
      <c r="FT43" s="242"/>
      <c r="FU43" s="242"/>
      <c r="FV43" s="242"/>
      <c r="FW43" s="242"/>
      <c r="FX43" s="242"/>
      <c r="FY43" s="242"/>
      <c r="FZ43" s="242"/>
      <c r="GA43" s="242"/>
      <c r="GB43" s="242"/>
      <c r="GC43" s="242"/>
      <c r="GD43" s="242"/>
      <c r="GE43" s="242"/>
      <c r="GF43" s="242"/>
      <c r="GG43" s="242"/>
      <c r="GH43" s="242"/>
    </row>
    <row r="44" spans="1:190" s="18" customFormat="1" ht="25.15" customHeight="1" x14ac:dyDescent="0.3">
      <c r="A44" s="210"/>
      <c r="B44" s="210"/>
      <c r="C44" s="210"/>
      <c r="D44" s="210"/>
      <c r="E44" s="210"/>
      <c r="F44" s="5"/>
      <c r="G44" s="5"/>
      <c r="H44" s="106">
        <f>L33/D32</f>
        <v>7</v>
      </c>
      <c r="I44" s="25"/>
      <c r="J44" s="5"/>
      <c r="K44" s="5"/>
      <c r="L44" s="5"/>
      <c r="M44" s="5"/>
      <c r="N44" s="5"/>
      <c r="O44" s="25"/>
      <c r="P44" s="5"/>
      <c r="Q44" s="5"/>
      <c r="R44" s="5"/>
      <c r="S44" s="5"/>
      <c r="T44" s="5"/>
      <c r="U44" s="45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 s="242"/>
      <c r="AM44" s="242"/>
      <c r="AN44" s="242"/>
      <c r="AO44" s="242"/>
      <c r="AP44" s="242"/>
      <c r="AQ44" s="242"/>
      <c r="AR44" s="242"/>
      <c r="AS44" s="242"/>
      <c r="AT44" s="242"/>
      <c r="AU44" s="242"/>
      <c r="AV44" s="242"/>
      <c r="AW44" s="242"/>
      <c r="AX44" s="242"/>
      <c r="AY44" s="242"/>
      <c r="AZ44" s="242"/>
      <c r="BA44" s="242"/>
      <c r="BB44" s="242"/>
      <c r="BC44" s="242"/>
      <c r="BD44" s="242"/>
      <c r="BE44" s="242"/>
      <c r="BF44" s="242"/>
      <c r="BG44" s="242"/>
      <c r="BH44" s="242"/>
      <c r="BI44" s="242"/>
      <c r="BJ44" s="242"/>
      <c r="BK44" s="242"/>
      <c r="BL44" s="242"/>
      <c r="BM44" s="242"/>
      <c r="BN44" s="242"/>
      <c r="BO44" s="242"/>
      <c r="BP44" s="242"/>
      <c r="BQ44" s="242"/>
      <c r="BR44" s="242"/>
      <c r="BS44" s="242"/>
      <c r="BT44" s="242"/>
      <c r="BU44" s="242"/>
      <c r="BV44" s="242"/>
      <c r="BW44" s="242"/>
      <c r="BX44" s="242"/>
      <c r="BY44" s="242"/>
      <c r="BZ44" s="242"/>
      <c r="CA44" s="242"/>
      <c r="CB44" s="242"/>
      <c r="CC44" s="242"/>
      <c r="CD44" s="242"/>
      <c r="CE44" s="242"/>
      <c r="CF44" s="242"/>
      <c r="CG44" s="242"/>
      <c r="CH44" s="242"/>
      <c r="CI44" s="242"/>
      <c r="CJ44" s="242"/>
      <c r="CK44" s="242"/>
      <c r="CL44" s="242"/>
      <c r="CM44" s="242"/>
      <c r="CN44" s="242"/>
      <c r="CO44" s="242"/>
      <c r="CP44" s="242"/>
      <c r="CQ44" s="242"/>
      <c r="CR44" s="242"/>
      <c r="CS44" s="242"/>
      <c r="CT44" s="242"/>
      <c r="CU44" s="242"/>
      <c r="CV44" s="242"/>
      <c r="CW44" s="242"/>
      <c r="CX44" s="242"/>
      <c r="CY44" s="242"/>
      <c r="CZ44" s="242"/>
      <c r="DA44" s="242"/>
      <c r="DB44" s="242"/>
      <c r="DC44" s="242"/>
      <c r="DD44" s="242"/>
      <c r="DE44" s="242"/>
      <c r="DF44" s="242"/>
      <c r="DG44" s="242"/>
      <c r="DH44" s="242"/>
      <c r="DI44" s="242"/>
      <c r="DJ44" s="242"/>
      <c r="DK44" s="242"/>
      <c r="DL44" s="242"/>
      <c r="DM44" s="242"/>
      <c r="DN44" s="242"/>
      <c r="DO44" s="242"/>
      <c r="DP44" s="242"/>
      <c r="DQ44" s="242"/>
      <c r="DR44" s="242"/>
      <c r="DS44" s="242"/>
      <c r="DT44" s="242"/>
      <c r="DU44" s="242"/>
      <c r="DV44" s="242"/>
      <c r="DW44" s="242"/>
      <c r="DX44" s="242"/>
      <c r="DY44" s="242"/>
      <c r="DZ44" s="242"/>
      <c r="EA44" s="242"/>
      <c r="EB44" s="242"/>
      <c r="EC44" s="242"/>
      <c r="ED44" s="242"/>
      <c r="EE44" s="242"/>
      <c r="EF44" s="242"/>
      <c r="EG44" s="242"/>
      <c r="EH44" s="242"/>
      <c r="EI44" s="242"/>
      <c r="EJ44" s="242"/>
      <c r="EK44" s="242"/>
      <c r="EL44" s="242"/>
      <c r="EM44" s="242"/>
      <c r="EN44" s="242"/>
      <c r="EO44" s="242"/>
      <c r="EP44" s="242"/>
      <c r="EQ44" s="242"/>
      <c r="ER44" s="242"/>
      <c r="ES44" s="242"/>
      <c r="ET44" s="242"/>
      <c r="EU44" s="242"/>
      <c r="EV44" s="242"/>
      <c r="EW44" s="242"/>
      <c r="EX44" s="242"/>
      <c r="EY44" s="242"/>
      <c r="EZ44" s="242"/>
      <c r="FA44" s="242"/>
      <c r="FB44" s="242"/>
      <c r="FC44" s="242"/>
      <c r="FD44" s="242"/>
      <c r="FE44" s="242"/>
      <c r="FF44" s="242"/>
      <c r="FG44" s="242"/>
      <c r="FH44" s="242"/>
      <c r="FI44" s="242"/>
      <c r="FJ44" s="242"/>
      <c r="FK44" s="242"/>
      <c r="FL44" s="242"/>
      <c r="FM44" s="242"/>
      <c r="FN44" s="242"/>
      <c r="FO44" s="242"/>
      <c r="FP44" s="242"/>
      <c r="FQ44" s="242"/>
      <c r="FR44" s="242"/>
      <c r="FS44" s="242"/>
      <c r="FT44" s="242"/>
      <c r="FU44" s="242"/>
      <c r="FV44" s="242"/>
      <c r="FW44" s="242"/>
      <c r="FX44" s="242"/>
      <c r="FY44" s="242"/>
      <c r="FZ44" s="242"/>
      <c r="GA44" s="242"/>
      <c r="GB44" s="242"/>
      <c r="GC44" s="242"/>
      <c r="GD44" s="242"/>
      <c r="GE44" s="242"/>
      <c r="GF44" s="242"/>
      <c r="GG44" s="242"/>
      <c r="GH44" s="242"/>
    </row>
    <row r="45" spans="1:190" s="18" customFormat="1" ht="25.15" customHeight="1" x14ac:dyDescent="0.3">
      <c r="A45" s="210"/>
      <c r="B45" s="210"/>
      <c r="C45" s="210"/>
      <c r="D45" s="210"/>
      <c r="E45" s="210"/>
      <c r="F45" s="5"/>
      <c r="G45" s="5"/>
      <c r="H45" s="106">
        <f>M33/D32</f>
        <v>6</v>
      </c>
      <c r="I45" s="25"/>
      <c r="J45" s="5"/>
      <c r="K45" s="5"/>
      <c r="L45" s="5"/>
      <c r="M45" s="5"/>
      <c r="N45" s="5"/>
      <c r="O45" s="25"/>
      <c r="P45" s="5"/>
      <c r="Q45" s="5"/>
      <c r="R45" s="5"/>
      <c r="S45" s="5"/>
      <c r="T45" s="5"/>
      <c r="U45" s="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 s="242"/>
      <c r="AM45" s="242"/>
      <c r="AN45" s="242"/>
      <c r="AO45" s="242"/>
      <c r="AP45" s="242"/>
      <c r="AQ45" s="242"/>
      <c r="AR45" s="242"/>
      <c r="AS45" s="242"/>
      <c r="AT45" s="242"/>
      <c r="AU45" s="242"/>
      <c r="AV45" s="242"/>
      <c r="AW45" s="242"/>
      <c r="AX45" s="242"/>
      <c r="AY45" s="242"/>
      <c r="AZ45" s="242"/>
      <c r="BA45" s="242"/>
      <c r="BB45" s="242"/>
      <c r="BC45" s="242"/>
      <c r="BD45" s="242"/>
      <c r="BE45" s="242"/>
      <c r="BF45" s="242"/>
      <c r="BG45" s="242"/>
      <c r="BH45" s="242"/>
      <c r="BI45" s="242"/>
      <c r="BJ45" s="242"/>
      <c r="BK45" s="242"/>
      <c r="BL45" s="242"/>
      <c r="BM45" s="242"/>
      <c r="BN45" s="242"/>
      <c r="BO45" s="242"/>
      <c r="BP45" s="242"/>
      <c r="BQ45" s="242"/>
      <c r="BR45" s="242"/>
      <c r="BS45" s="242"/>
      <c r="BT45" s="242"/>
      <c r="BU45" s="242"/>
      <c r="BV45" s="242"/>
      <c r="BW45" s="242"/>
      <c r="BX45" s="242"/>
      <c r="BY45" s="242"/>
      <c r="BZ45" s="242"/>
      <c r="CA45" s="242"/>
      <c r="CB45" s="242"/>
      <c r="CC45" s="242"/>
      <c r="CD45" s="242"/>
      <c r="CE45" s="242"/>
      <c r="CF45" s="242"/>
      <c r="CG45" s="242"/>
      <c r="CH45" s="242"/>
      <c r="CI45" s="242"/>
      <c r="CJ45" s="242"/>
      <c r="CK45" s="242"/>
      <c r="CL45" s="242"/>
      <c r="CM45" s="242"/>
      <c r="CN45" s="242"/>
      <c r="CO45" s="242"/>
      <c r="CP45" s="242"/>
      <c r="CQ45" s="242"/>
      <c r="CR45" s="242"/>
      <c r="CS45" s="242"/>
      <c r="CT45" s="242"/>
      <c r="CU45" s="242"/>
      <c r="CV45" s="242"/>
      <c r="CW45" s="242"/>
      <c r="CX45" s="242"/>
      <c r="CY45" s="242"/>
      <c r="CZ45" s="242"/>
      <c r="DA45" s="242"/>
      <c r="DB45" s="242"/>
      <c r="DC45" s="242"/>
      <c r="DD45" s="242"/>
      <c r="DE45" s="242"/>
      <c r="DF45" s="242"/>
      <c r="DG45" s="242"/>
      <c r="DH45" s="242"/>
      <c r="DI45" s="242"/>
      <c r="DJ45" s="242"/>
      <c r="DK45" s="242"/>
      <c r="DL45" s="242"/>
      <c r="DM45" s="242"/>
      <c r="DN45" s="242"/>
      <c r="DO45" s="242"/>
      <c r="DP45" s="242"/>
      <c r="DQ45" s="242"/>
      <c r="DR45" s="242"/>
      <c r="DS45" s="242"/>
      <c r="DT45" s="242"/>
      <c r="DU45" s="242"/>
      <c r="DV45" s="242"/>
      <c r="DW45" s="242"/>
      <c r="DX45" s="242"/>
      <c r="DY45" s="242"/>
      <c r="DZ45" s="242"/>
      <c r="EA45" s="242"/>
      <c r="EB45" s="242"/>
      <c r="EC45" s="242"/>
      <c r="ED45" s="242"/>
      <c r="EE45" s="242"/>
      <c r="EF45" s="242"/>
      <c r="EG45" s="242"/>
      <c r="EH45" s="242"/>
      <c r="EI45" s="242"/>
      <c r="EJ45" s="242"/>
      <c r="EK45" s="242"/>
      <c r="EL45" s="242"/>
      <c r="EM45" s="242"/>
      <c r="EN45" s="242"/>
      <c r="EO45" s="242"/>
      <c r="EP45" s="242"/>
      <c r="EQ45" s="242"/>
      <c r="ER45" s="242"/>
      <c r="ES45" s="242"/>
      <c r="ET45" s="242"/>
      <c r="EU45" s="242"/>
      <c r="EV45" s="242"/>
      <c r="EW45" s="242"/>
      <c r="EX45" s="242"/>
      <c r="EY45" s="242"/>
      <c r="EZ45" s="242"/>
      <c r="FA45" s="242"/>
      <c r="FB45" s="242"/>
      <c r="FC45" s="242"/>
      <c r="FD45" s="242"/>
      <c r="FE45" s="242"/>
      <c r="FF45" s="242"/>
      <c r="FG45" s="242"/>
      <c r="FH45" s="242"/>
      <c r="FI45" s="242"/>
      <c r="FJ45" s="242"/>
      <c r="FK45" s="242"/>
      <c r="FL45" s="242"/>
      <c r="FM45" s="242"/>
      <c r="FN45" s="242"/>
      <c r="FO45" s="242"/>
      <c r="FP45" s="242"/>
      <c r="FQ45" s="242"/>
      <c r="FR45" s="242"/>
      <c r="FS45" s="242"/>
      <c r="FT45" s="242"/>
      <c r="FU45" s="242"/>
      <c r="FV45" s="242"/>
      <c r="FW45" s="242"/>
      <c r="FX45" s="242"/>
      <c r="FY45" s="242"/>
      <c r="FZ45" s="242"/>
      <c r="GA45" s="242"/>
      <c r="GB45" s="242"/>
      <c r="GC45" s="242"/>
      <c r="GD45" s="242"/>
      <c r="GE45" s="242"/>
      <c r="GF45" s="242"/>
      <c r="GG45" s="242"/>
      <c r="GH45" s="242"/>
    </row>
    <row r="46" spans="1:190" s="18" customFormat="1" ht="25.15" customHeight="1" x14ac:dyDescent="0.3">
      <c r="A46" s="210"/>
      <c r="B46" s="210"/>
      <c r="C46" s="210"/>
      <c r="D46" s="210"/>
      <c r="E46" s="210"/>
      <c r="F46" s="5"/>
      <c r="G46" s="5"/>
      <c r="H46" s="16">
        <f>N33/D32</f>
        <v>7</v>
      </c>
      <c r="I46" s="25"/>
      <c r="J46" s="5"/>
      <c r="K46" s="5"/>
      <c r="L46" s="5"/>
      <c r="M46" s="5"/>
      <c r="N46" s="5"/>
      <c r="O46" s="25"/>
      <c r="P46" s="5"/>
      <c r="Q46" s="5"/>
      <c r="R46" s="5"/>
      <c r="S46" s="5"/>
      <c r="T46" s="5"/>
      <c r="U46" s="45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 s="242"/>
      <c r="AM46" s="242"/>
      <c r="AN46" s="242"/>
      <c r="AO46" s="242"/>
      <c r="AP46" s="242"/>
      <c r="AQ46" s="242"/>
      <c r="AR46" s="242"/>
      <c r="AS46" s="242"/>
      <c r="AT46" s="242"/>
      <c r="AU46" s="242"/>
      <c r="AV46" s="242"/>
      <c r="AW46" s="242"/>
      <c r="AX46" s="242"/>
      <c r="AY46" s="242"/>
      <c r="AZ46" s="242"/>
      <c r="BA46" s="242"/>
      <c r="BB46" s="242"/>
      <c r="BC46" s="242"/>
      <c r="BD46" s="242"/>
      <c r="BE46" s="242"/>
      <c r="BF46" s="242"/>
      <c r="BG46" s="242"/>
      <c r="BH46" s="242"/>
      <c r="BI46" s="242"/>
      <c r="BJ46" s="242"/>
      <c r="BK46" s="242"/>
      <c r="BL46" s="242"/>
      <c r="BM46" s="242"/>
      <c r="BN46" s="242"/>
      <c r="BO46" s="242"/>
      <c r="BP46" s="242"/>
      <c r="BQ46" s="242"/>
      <c r="BR46" s="242"/>
      <c r="BS46" s="242"/>
      <c r="BT46" s="242"/>
      <c r="BU46" s="242"/>
      <c r="BV46" s="242"/>
      <c r="BW46" s="242"/>
      <c r="BX46" s="242"/>
      <c r="BY46" s="242"/>
      <c r="BZ46" s="242"/>
      <c r="CA46" s="242"/>
      <c r="CB46" s="242"/>
      <c r="CC46" s="242"/>
      <c r="CD46" s="242"/>
      <c r="CE46" s="242"/>
      <c r="CF46" s="242"/>
      <c r="CG46" s="242"/>
      <c r="CH46" s="242"/>
      <c r="CI46" s="242"/>
      <c r="CJ46" s="242"/>
      <c r="CK46" s="242"/>
      <c r="CL46" s="242"/>
      <c r="CM46" s="242"/>
      <c r="CN46" s="242"/>
      <c r="CO46" s="242"/>
      <c r="CP46" s="242"/>
      <c r="CQ46" s="242"/>
      <c r="CR46" s="242"/>
      <c r="CS46" s="242"/>
      <c r="CT46" s="242"/>
      <c r="CU46" s="242"/>
      <c r="CV46" s="242"/>
      <c r="CW46" s="242"/>
      <c r="CX46" s="242"/>
      <c r="CY46" s="242"/>
      <c r="CZ46" s="242"/>
      <c r="DA46" s="242"/>
      <c r="DB46" s="242"/>
      <c r="DC46" s="242"/>
      <c r="DD46" s="242"/>
      <c r="DE46" s="242"/>
      <c r="DF46" s="242"/>
      <c r="DG46" s="242"/>
      <c r="DH46" s="242"/>
      <c r="DI46" s="242"/>
      <c r="DJ46" s="242"/>
      <c r="DK46" s="242"/>
      <c r="DL46" s="242"/>
      <c r="DM46" s="242"/>
      <c r="DN46" s="242"/>
      <c r="DO46" s="242"/>
      <c r="DP46" s="242"/>
      <c r="DQ46" s="242"/>
      <c r="DR46" s="242"/>
      <c r="DS46" s="242"/>
      <c r="DT46" s="242"/>
      <c r="DU46" s="242"/>
      <c r="DV46" s="242"/>
      <c r="DW46" s="242"/>
      <c r="DX46" s="242"/>
      <c r="DY46" s="242"/>
      <c r="DZ46" s="242"/>
      <c r="EA46" s="242"/>
      <c r="EB46" s="242"/>
      <c r="EC46" s="242"/>
      <c r="ED46" s="242"/>
      <c r="EE46" s="242"/>
      <c r="EF46" s="242"/>
      <c r="EG46" s="242"/>
      <c r="EH46" s="242"/>
      <c r="EI46" s="242"/>
      <c r="EJ46" s="242"/>
      <c r="EK46" s="242"/>
      <c r="EL46" s="242"/>
      <c r="EM46" s="242"/>
      <c r="EN46" s="242"/>
      <c r="EO46" s="242"/>
      <c r="EP46" s="242"/>
      <c r="EQ46" s="242"/>
      <c r="ER46" s="242"/>
      <c r="ES46" s="242"/>
      <c r="ET46" s="242"/>
      <c r="EU46" s="242"/>
      <c r="EV46" s="242"/>
      <c r="EW46" s="242"/>
      <c r="EX46" s="242"/>
      <c r="EY46" s="242"/>
      <c r="EZ46" s="242"/>
      <c r="FA46" s="242"/>
      <c r="FB46" s="242"/>
      <c r="FC46" s="242"/>
      <c r="FD46" s="242"/>
      <c r="FE46" s="242"/>
      <c r="FF46" s="242"/>
      <c r="FG46" s="242"/>
      <c r="FH46" s="242"/>
      <c r="FI46" s="242"/>
      <c r="FJ46" s="242"/>
      <c r="FK46" s="242"/>
      <c r="FL46" s="242"/>
      <c r="FM46" s="242"/>
      <c r="FN46" s="242"/>
      <c r="FO46" s="242"/>
      <c r="FP46" s="242"/>
      <c r="FQ46" s="242"/>
      <c r="FR46" s="242"/>
      <c r="FS46" s="242"/>
      <c r="FT46" s="242"/>
      <c r="FU46" s="242"/>
      <c r="FV46" s="242"/>
      <c r="FW46" s="242"/>
      <c r="FX46" s="242"/>
      <c r="FY46" s="242"/>
      <c r="FZ46" s="242"/>
      <c r="GA46" s="242"/>
      <c r="GB46" s="242"/>
      <c r="GC46" s="242"/>
      <c r="GD46" s="242"/>
      <c r="GE46" s="242"/>
      <c r="GF46" s="242"/>
      <c r="GG46" s="242"/>
      <c r="GH46" s="242"/>
    </row>
    <row r="47" spans="1:190" s="18" customFormat="1" ht="25.15" customHeight="1" x14ac:dyDescent="0.3">
      <c r="A47" s="210"/>
      <c r="B47" s="210"/>
      <c r="C47" s="210"/>
      <c r="D47" s="210"/>
      <c r="E47" s="210"/>
      <c r="F47" s="5"/>
      <c r="G47" s="5"/>
      <c r="H47" s="106">
        <f>O33/D32</f>
        <v>7</v>
      </c>
      <c r="I47" s="25"/>
      <c r="J47" s="5"/>
      <c r="K47" s="5"/>
      <c r="L47" s="5"/>
      <c r="M47" s="5"/>
      <c r="N47" s="5"/>
      <c r="O47" s="25"/>
      <c r="P47" s="5"/>
      <c r="Q47" s="5"/>
      <c r="R47" s="5"/>
      <c r="S47" s="5"/>
      <c r="T47" s="5"/>
      <c r="U47" s="45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2"/>
      <c r="AY47" s="242"/>
      <c r="AZ47" s="242"/>
      <c r="BA47" s="242"/>
      <c r="BB47" s="242"/>
      <c r="BC47" s="242"/>
      <c r="BD47" s="242"/>
      <c r="BE47" s="242"/>
      <c r="BF47" s="242"/>
      <c r="BG47" s="242"/>
      <c r="BH47" s="242"/>
      <c r="BI47" s="242"/>
      <c r="BJ47" s="242"/>
      <c r="BK47" s="242"/>
      <c r="BL47" s="242"/>
      <c r="BM47" s="242"/>
      <c r="BN47" s="242"/>
      <c r="BO47" s="242"/>
      <c r="BP47" s="242"/>
      <c r="BQ47" s="242"/>
      <c r="BR47" s="242"/>
      <c r="BS47" s="242"/>
      <c r="BT47" s="242"/>
      <c r="BU47" s="242"/>
      <c r="BV47" s="242"/>
      <c r="BW47" s="242"/>
      <c r="BX47" s="242"/>
      <c r="BY47" s="242"/>
      <c r="BZ47" s="242"/>
      <c r="CA47" s="242"/>
      <c r="CB47" s="242"/>
      <c r="CC47" s="242"/>
      <c r="CD47" s="242"/>
      <c r="CE47" s="242"/>
      <c r="CF47" s="242"/>
      <c r="CG47" s="242"/>
      <c r="CH47" s="242"/>
      <c r="CI47" s="242"/>
      <c r="CJ47" s="242"/>
      <c r="CK47" s="242"/>
      <c r="CL47" s="242"/>
      <c r="CM47" s="242"/>
      <c r="CN47" s="242"/>
      <c r="CO47" s="242"/>
      <c r="CP47" s="242"/>
      <c r="CQ47" s="242"/>
      <c r="CR47" s="242"/>
      <c r="CS47" s="242"/>
      <c r="CT47" s="242"/>
      <c r="CU47" s="242"/>
      <c r="CV47" s="242"/>
      <c r="CW47" s="242"/>
      <c r="CX47" s="242"/>
      <c r="CY47" s="242"/>
      <c r="CZ47" s="242"/>
      <c r="DA47" s="242"/>
      <c r="DB47" s="242"/>
      <c r="DC47" s="242"/>
      <c r="DD47" s="242"/>
      <c r="DE47" s="242"/>
      <c r="DF47" s="242"/>
      <c r="DG47" s="242"/>
      <c r="DH47" s="242"/>
      <c r="DI47" s="242"/>
      <c r="DJ47" s="242"/>
      <c r="DK47" s="242"/>
      <c r="DL47" s="242"/>
      <c r="DM47" s="242"/>
      <c r="DN47" s="242"/>
      <c r="DO47" s="242"/>
      <c r="DP47" s="242"/>
      <c r="DQ47" s="242"/>
      <c r="DR47" s="242"/>
      <c r="DS47" s="242"/>
      <c r="DT47" s="242"/>
      <c r="DU47" s="242"/>
      <c r="DV47" s="242"/>
      <c r="DW47" s="242"/>
      <c r="DX47" s="242"/>
      <c r="DY47" s="242"/>
      <c r="DZ47" s="242"/>
      <c r="EA47" s="242"/>
      <c r="EB47" s="242"/>
      <c r="EC47" s="242"/>
      <c r="ED47" s="242"/>
      <c r="EE47" s="242"/>
      <c r="EF47" s="242"/>
      <c r="EG47" s="242"/>
      <c r="EH47" s="242"/>
      <c r="EI47" s="242"/>
      <c r="EJ47" s="242"/>
      <c r="EK47" s="242"/>
      <c r="EL47" s="242"/>
      <c r="EM47" s="242"/>
      <c r="EN47" s="242"/>
      <c r="EO47" s="242"/>
      <c r="EP47" s="242"/>
      <c r="EQ47" s="242"/>
      <c r="ER47" s="242"/>
      <c r="ES47" s="242"/>
      <c r="ET47" s="242"/>
      <c r="EU47" s="242"/>
      <c r="EV47" s="242"/>
      <c r="EW47" s="242"/>
      <c r="EX47" s="242"/>
      <c r="EY47" s="242"/>
      <c r="EZ47" s="242"/>
      <c r="FA47" s="242"/>
      <c r="FB47" s="242"/>
      <c r="FC47" s="242"/>
      <c r="FD47" s="242"/>
      <c r="FE47" s="242"/>
      <c r="FF47" s="242"/>
      <c r="FG47" s="242"/>
      <c r="FH47" s="242"/>
      <c r="FI47" s="242"/>
      <c r="FJ47" s="242"/>
      <c r="FK47" s="242"/>
      <c r="FL47" s="242"/>
      <c r="FM47" s="242"/>
      <c r="FN47" s="242"/>
      <c r="FO47" s="242"/>
      <c r="FP47" s="242"/>
      <c r="FQ47" s="242"/>
      <c r="FR47" s="242"/>
      <c r="FS47" s="242"/>
      <c r="FT47" s="242"/>
      <c r="FU47" s="242"/>
      <c r="FV47" s="242"/>
      <c r="FW47" s="242"/>
      <c r="FX47" s="242"/>
      <c r="FY47" s="242"/>
      <c r="FZ47" s="242"/>
      <c r="GA47" s="242"/>
      <c r="GB47" s="242"/>
      <c r="GC47" s="242"/>
      <c r="GD47" s="242"/>
      <c r="GE47" s="242"/>
      <c r="GF47" s="242"/>
      <c r="GG47" s="242"/>
      <c r="GH47" s="242"/>
    </row>
    <row r="48" spans="1:190" s="18" customFormat="1" ht="25.15" customHeight="1" x14ac:dyDescent="0.3">
      <c r="A48" s="210"/>
      <c r="B48" s="210"/>
      <c r="C48" s="210"/>
      <c r="D48" s="210"/>
      <c r="E48" s="210"/>
      <c r="F48" s="5"/>
      <c r="G48" s="5"/>
      <c r="H48" s="106">
        <f>P33/D32</f>
        <v>7</v>
      </c>
      <c r="I48" s="25"/>
      <c r="J48" s="5"/>
      <c r="K48" s="5"/>
      <c r="L48" s="5"/>
      <c r="M48" s="5"/>
      <c r="N48" s="5"/>
      <c r="O48" s="25"/>
      <c r="P48" s="5"/>
      <c r="Q48" s="5"/>
      <c r="R48" s="5"/>
      <c r="S48" s="5"/>
      <c r="T48" s="5"/>
      <c r="U48" s="45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 s="242"/>
      <c r="AM48" s="242"/>
      <c r="AN48" s="242"/>
      <c r="AO48" s="242"/>
      <c r="AP48" s="242"/>
      <c r="AQ48" s="242"/>
      <c r="AR48" s="242"/>
      <c r="AS48" s="242"/>
      <c r="AT48" s="242"/>
      <c r="AU48" s="242"/>
      <c r="AV48" s="242"/>
      <c r="AW48" s="242"/>
      <c r="AX48" s="242"/>
      <c r="AY48" s="242"/>
      <c r="AZ48" s="242"/>
      <c r="BA48" s="242"/>
      <c r="BB48" s="242"/>
      <c r="BC48" s="242"/>
      <c r="BD48" s="242"/>
      <c r="BE48" s="242"/>
      <c r="BF48" s="242"/>
      <c r="BG48" s="242"/>
      <c r="BH48" s="242"/>
      <c r="BI48" s="242"/>
      <c r="BJ48" s="242"/>
      <c r="BK48" s="242"/>
      <c r="BL48" s="242"/>
      <c r="BM48" s="242"/>
      <c r="BN48" s="242"/>
      <c r="BO48" s="242"/>
      <c r="BP48" s="242"/>
      <c r="BQ48" s="242"/>
      <c r="BR48" s="242"/>
      <c r="BS48" s="242"/>
      <c r="BT48" s="242"/>
      <c r="BU48" s="242"/>
      <c r="BV48" s="242"/>
      <c r="BW48" s="242"/>
      <c r="BX48" s="242"/>
      <c r="BY48" s="242"/>
      <c r="BZ48" s="242"/>
      <c r="CA48" s="242"/>
      <c r="CB48" s="242"/>
      <c r="CC48" s="242"/>
      <c r="CD48" s="242"/>
      <c r="CE48" s="242"/>
      <c r="CF48" s="242"/>
      <c r="CG48" s="242"/>
      <c r="CH48" s="242"/>
      <c r="CI48" s="242"/>
      <c r="CJ48" s="242"/>
      <c r="CK48" s="242"/>
      <c r="CL48" s="242"/>
      <c r="CM48" s="242"/>
      <c r="CN48" s="242"/>
      <c r="CO48" s="242"/>
      <c r="CP48" s="242"/>
      <c r="CQ48" s="242"/>
      <c r="CR48" s="242"/>
      <c r="CS48" s="242"/>
      <c r="CT48" s="242"/>
      <c r="CU48" s="242"/>
      <c r="CV48" s="242"/>
      <c r="CW48" s="242"/>
      <c r="CX48" s="242"/>
      <c r="CY48" s="242"/>
      <c r="CZ48" s="242"/>
      <c r="DA48" s="242"/>
      <c r="DB48" s="242"/>
      <c r="DC48" s="242"/>
      <c r="DD48" s="242"/>
      <c r="DE48" s="242"/>
      <c r="DF48" s="242"/>
      <c r="DG48" s="242"/>
      <c r="DH48" s="242"/>
      <c r="DI48" s="242"/>
      <c r="DJ48" s="242"/>
      <c r="DK48" s="242"/>
      <c r="DL48" s="242"/>
      <c r="DM48" s="242"/>
      <c r="DN48" s="242"/>
      <c r="DO48" s="242"/>
      <c r="DP48" s="242"/>
      <c r="DQ48" s="242"/>
      <c r="DR48" s="242"/>
      <c r="DS48" s="242"/>
      <c r="DT48" s="242"/>
      <c r="DU48" s="242"/>
      <c r="DV48" s="242"/>
      <c r="DW48" s="242"/>
      <c r="DX48" s="242"/>
      <c r="DY48" s="242"/>
      <c r="DZ48" s="242"/>
      <c r="EA48" s="242"/>
      <c r="EB48" s="242"/>
      <c r="EC48" s="242"/>
      <c r="ED48" s="242"/>
      <c r="EE48" s="242"/>
      <c r="EF48" s="242"/>
      <c r="EG48" s="242"/>
      <c r="EH48" s="242"/>
      <c r="EI48" s="242"/>
      <c r="EJ48" s="242"/>
      <c r="EK48" s="242"/>
      <c r="EL48" s="242"/>
      <c r="EM48" s="242"/>
      <c r="EN48" s="242"/>
      <c r="EO48" s="242"/>
      <c r="EP48" s="242"/>
      <c r="EQ48" s="242"/>
      <c r="ER48" s="242"/>
      <c r="ES48" s="242"/>
      <c r="ET48" s="242"/>
      <c r="EU48" s="242"/>
      <c r="EV48" s="242"/>
      <c r="EW48" s="242"/>
      <c r="EX48" s="242"/>
      <c r="EY48" s="242"/>
      <c r="EZ48" s="242"/>
      <c r="FA48" s="242"/>
      <c r="FB48" s="242"/>
      <c r="FC48" s="242"/>
      <c r="FD48" s="242"/>
      <c r="FE48" s="242"/>
      <c r="FF48" s="242"/>
      <c r="FG48" s="242"/>
      <c r="FH48" s="242"/>
      <c r="FI48" s="242"/>
      <c r="FJ48" s="242"/>
      <c r="FK48" s="242"/>
      <c r="FL48" s="242"/>
      <c r="FM48" s="242"/>
      <c r="FN48" s="242"/>
      <c r="FO48" s="242"/>
      <c r="FP48" s="242"/>
      <c r="FQ48" s="242"/>
      <c r="FR48" s="242"/>
      <c r="FS48" s="242"/>
      <c r="FT48" s="242"/>
      <c r="FU48" s="242"/>
      <c r="FV48" s="242"/>
      <c r="FW48" s="242"/>
      <c r="FX48" s="242"/>
      <c r="FY48" s="242"/>
      <c r="FZ48" s="242"/>
      <c r="GA48" s="242"/>
      <c r="GB48" s="242"/>
      <c r="GC48" s="242"/>
      <c r="GD48" s="242"/>
      <c r="GE48" s="242"/>
      <c r="GF48" s="242"/>
      <c r="GG48" s="242"/>
      <c r="GH48" s="242"/>
    </row>
    <row r="49" spans="1:190" s="18" customFormat="1" ht="25.15" customHeight="1" x14ac:dyDescent="0.3">
      <c r="A49" s="210"/>
      <c r="B49" s="210"/>
      <c r="C49" s="210"/>
      <c r="D49" s="210"/>
      <c r="E49" s="210"/>
      <c r="F49" s="5"/>
      <c r="G49" s="5"/>
      <c r="H49" s="106">
        <f>Q33/D32</f>
        <v>7</v>
      </c>
      <c r="I49" s="25"/>
      <c r="J49" s="5"/>
      <c r="K49" s="5"/>
      <c r="L49" s="5"/>
      <c r="M49" s="5"/>
      <c r="N49" s="5"/>
      <c r="O49" s="25"/>
      <c r="P49" s="5"/>
      <c r="Q49" s="5"/>
      <c r="R49" s="5"/>
      <c r="S49" s="5"/>
      <c r="T49" s="5"/>
      <c r="U49" s="45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 s="242"/>
      <c r="AM49" s="242"/>
      <c r="AN49" s="242"/>
      <c r="AO49" s="242"/>
      <c r="AP49" s="242"/>
      <c r="AQ49" s="242"/>
      <c r="AR49" s="242"/>
      <c r="AS49" s="242"/>
      <c r="AT49" s="242"/>
      <c r="AU49" s="242"/>
      <c r="AV49" s="242"/>
      <c r="AW49" s="242"/>
      <c r="AX49" s="242"/>
      <c r="AY49" s="242"/>
      <c r="AZ49" s="242"/>
      <c r="BA49" s="242"/>
      <c r="BB49" s="242"/>
      <c r="BC49" s="242"/>
      <c r="BD49" s="242"/>
      <c r="BE49" s="242"/>
      <c r="BF49" s="242"/>
      <c r="BG49" s="242"/>
      <c r="BH49" s="242"/>
      <c r="BI49" s="242"/>
      <c r="BJ49" s="242"/>
      <c r="BK49" s="242"/>
      <c r="BL49" s="242"/>
      <c r="BM49" s="242"/>
      <c r="BN49" s="242"/>
      <c r="BO49" s="242"/>
      <c r="BP49" s="242"/>
      <c r="BQ49" s="242"/>
      <c r="BR49" s="242"/>
      <c r="BS49" s="242"/>
      <c r="BT49" s="242"/>
      <c r="BU49" s="242"/>
      <c r="BV49" s="242"/>
      <c r="BW49" s="242"/>
      <c r="BX49" s="242"/>
      <c r="BY49" s="242"/>
      <c r="BZ49" s="242"/>
      <c r="CA49" s="242"/>
      <c r="CB49" s="242"/>
      <c r="CC49" s="242"/>
      <c r="CD49" s="242"/>
      <c r="CE49" s="242"/>
      <c r="CF49" s="242"/>
      <c r="CG49" s="242"/>
      <c r="CH49" s="242"/>
      <c r="CI49" s="242"/>
      <c r="CJ49" s="242"/>
      <c r="CK49" s="242"/>
      <c r="CL49" s="242"/>
      <c r="CM49" s="242"/>
      <c r="CN49" s="242"/>
      <c r="CO49" s="242"/>
      <c r="CP49" s="242"/>
      <c r="CQ49" s="242"/>
      <c r="CR49" s="242"/>
      <c r="CS49" s="242"/>
      <c r="CT49" s="242"/>
      <c r="CU49" s="242"/>
      <c r="CV49" s="242"/>
      <c r="CW49" s="242"/>
      <c r="CX49" s="242"/>
      <c r="CY49" s="242"/>
      <c r="CZ49" s="242"/>
      <c r="DA49" s="242"/>
      <c r="DB49" s="242"/>
      <c r="DC49" s="242"/>
      <c r="DD49" s="242"/>
      <c r="DE49" s="242"/>
      <c r="DF49" s="242"/>
      <c r="DG49" s="242"/>
      <c r="DH49" s="242"/>
      <c r="DI49" s="242"/>
      <c r="DJ49" s="242"/>
      <c r="DK49" s="242"/>
      <c r="DL49" s="242"/>
      <c r="DM49" s="242"/>
      <c r="DN49" s="242"/>
      <c r="DO49" s="242"/>
      <c r="DP49" s="242"/>
      <c r="DQ49" s="242"/>
      <c r="DR49" s="242"/>
      <c r="DS49" s="242"/>
      <c r="DT49" s="242"/>
      <c r="DU49" s="242"/>
      <c r="DV49" s="242"/>
      <c r="DW49" s="242"/>
      <c r="DX49" s="242"/>
      <c r="DY49" s="242"/>
      <c r="DZ49" s="242"/>
      <c r="EA49" s="242"/>
      <c r="EB49" s="242"/>
      <c r="EC49" s="242"/>
      <c r="ED49" s="242"/>
      <c r="EE49" s="242"/>
      <c r="EF49" s="242"/>
      <c r="EG49" s="242"/>
      <c r="EH49" s="242"/>
      <c r="EI49" s="242"/>
      <c r="EJ49" s="242"/>
      <c r="EK49" s="242"/>
      <c r="EL49" s="242"/>
      <c r="EM49" s="242"/>
      <c r="EN49" s="242"/>
      <c r="EO49" s="242"/>
      <c r="EP49" s="242"/>
      <c r="EQ49" s="242"/>
      <c r="ER49" s="242"/>
      <c r="ES49" s="242"/>
      <c r="ET49" s="242"/>
      <c r="EU49" s="242"/>
      <c r="EV49" s="242"/>
      <c r="EW49" s="242"/>
      <c r="EX49" s="242"/>
      <c r="EY49" s="242"/>
      <c r="EZ49" s="242"/>
      <c r="FA49" s="242"/>
      <c r="FB49" s="242"/>
      <c r="FC49" s="242"/>
      <c r="FD49" s="242"/>
      <c r="FE49" s="242"/>
      <c r="FF49" s="242"/>
      <c r="FG49" s="242"/>
      <c r="FH49" s="242"/>
      <c r="FI49" s="242"/>
      <c r="FJ49" s="242"/>
      <c r="FK49" s="242"/>
      <c r="FL49" s="242"/>
      <c r="FM49" s="242"/>
      <c r="FN49" s="242"/>
      <c r="FO49" s="242"/>
      <c r="FP49" s="242"/>
      <c r="FQ49" s="242"/>
      <c r="FR49" s="242"/>
      <c r="FS49" s="242"/>
      <c r="FT49" s="242"/>
      <c r="FU49" s="242"/>
      <c r="FV49" s="242"/>
      <c r="FW49" s="242"/>
      <c r="FX49" s="242"/>
      <c r="FY49" s="242"/>
      <c r="FZ49" s="242"/>
      <c r="GA49" s="242"/>
      <c r="GB49" s="242"/>
      <c r="GC49" s="242"/>
      <c r="GD49" s="242"/>
      <c r="GE49" s="242"/>
      <c r="GF49" s="242"/>
      <c r="GG49" s="242"/>
      <c r="GH49" s="242"/>
    </row>
    <row r="50" spans="1:190" s="18" customFormat="1" ht="25.15" customHeight="1" x14ac:dyDescent="0.3">
      <c r="A50" s="210"/>
      <c r="B50" s="210"/>
      <c r="C50" s="210"/>
      <c r="D50" s="210"/>
      <c r="E50" s="210"/>
      <c r="F50" s="5"/>
      <c r="G50" s="5"/>
      <c r="H50" s="16">
        <f>R33/D32</f>
        <v>8</v>
      </c>
      <c r="I50" s="25"/>
      <c r="J50" s="5"/>
      <c r="K50" s="5"/>
      <c r="L50" s="5"/>
      <c r="M50" s="5"/>
      <c r="N50" s="5"/>
      <c r="O50" s="25"/>
      <c r="P50" s="5"/>
      <c r="Q50" s="5"/>
      <c r="R50" s="5"/>
      <c r="S50" s="5"/>
      <c r="T50" s="5"/>
      <c r="U50" s="45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 s="242"/>
      <c r="AM50" s="242"/>
      <c r="AN50" s="242"/>
      <c r="AO50" s="242"/>
      <c r="AP50" s="242"/>
      <c r="AQ50" s="242"/>
      <c r="AR50" s="242"/>
      <c r="AS50" s="242"/>
      <c r="AT50" s="242"/>
      <c r="AU50" s="242"/>
      <c r="AV50" s="242"/>
      <c r="AW50" s="242"/>
      <c r="AX50" s="242"/>
      <c r="AY50" s="242"/>
      <c r="AZ50" s="242"/>
      <c r="BA50" s="242"/>
      <c r="BB50" s="242"/>
      <c r="BC50" s="242"/>
      <c r="BD50" s="242"/>
      <c r="BE50" s="242"/>
      <c r="BF50" s="242"/>
      <c r="BG50" s="242"/>
      <c r="BH50" s="242"/>
      <c r="BI50" s="242"/>
      <c r="BJ50" s="242"/>
      <c r="BK50" s="242"/>
      <c r="BL50" s="242"/>
      <c r="BM50" s="242"/>
      <c r="BN50" s="242"/>
      <c r="BO50" s="242"/>
      <c r="BP50" s="242"/>
      <c r="BQ50" s="242"/>
      <c r="BR50" s="242"/>
      <c r="BS50" s="242"/>
      <c r="BT50" s="242"/>
      <c r="BU50" s="242"/>
      <c r="BV50" s="242"/>
      <c r="BW50" s="242"/>
      <c r="BX50" s="242"/>
      <c r="BY50" s="242"/>
      <c r="BZ50" s="242"/>
      <c r="CA50" s="242"/>
      <c r="CB50" s="242"/>
      <c r="CC50" s="242"/>
      <c r="CD50" s="242"/>
      <c r="CE50" s="242"/>
      <c r="CF50" s="242"/>
      <c r="CG50" s="242"/>
      <c r="CH50" s="242"/>
      <c r="CI50" s="242"/>
      <c r="CJ50" s="242"/>
      <c r="CK50" s="242"/>
      <c r="CL50" s="242"/>
      <c r="CM50" s="242"/>
      <c r="CN50" s="242"/>
      <c r="CO50" s="242"/>
      <c r="CP50" s="242"/>
      <c r="CQ50" s="242"/>
      <c r="CR50" s="242"/>
      <c r="CS50" s="242"/>
      <c r="CT50" s="242"/>
      <c r="CU50" s="242"/>
      <c r="CV50" s="242"/>
      <c r="CW50" s="242"/>
      <c r="CX50" s="242"/>
      <c r="CY50" s="242"/>
      <c r="CZ50" s="242"/>
      <c r="DA50" s="242"/>
      <c r="DB50" s="242"/>
      <c r="DC50" s="242"/>
      <c r="DD50" s="242"/>
      <c r="DE50" s="242"/>
      <c r="DF50" s="242"/>
      <c r="DG50" s="242"/>
      <c r="DH50" s="242"/>
      <c r="DI50" s="242"/>
      <c r="DJ50" s="242"/>
      <c r="DK50" s="242"/>
      <c r="DL50" s="242"/>
      <c r="DM50" s="242"/>
      <c r="DN50" s="242"/>
      <c r="DO50" s="242"/>
      <c r="DP50" s="242"/>
      <c r="DQ50" s="242"/>
      <c r="DR50" s="242"/>
      <c r="DS50" s="242"/>
      <c r="DT50" s="242"/>
      <c r="DU50" s="242"/>
      <c r="DV50" s="242"/>
      <c r="DW50" s="242"/>
      <c r="DX50" s="242"/>
      <c r="DY50" s="242"/>
      <c r="DZ50" s="242"/>
      <c r="EA50" s="242"/>
      <c r="EB50" s="242"/>
      <c r="EC50" s="242"/>
      <c r="ED50" s="242"/>
      <c r="EE50" s="242"/>
      <c r="EF50" s="242"/>
      <c r="EG50" s="242"/>
      <c r="EH50" s="242"/>
      <c r="EI50" s="242"/>
      <c r="EJ50" s="242"/>
      <c r="EK50" s="242"/>
      <c r="EL50" s="242"/>
      <c r="EM50" s="242"/>
      <c r="EN50" s="242"/>
      <c r="EO50" s="242"/>
      <c r="EP50" s="242"/>
      <c r="EQ50" s="242"/>
      <c r="ER50" s="242"/>
      <c r="ES50" s="242"/>
      <c r="ET50" s="242"/>
      <c r="EU50" s="242"/>
      <c r="EV50" s="242"/>
      <c r="EW50" s="242"/>
      <c r="EX50" s="242"/>
      <c r="EY50" s="242"/>
      <c r="EZ50" s="242"/>
      <c r="FA50" s="242"/>
      <c r="FB50" s="242"/>
      <c r="FC50" s="242"/>
      <c r="FD50" s="242"/>
      <c r="FE50" s="242"/>
      <c r="FF50" s="242"/>
      <c r="FG50" s="242"/>
      <c r="FH50" s="242"/>
      <c r="FI50" s="242"/>
      <c r="FJ50" s="242"/>
      <c r="FK50" s="242"/>
      <c r="FL50" s="242"/>
      <c r="FM50" s="242"/>
      <c r="FN50" s="242"/>
      <c r="FO50" s="242"/>
      <c r="FP50" s="242"/>
      <c r="FQ50" s="242"/>
      <c r="FR50" s="242"/>
      <c r="FS50" s="242"/>
      <c r="FT50" s="242"/>
      <c r="FU50" s="242"/>
      <c r="FV50" s="242"/>
      <c r="FW50" s="242"/>
      <c r="FX50" s="242"/>
      <c r="FY50" s="242"/>
      <c r="FZ50" s="242"/>
      <c r="GA50" s="242"/>
      <c r="GB50" s="242"/>
      <c r="GC50" s="242"/>
      <c r="GD50" s="242"/>
      <c r="GE50" s="242"/>
      <c r="GF50" s="242"/>
      <c r="GG50" s="242"/>
      <c r="GH50" s="242"/>
    </row>
    <row r="51" spans="1:190" s="18" customFormat="1" ht="25.15" customHeight="1" x14ac:dyDescent="0.3">
      <c r="A51" s="210"/>
      <c r="B51" s="210"/>
      <c r="C51" s="210"/>
      <c r="D51" s="210"/>
      <c r="E51" s="210"/>
      <c r="F51" s="5"/>
      <c r="G51" s="5"/>
      <c r="H51" s="16">
        <f>S33/D32</f>
        <v>8</v>
      </c>
      <c r="I51" s="25"/>
      <c r="J51" s="5"/>
      <c r="K51" s="5"/>
      <c r="L51" s="5"/>
      <c r="M51" s="5"/>
      <c r="N51" s="5"/>
      <c r="O51" s="25"/>
      <c r="P51" s="5"/>
      <c r="Q51" s="5"/>
      <c r="R51" s="5"/>
      <c r="S51" s="5"/>
      <c r="T51" s="5"/>
      <c r="U51" s="45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 s="242"/>
      <c r="AM51" s="242"/>
      <c r="AN51" s="242"/>
      <c r="AO51" s="242"/>
      <c r="AP51" s="242"/>
      <c r="AQ51" s="242"/>
      <c r="AR51" s="242"/>
      <c r="AS51" s="242"/>
      <c r="AT51" s="242"/>
      <c r="AU51" s="242"/>
      <c r="AV51" s="242"/>
      <c r="AW51" s="242"/>
      <c r="AX51" s="242"/>
      <c r="AY51" s="242"/>
      <c r="AZ51" s="242"/>
      <c r="BA51" s="242"/>
      <c r="BB51" s="242"/>
      <c r="BC51" s="242"/>
      <c r="BD51" s="242"/>
      <c r="BE51" s="242"/>
      <c r="BF51" s="242"/>
      <c r="BG51" s="242"/>
      <c r="BH51" s="242"/>
      <c r="BI51" s="242"/>
      <c r="BJ51" s="242"/>
      <c r="BK51" s="242"/>
      <c r="BL51" s="242"/>
      <c r="BM51" s="242"/>
      <c r="BN51" s="242"/>
      <c r="BO51" s="242"/>
      <c r="BP51" s="242"/>
      <c r="BQ51" s="242"/>
      <c r="BR51" s="242"/>
      <c r="BS51" s="242"/>
      <c r="BT51" s="242"/>
      <c r="BU51" s="242"/>
      <c r="BV51" s="242"/>
      <c r="BW51" s="242"/>
      <c r="BX51" s="242"/>
      <c r="BY51" s="242"/>
      <c r="BZ51" s="242"/>
      <c r="CA51" s="242"/>
      <c r="CB51" s="242"/>
      <c r="CC51" s="242"/>
      <c r="CD51" s="242"/>
      <c r="CE51" s="242"/>
      <c r="CF51" s="242"/>
      <c r="CG51" s="242"/>
      <c r="CH51" s="242"/>
      <c r="CI51" s="242"/>
      <c r="CJ51" s="242"/>
      <c r="CK51" s="242"/>
      <c r="CL51" s="242"/>
      <c r="CM51" s="242"/>
      <c r="CN51" s="242"/>
      <c r="CO51" s="242"/>
      <c r="CP51" s="242"/>
      <c r="CQ51" s="242"/>
      <c r="CR51" s="242"/>
      <c r="CS51" s="242"/>
      <c r="CT51" s="242"/>
      <c r="CU51" s="242"/>
      <c r="CV51" s="242"/>
      <c r="CW51" s="242"/>
      <c r="CX51" s="242"/>
      <c r="CY51" s="242"/>
      <c r="CZ51" s="242"/>
      <c r="DA51" s="242"/>
      <c r="DB51" s="242"/>
      <c r="DC51" s="242"/>
      <c r="DD51" s="242"/>
      <c r="DE51" s="242"/>
      <c r="DF51" s="242"/>
      <c r="DG51" s="242"/>
      <c r="DH51" s="242"/>
      <c r="DI51" s="242"/>
      <c r="DJ51" s="242"/>
      <c r="DK51" s="242"/>
      <c r="DL51" s="242"/>
      <c r="DM51" s="242"/>
      <c r="DN51" s="242"/>
      <c r="DO51" s="242"/>
      <c r="DP51" s="242"/>
      <c r="DQ51" s="242"/>
      <c r="DR51" s="242"/>
      <c r="DS51" s="242"/>
      <c r="DT51" s="242"/>
      <c r="DU51" s="242"/>
      <c r="DV51" s="242"/>
      <c r="DW51" s="242"/>
      <c r="DX51" s="242"/>
      <c r="DY51" s="242"/>
      <c r="DZ51" s="242"/>
      <c r="EA51" s="242"/>
      <c r="EB51" s="242"/>
      <c r="EC51" s="242"/>
      <c r="ED51" s="242"/>
      <c r="EE51" s="242"/>
      <c r="EF51" s="242"/>
      <c r="EG51" s="242"/>
      <c r="EH51" s="242"/>
      <c r="EI51" s="242"/>
      <c r="EJ51" s="242"/>
      <c r="EK51" s="242"/>
      <c r="EL51" s="242"/>
      <c r="EM51" s="242"/>
      <c r="EN51" s="242"/>
      <c r="EO51" s="242"/>
      <c r="EP51" s="242"/>
      <c r="EQ51" s="242"/>
      <c r="ER51" s="242"/>
      <c r="ES51" s="242"/>
      <c r="ET51" s="242"/>
      <c r="EU51" s="242"/>
      <c r="EV51" s="242"/>
      <c r="EW51" s="242"/>
      <c r="EX51" s="242"/>
      <c r="EY51" s="242"/>
      <c r="EZ51" s="242"/>
      <c r="FA51" s="242"/>
      <c r="FB51" s="242"/>
      <c r="FC51" s="242"/>
      <c r="FD51" s="242"/>
      <c r="FE51" s="242"/>
      <c r="FF51" s="242"/>
      <c r="FG51" s="242"/>
      <c r="FH51" s="242"/>
      <c r="FI51" s="242"/>
      <c r="FJ51" s="242"/>
      <c r="FK51" s="242"/>
      <c r="FL51" s="242"/>
      <c r="FM51" s="242"/>
      <c r="FN51" s="242"/>
      <c r="FO51" s="242"/>
      <c r="FP51" s="242"/>
      <c r="FQ51" s="242"/>
      <c r="FR51" s="242"/>
      <c r="FS51" s="242"/>
      <c r="FT51" s="242"/>
      <c r="FU51" s="242"/>
      <c r="FV51" s="242"/>
      <c r="FW51" s="242"/>
      <c r="FX51" s="242"/>
      <c r="FY51" s="242"/>
      <c r="FZ51" s="242"/>
      <c r="GA51" s="242"/>
      <c r="GB51" s="242"/>
      <c r="GC51" s="242"/>
      <c r="GD51" s="242"/>
      <c r="GE51" s="242"/>
      <c r="GF51" s="242"/>
      <c r="GG51" s="242"/>
      <c r="GH51" s="242"/>
    </row>
    <row r="52" spans="1:190" s="18" customFormat="1" ht="25.15" customHeight="1" x14ac:dyDescent="0.3">
      <c r="A52" s="210"/>
      <c r="B52" s="210"/>
      <c r="C52" s="210"/>
      <c r="D52" s="210"/>
      <c r="E52" s="210"/>
      <c r="F52" s="5"/>
      <c r="G52" s="5"/>
      <c r="H52" s="15">
        <f>SUM(H38:H51)</f>
        <v>94</v>
      </c>
      <c r="I52" s="25"/>
      <c r="J52" s="5"/>
      <c r="K52" s="5"/>
      <c r="L52" s="5"/>
      <c r="M52" s="5"/>
      <c r="N52" s="5"/>
      <c r="O52" s="25"/>
      <c r="P52" s="5"/>
      <c r="Q52" s="5"/>
      <c r="R52" s="5"/>
      <c r="S52" s="5"/>
      <c r="T52" s="5"/>
      <c r="U52" s="45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 s="242"/>
      <c r="AM52" s="242"/>
      <c r="AN52" s="242"/>
      <c r="AO52" s="242"/>
      <c r="AP52" s="242"/>
      <c r="AQ52" s="242"/>
      <c r="AR52" s="242"/>
      <c r="AS52" s="242"/>
      <c r="AT52" s="242"/>
      <c r="AU52" s="242"/>
      <c r="AV52" s="242"/>
      <c r="AW52" s="242"/>
      <c r="AX52" s="242"/>
      <c r="AY52" s="242"/>
      <c r="AZ52" s="242"/>
      <c r="BA52" s="242"/>
      <c r="BB52" s="242"/>
      <c r="BC52" s="242"/>
      <c r="BD52" s="242"/>
      <c r="BE52" s="242"/>
      <c r="BF52" s="242"/>
      <c r="BG52" s="242"/>
      <c r="BH52" s="242"/>
      <c r="BI52" s="242"/>
      <c r="BJ52" s="242"/>
      <c r="BK52" s="242"/>
      <c r="BL52" s="242"/>
      <c r="BM52" s="242"/>
      <c r="BN52" s="242"/>
      <c r="BO52" s="242"/>
      <c r="BP52" s="242"/>
      <c r="BQ52" s="242"/>
      <c r="BR52" s="242"/>
      <c r="BS52" s="242"/>
      <c r="BT52" s="242"/>
      <c r="BU52" s="242"/>
      <c r="BV52" s="242"/>
      <c r="BW52" s="242"/>
      <c r="BX52" s="242"/>
      <c r="BY52" s="242"/>
      <c r="BZ52" s="242"/>
      <c r="CA52" s="242"/>
      <c r="CB52" s="242"/>
      <c r="CC52" s="242"/>
      <c r="CD52" s="242"/>
      <c r="CE52" s="242"/>
      <c r="CF52" s="242"/>
      <c r="CG52" s="242"/>
      <c r="CH52" s="242"/>
      <c r="CI52" s="242"/>
      <c r="CJ52" s="242"/>
      <c r="CK52" s="242"/>
      <c r="CL52" s="242"/>
      <c r="CM52" s="242"/>
      <c r="CN52" s="242"/>
      <c r="CO52" s="242"/>
      <c r="CP52" s="242"/>
      <c r="CQ52" s="242"/>
      <c r="CR52" s="242"/>
      <c r="CS52" s="242"/>
      <c r="CT52" s="242"/>
      <c r="CU52" s="242"/>
      <c r="CV52" s="242"/>
      <c r="CW52" s="242"/>
      <c r="CX52" s="242"/>
      <c r="CY52" s="242"/>
      <c r="CZ52" s="242"/>
      <c r="DA52" s="242"/>
      <c r="DB52" s="242"/>
      <c r="DC52" s="242"/>
      <c r="DD52" s="242"/>
      <c r="DE52" s="242"/>
      <c r="DF52" s="242"/>
      <c r="DG52" s="242"/>
      <c r="DH52" s="242"/>
      <c r="DI52" s="242"/>
      <c r="DJ52" s="242"/>
      <c r="DK52" s="242"/>
      <c r="DL52" s="242"/>
      <c r="DM52" s="242"/>
      <c r="DN52" s="242"/>
      <c r="DO52" s="242"/>
      <c r="DP52" s="242"/>
      <c r="DQ52" s="242"/>
      <c r="DR52" s="242"/>
      <c r="DS52" s="242"/>
      <c r="DT52" s="242"/>
      <c r="DU52" s="242"/>
      <c r="DV52" s="242"/>
      <c r="DW52" s="242"/>
      <c r="DX52" s="242"/>
      <c r="DY52" s="242"/>
      <c r="DZ52" s="242"/>
      <c r="EA52" s="242"/>
      <c r="EB52" s="242"/>
      <c r="EC52" s="242"/>
      <c r="ED52" s="242"/>
      <c r="EE52" s="242"/>
      <c r="EF52" s="242"/>
      <c r="EG52" s="242"/>
      <c r="EH52" s="242"/>
      <c r="EI52" s="242"/>
      <c r="EJ52" s="242"/>
      <c r="EK52" s="242"/>
      <c r="EL52" s="242"/>
      <c r="EM52" s="242"/>
      <c r="EN52" s="242"/>
      <c r="EO52" s="242"/>
      <c r="EP52" s="242"/>
      <c r="EQ52" s="242"/>
      <c r="ER52" s="242"/>
      <c r="ES52" s="242"/>
      <c r="ET52" s="242"/>
      <c r="EU52" s="242"/>
      <c r="EV52" s="242"/>
      <c r="EW52" s="242"/>
      <c r="EX52" s="242"/>
      <c r="EY52" s="242"/>
      <c r="EZ52" s="242"/>
      <c r="FA52" s="242"/>
      <c r="FB52" s="242"/>
      <c r="FC52" s="242"/>
      <c r="FD52" s="242"/>
      <c r="FE52" s="242"/>
      <c r="FF52" s="242"/>
      <c r="FG52" s="242"/>
      <c r="FH52" s="242"/>
      <c r="FI52" s="242"/>
      <c r="FJ52" s="242"/>
      <c r="FK52" s="242"/>
      <c r="FL52" s="242"/>
      <c r="FM52" s="242"/>
      <c r="FN52" s="242"/>
      <c r="FO52" s="242"/>
      <c r="FP52" s="242"/>
      <c r="FQ52" s="242"/>
      <c r="FR52" s="242"/>
      <c r="FS52" s="242"/>
      <c r="FT52" s="242"/>
      <c r="FU52" s="242"/>
      <c r="FV52" s="242"/>
      <c r="FW52" s="242"/>
      <c r="FX52" s="242"/>
      <c r="FY52" s="242"/>
      <c r="FZ52" s="242"/>
      <c r="GA52" s="242"/>
      <c r="GB52" s="242"/>
      <c r="GC52" s="242"/>
      <c r="GD52" s="242"/>
      <c r="GE52" s="242"/>
      <c r="GF52" s="242"/>
      <c r="GG52" s="242"/>
      <c r="GH52" s="242"/>
    </row>
    <row r="53" spans="1:190" s="18" customFormat="1" ht="25.15" customHeight="1" x14ac:dyDescent="0.3">
      <c r="A53" s="210"/>
      <c r="B53" s="210"/>
      <c r="C53" s="210"/>
      <c r="D53" s="210"/>
      <c r="E53" s="210"/>
      <c r="F53" s="5"/>
      <c r="G53" s="5"/>
      <c r="H53" s="5"/>
      <c r="I53" s="25"/>
      <c r="J53" s="5"/>
      <c r="K53" s="5"/>
      <c r="L53" s="5"/>
      <c r="M53" s="5"/>
      <c r="N53" s="5"/>
      <c r="O53" s="25"/>
      <c r="P53" s="5"/>
      <c r="Q53" s="5"/>
      <c r="R53" s="5"/>
      <c r="S53" s="5"/>
      <c r="T53" s="5"/>
      <c r="U53" s="45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 s="242"/>
      <c r="AM53" s="242"/>
      <c r="AN53" s="242"/>
      <c r="AO53" s="242"/>
      <c r="AP53" s="242"/>
      <c r="AQ53" s="242"/>
      <c r="AR53" s="242"/>
      <c r="AS53" s="242"/>
      <c r="AT53" s="242"/>
      <c r="AU53" s="242"/>
      <c r="AV53" s="242"/>
      <c r="AW53" s="242"/>
      <c r="AX53" s="242"/>
      <c r="AY53" s="242"/>
      <c r="AZ53" s="242"/>
      <c r="BA53" s="242"/>
      <c r="BB53" s="242"/>
      <c r="BC53" s="242"/>
      <c r="BD53" s="242"/>
      <c r="BE53" s="242"/>
      <c r="BF53" s="242"/>
      <c r="BG53" s="242"/>
      <c r="BH53" s="242"/>
      <c r="BI53" s="242"/>
      <c r="BJ53" s="242"/>
      <c r="BK53" s="242"/>
      <c r="BL53" s="242"/>
      <c r="BM53" s="242"/>
      <c r="BN53" s="242"/>
      <c r="BO53" s="242"/>
      <c r="BP53" s="242"/>
      <c r="BQ53" s="242"/>
      <c r="BR53" s="242"/>
      <c r="BS53" s="242"/>
      <c r="BT53" s="242"/>
      <c r="BU53" s="242"/>
      <c r="BV53" s="242"/>
      <c r="BW53" s="242"/>
      <c r="BX53" s="242"/>
      <c r="BY53" s="242"/>
      <c r="BZ53" s="242"/>
      <c r="CA53" s="242"/>
      <c r="CB53" s="242"/>
      <c r="CC53" s="242"/>
      <c r="CD53" s="242"/>
      <c r="CE53" s="242"/>
      <c r="CF53" s="242"/>
      <c r="CG53" s="242"/>
      <c r="CH53" s="242"/>
      <c r="CI53" s="242"/>
      <c r="CJ53" s="242"/>
      <c r="CK53" s="242"/>
      <c r="CL53" s="242"/>
      <c r="CM53" s="242"/>
      <c r="CN53" s="242"/>
      <c r="CO53" s="242"/>
      <c r="CP53" s="242"/>
      <c r="CQ53" s="242"/>
      <c r="CR53" s="242"/>
      <c r="CS53" s="242"/>
      <c r="CT53" s="242"/>
      <c r="CU53" s="242"/>
      <c r="CV53" s="242"/>
      <c r="CW53" s="242"/>
      <c r="CX53" s="242"/>
      <c r="CY53" s="242"/>
      <c r="CZ53" s="242"/>
      <c r="DA53" s="242"/>
      <c r="DB53" s="242"/>
      <c r="DC53" s="242"/>
      <c r="DD53" s="242"/>
      <c r="DE53" s="242"/>
      <c r="DF53" s="242"/>
      <c r="DG53" s="242"/>
      <c r="DH53" s="242"/>
      <c r="DI53" s="242"/>
      <c r="DJ53" s="242"/>
      <c r="DK53" s="242"/>
      <c r="DL53" s="242"/>
      <c r="DM53" s="242"/>
      <c r="DN53" s="242"/>
      <c r="DO53" s="242"/>
      <c r="DP53" s="242"/>
      <c r="DQ53" s="242"/>
      <c r="DR53" s="242"/>
      <c r="DS53" s="242"/>
      <c r="DT53" s="242"/>
      <c r="DU53" s="242"/>
      <c r="DV53" s="242"/>
      <c r="DW53" s="242"/>
      <c r="DX53" s="242"/>
      <c r="DY53" s="242"/>
      <c r="DZ53" s="242"/>
      <c r="EA53" s="242"/>
      <c r="EB53" s="242"/>
      <c r="EC53" s="242"/>
      <c r="ED53" s="242"/>
      <c r="EE53" s="242"/>
      <c r="EF53" s="242"/>
      <c r="EG53" s="242"/>
      <c r="EH53" s="242"/>
      <c r="EI53" s="242"/>
      <c r="EJ53" s="242"/>
      <c r="EK53" s="242"/>
      <c r="EL53" s="242"/>
      <c r="EM53" s="242"/>
      <c r="EN53" s="242"/>
      <c r="EO53" s="242"/>
      <c r="EP53" s="242"/>
      <c r="EQ53" s="242"/>
      <c r="ER53" s="242"/>
      <c r="ES53" s="242"/>
      <c r="ET53" s="242"/>
      <c r="EU53" s="242"/>
      <c r="EV53" s="242"/>
      <c r="EW53" s="242"/>
      <c r="EX53" s="242"/>
      <c r="EY53" s="242"/>
      <c r="EZ53" s="242"/>
      <c r="FA53" s="242"/>
      <c r="FB53" s="242"/>
      <c r="FC53" s="242"/>
      <c r="FD53" s="242"/>
      <c r="FE53" s="242"/>
      <c r="FF53" s="242"/>
      <c r="FG53" s="242"/>
      <c r="FH53" s="242"/>
      <c r="FI53" s="242"/>
      <c r="FJ53" s="242"/>
      <c r="FK53" s="242"/>
      <c r="FL53" s="242"/>
      <c r="FM53" s="242"/>
      <c r="FN53" s="242"/>
      <c r="FO53" s="242"/>
      <c r="FP53" s="242"/>
      <c r="FQ53" s="242"/>
      <c r="FR53" s="242"/>
      <c r="FS53" s="242"/>
      <c r="FT53" s="242"/>
      <c r="FU53" s="242"/>
      <c r="FV53" s="242"/>
      <c r="FW53" s="242"/>
      <c r="FX53" s="242"/>
      <c r="FY53" s="242"/>
      <c r="FZ53" s="242"/>
      <c r="GA53" s="242"/>
      <c r="GB53" s="242"/>
      <c r="GC53" s="242"/>
      <c r="GD53" s="242"/>
      <c r="GE53" s="242"/>
      <c r="GF53" s="242"/>
      <c r="GG53" s="242"/>
      <c r="GH53" s="242"/>
    </row>
    <row r="54" spans="1:190" s="18" customFormat="1" ht="25.15" customHeight="1" x14ac:dyDescent="0.3">
      <c r="A54" s="210"/>
      <c r="B54" s="210"/>
      <c r="C54" s="210"/>
      <c r="D54" s="210"/>
      <c r="E54" s="210"/>
      <c r="F54" s="5"/>
      <c r="G54" s="5"/>
      <c r="H54" s="5"/>
      <c r="I54" s="25"/>
      <c r="J54" s="5"/>
      <c r="K54" s="5"/>
      <c r="L54" s="5"/>
      <c r="M54" s="5"/>
      <c r="N54" s="5"/>
      <c r="O54" s="25"/>
      <c r="P54" s="5"/>
      <c r="Q54" s="5"/>
      <c r="R54" s="5"/>
      <c r="S54" s="5"/>
      <c r="T54" s="5"/>
      <c r="U54" s="45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 s="242"/>
      <c r="AM54" s="242"/>
      <c r="AN54" s="242"/>
      <c r="AO54" s="242"/>
      <c r="AP54" s="242"/>
      <c r="AQ54" s="242"/>
      <c r="AR54" s="242"/>
      <c r="AS54" s="242"/>
      <c r="AT54" s="242"/>
      <c r="AU54" s="242"/>
      <c r="AV54" s="242"/>
      <c r="AW54" s="242"/>
      <c r="AX54" s="242"/>
      <c r="AY54" s="242"/>
      <c r="AZ54" s="242"/>
      <c r="BA54" s="242"/>
      <c r="BB54" s="242"/>
      <c r="BC54" s="242"/>
      <c r="BD54" s="242"/>
      <c r="BE54" s="242"/>
      <c r="BF54" s="242"/>
      <c r="BG54" s="242"/>
      <c r="BH54" s="242"/>
      <c r="BI54" s="242"/>
      <c r="BJ54" s="242"/>
      <c r="BK54" s="242"/>
      <c r="BL54" s="242"/>
      <c r="BM54" s="242"/>
      <c r="BN54" s="242"/>
      <c r="BO54" s="242"/>
      <c r="BP54" s="242"/>
      <c r="BQ54" s="242"/>
      <c r="BR54" s="242"/>
      <c r="BS54" s="242"/>
      <c r="BT54" s="242"/>
      <c r="BU54" s="242"/>
      <c r="BV54" s="242"/>
      <c r="BW54" s="242"/>
      <c r="BX54" s="242"/>
      <c r="BY54" s="242"/>
      <c r="BZ54" s="242"/>
      <c r="CA54" s="242"/>
      <c r="CB54" s="242"/>
      <c r="CC54" s="242"/>
      <c r="CD54" s="242"/>
      <c r="CE54" s="242"/>
      <c r="CF54" s="242"/>
      <c r="CG54" s="242"/>
      <c r="CH54" s="242"/>
      <c r="CI54" s="242"/>
      <c r="CJ54" s="242"/>
      <c r="CK54" s="242"/>
      <c r="CL54" s="242"/>
      <c r="CM54" s="242"/>
      <c r="CN54" s="242"/>
      <c r="CO54" s="242"/>
      <c r="CP54" s="242"/>
      <c r="CQ54" s="242"/>
      <c r="CR54" s="242"/>
      <c r="CS54" s="242"/>
      <c r="CT54" s="242"/>
      <c r="CU54" s="242"/>
      <c r="CV54" s="242"/>
      <c r="CW54" s="242"/>
      <c r="CX54" s="242"/>
      <c r="CY54" s="242"/>
      <c r="CZ54" s="242"/>
      <c r="DA54" s="242"/>
      <c r="DB54" s="242"/>
      <c r="DC54" s="242"/>
      <c r="DD54" s="242"/>
      <c r="DE54" s="242"/>
      <c r="DF54" s="242"/>
      <c r="DG54" s="242"/>
      <c r="DH54" s="242"/>
      <c r="DI54" s="242"/>
      <c r="DJ54" s="242"/>
      <c r="DK54" s="242"/>
      <c r="DL54" s="242"/>
      <c r="DM54" s="242"/>
      <c r="DN54" s="242"/>
      <c r="DO54" s="242"/>
      <c r="DP54" s="242"/>
      <c r="DQ54" s="242"/>
      <c r="DR54" s="242"/>
      <c r="DS54" s="242"/>
      <c r="DT54" s="242"/>
      <c r="DU54" s="242"/>
      <c r="DV54" s="242"/>
      <c r="DW54" s="242"/>
      <c r="DX54" s="242"/>
      <c r="DY54" s="242"/>
      <c r="DZ54" s="242"/>
      <c r="EA54" s="242"/>
      <c r="EB54" s="242"/>
      <c r="EC54" s="242"/>
      <c r="ED54" s="242"/>
      <c r="EE54" s="242"/>
      <c r="EF54" s="242"/>
      <c r="EG54" s="242"/>
      <c r="EH54" s="242"/>
      <c r="EI54" s="242"/>
      <c r="EJ54" s="242"/>
      <c r="EK54" s="242"/>
      <c r="EL54" s="242"/>
      <c r="EM54" s="242"/>
      <c r="EN54" s="242"/>
      <c r="EO54" s="242"/>
      <c r="EP54" s="242"/>
      <c r="EQ54" s="242"/>
      <c r="ER54" s="242"/>
      <c r="ES54" s="242"/>
      <c r="ET54" s="242"/>
      <c r="EU54" s="242"/>
      <c r="EV54" s="242"/>
      <c r="EW54" s="242"/>
      <c r="EX54" s="242"/>
      <c r="EY54" s="242"/>
      <c r="EZ54" s="242"/>
      <c r="FA54" s="242"/>
      <c r="FB54" s="242"/>
      <c r="FC54" s="242"/>
      <c r="FD54" s="242"/>
      <c r="FE54" s="242"/>
      <c r="FF54" s="242"/>
      <c r="FG54" s="242"/>
      <c r="FH54" s="242"/>
      <c r="FI54" s="242"/>
      <c r="FJ54" s="242"/>
      <c r="FK54" s="242"/>
      <c r="FL54" s="242"/>
      <c r="FM54" s="242"/>
      <c r="FN54" s="242"/>
      <c r="FO54" s="242"/>
      <c r="FP54" s="242"/>
      <c r="FQ54" s="242"/>
      <c r="FR54" s="242"/>
      <c r="FS54" s="242"/>
      <c r="FT54" s="242"/>
      <c r="FU54" s="242"/>
      <c r="FV54" s="242"/>
      <c r="FW54" s="242"/>
      <c r="FX54" s="242"/>
      <c r="FY54" s="242"/>
      <c r="FZ54" s="242"/>
      <c r="GA54" s="242"/>
      <c r="GB54" s="242"/>
      <c r="GC54" s="242"/>
      <c r="GD54" s="242"/>
      <c r="GE54" s="242"/>
      <c r="GF54" s="242"/>
      <c r="GG54" s="242"/>
      <c r="GH54" s="242"/>
    </row>
    <row r="55" spans="1:190" s="18" customFormat="1" ht="25.15" customHeight="1" x14ac:dyDescent="0.3">
      <c r="A55" s="210"/>
      <c r="B55" s="210"/>
      <c r="C55" s="210"/>
      <c r="D55" s="210"/>
      <c r="E55" s="210"/>
      <c r="F55" s="5"/>
      <c r="G55" s="5"/>
      <c r="H55" s="5"/>
      <c r="I55" s="25"/>
      <c r="J55" s="5"/>
      <c r="K55" s="5"/>
      <c r="L55" s="5"/>
      <c r="M55" s="5"/>
      <c r="N55" s="5"/>
      <c r="O55" s="25"/>
      <c r="P55" s="5"/>
      <c r="Q55" s="5"/>
      <c r="R55" s="5"/>
      <c r="S55" s="5"/>
      <c r="T55" s="5"/>
      <c r="U55" s="4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 s="242"/>
      <c r="AM55" s="242"/>
      <c r="AN55" s="242"/>
      <c r="AO55" s="242"/>
      <c r="AP55" s="242"/>
      <c r="AQ55" s="242"/>
      <c r="AR55" s="242"/>
      <c r="AS55" s="242"/>
      <c r="AT55" s="242"/>
      <c r="AU55" s="242"/>
      <c r="AV55" s="242"/>
      <c r="AW55" s="242"/>
      <c r="AX55" s="242"/>
      <c r="AY55" s="242"/>
      <c r="AZ55" s="242"/>
      <c r="BA55" s="242"/>
      <c r="BB55" s="242"/>
      <c r="BC55" s="242"/>
      <c r="BD55" s="242"/>
      <c r="BE55" s="242"/>
      <c r="BF55" s="242"/>
      <c r="BG55" s="242"/>
      <c r="BH55" s="242"/>
      <c r="BI55" s="242"/>
      <c r="BJ55" s="242"/>
      <c r="BK55" s="242"/>
      <c r="BL55" s="242"/>
      <c r="BM55" s="242"/>
      <c r="BN55" s="242"/>
      <c r="BO55" s="242"/>
      <c r="BP55" s="242"/>
      <c r="BQ55" s="242"/>
      <c r="BR55" s="242"/>
      <c r="BS55" s="242"/>
      <c r="BT55" s="242"/>
      <c r="BU55" s="242"/>
      <c r="BV55" s="242"/>
      <c r="BW55" s="242"/>
      <c r="BX55" s="242"/>
      <c r="BY55" s="242"/>
      <c r="BZ55" s="242"/>
      <c r="CA55" s="242"/>
      <c r="CB55" s="242"/>
      <c r="CC55" s="242"/>
      <c r="CD55" s="242"/>
      <c r="CE55" s="242"/>
      <c r="CF55" s="242"/>
      <c r="CG55" s="242"/>
      <c r="CH55" s="242"/>
      <c r="CI55" s="242"/>
      <c r="CJ55" s="242"/>
      <c r="CK55" s="242"/>
      <c r="CL55" s="242"/>
      <c r="CM55" s="242"/>
      <c r="CN55" s="242"/>
      <c r="CO55" s="242"/>
      <c r="CP55" s="242"/>
      <c r="CQ55" s="242"/>
      <c r="CR55" s="242"/>
      <c r="CS55" s="242"/>
      <c r="CT55" s="242"/>
      <c r="CU55" s="242"/>
      <c r="CV55" s="242"/>
      <c r="CW55" s="242"/>
      <c r="CX55" s="242"/>
      <c r="CY55" s="242"/>
      <c r="CZ55" s="242"/>
      <c r="DA55" s="242"/>
      <c r="DB55" s="242"/>
      <c r="DC55" s="242"/>
      <c r="DD55" s="242"/>
      <c r="DE55" s="242"/>
      <c r="DF55" s="242"/>
      <c r="DG55" s="242"/>
      <c r="DH55" s="242"/>
      <c r="DI55" s="242"/>
      <c r="DJ55" s="242"/>
      <c r="DK55" s="242"/>
      <c r="DL55" s="242"/>
      <c r="DM55" s="242"/>
      <c r="DN55" s="242"/>
      <c r="DO55" s="242"/>
      <c r="DP55" s="242"/>
      <c r="DQ55" s="242"/>
      <c r="DR55" s="242"/>
      <c r="DS55" s="242"/>
      <c r="DT55" s="242"/>
      <c r="DU55" s="242"/>
      <c r="DV55" s="242"/>
      <c r="DW55" s="242"/>
      <c r="DX55" s="242"/>
      <c r="DY55" s="242"/>
      <c r="DZ55" s="242"/>
      <c r="EA55" s="242"/>
      <c r="EB55" s="242"/>
      <c r="EC55" s="242"/>
      <c r="ED55" s="242"/>
      <c r="EE55" s="242"/>
      <c r="EF55" s="242"/>
      <c r="EG55" s="242"/>
      <c r="EH55" s="242"/>
      <c r="EI55" s="242"/>
      <c r="EJ55" s="242"/>
      <c r="EK55" s="242"/>
      <c r="EL55" s="242"/>
      <c r="EM55" s="242"/>
      <c r="EN55" s="242"/>
      <c r="EO55" s="242"/>
      <c r="EP55" s="242"/>
      <c r="EQ55" s="242"/>
      <c r="ER55" s="242"/>
      <c r="ES55" s="242"/>
      <c r="ET55" s="242"/>
      <c r="EU55" s="242"/>
      <c r="EV55" s="242"/>
      <c r="EW55" s="242"/>
      <c r="EX55" s="242"/>
      <c r="EY55" s="242"/>
      <c r="EZ55" s="242"/>
      <c r="FA55" s="242"/>
      <c r="FB55" s="242"/>
      <c r="FC55" s="242"/>
      <c r="FD55" s="242"/>
      <c r="FE55" s="242"/>
      <c r="FF55" s="242"/>
      <c r="FG55" s="242"/>
      <c r="FH55" s="242"/>
      <c r="FI55" s="242"/>
      <c r="FJ55" s="242"/>
      <c r="FK55" s="242"/>
      <c r="FL55" s="242"/>
      <c r="FM55" s="242"/>
      <c r="FN55" s="242"/>
      <c r="FO55" s="242"/>
      <c r="FP55" s="242"/>
      <c r="FQ55" s="242"/>
      <c r="FR55" s="242"/>
      <c r="FS55" s="242"/>
      <c r="FT55" s="242"/>
      <c r="FU55" s="242"/>
      <c r="FV55" s="242"/>
      <c r="FW55" s="242"/>
      <c r="FX55" s="242"/>
      <c r="FY55" s="242"/>
      <c r="FZ55" s="242"/>
      <c r="GA55" s="242"/>
      <c r="GB55" s="242"/>
      <c r="GC55" s="242"/>
      <c r="GD55" s="242"/>
      <c r="GE55" s="242"/>
      <c r="GF55" s="242"/>
      <c r="GG55" s="242"/>
      <c r="GH55" s="242"/>
    </row>
    <row r="56" spans="1:190" s="18" customFormat="1" ht="25.15" customHeight="1" x14ac:dyDescent="0.3">
      <c r="A56" s="210"/>
      <c r="B56" s="210"/>
      <c r="C56" s="210"/>
      <c r="D56" s="210"/>
      <c r="E56" s="210"/>
      <c r="F56" s="5"/>
      <c r="G56" s="5"/>
      <c r="H56" s="5"/>
      <c r="I56" s="25"/>
      <c r="J56" s="5"/>
      <c r="K56" s="5"/>
      <c r="L56" s="5"/>
      <c r="M56" s="5"/>
      <c r="N56" s="5"/>
      <c r="O56" s="25"/>
      <c r="P56" s="5"/>
      <c r="Q56" s="5"/>
      <c r="R56" s="5"/>
      <c r="S56" s="5"/>
      <c r="T56" s="5"/>
      <c r="U56" s="45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 s="242"/>
      <c r="AM56" s="242"/>
      <c r="AN56" s="242"/>
      <c r="AO56" s="242"/>
      <c r="AP56" s="242"/>
      <c r="AQ56" s="242"/>
      <c r="AR56" s="242"/>
      <c r="AS56" s="242"/>
      <c r="AT56" s="242"/>
      <c r="AU56" s="242"/>
      <c r="AV56" s="242"/>
      <c r="AW56" s="242"/>
      <c r="AX56" s="242"/>
      <c r="AY56" s="242"/>
      <c r="AZ56" s="242"/>
      <c r="BA56" s="242"/>
      <c r="BB56" s="242"/>
      <c r="BC56" s="242"/>
      <c r="BD56" s="242"/>
      <c r="BE56" s="242"/>
      <c r="BF56" s="242"/>
      <c r="BG56" s="242"/>
      <c r="BH56" s="242"/>
      <c r="BI56" s="242"/>
      <c r="BJ56" s="242"/>
      <c r="BK56" s="242"/>
      <c r="BL56" s="242"/>
      <c r="BM56" s="242"/>
      <c r="BN56" s="242"/>
      <c r="BO56" s="242"/>
      <c r="BP56" s="242"/>
      <c r="BQ56" s="242"/>
      <c r="BR56" s="242"/>
      <c r="BS56" s="242"/>
      <c r="BT56" s="242"/>
      <c r="BU56" s="242"/>
      <c r="BV56" s="242"/>
      <c r="BW56" s="242"/>
      <c r="BX56" s="242"/>
      <c r="BY56" s="242"/>
      <c r="BZ56" s="242"/>
      <c r="CA56" s="242"/>
      <c r="CB56" s="242"/>
      <c r="CC56" s="242"/>
      <c r="CD56" s="242"/>
      <c r="CE56" s="242"/>
      <c r="CF56" s="242"/>
      <c r="CG56" s="242"/>
      <c r="CH56" s="242"/>
      <c r="CI56" s="242"/>
      <c r="CJ56" s="242"/>
      <c r="CK56" s="242"/>
      <c r="CL56" s="242"/>
      <c r="CM56" s="242"/>
      <c r="CN56" s="242"/>
      <c r="CO56" s="242"/>
      <c r="CP56" s="242"/>
      <c r="CQ56" s="242"/>
      <c r="CR56" s="242"/>
      <c r="CS56" s="242"/>
      <c r="CT56" s="242"/>
      <c r="CU56" s="242"/>
      <c r="CV56" s="242"/>
      <c r="CW56" s="242"/>
      <c r="CX56" s="242"/>
      <c r="CY56" s="242"/>
      <c r="CZ56" s="242"/>
      <c r="DA56" s="242"/>
      <c r="DB56" s="242"/>
      <c r="DC56" s="242"/>
      <c r="DD56" s="242"/>
      <c r="DE56" s="242"/>
      <c r="DF56" s="242"/>
      <c r="DG56" s="242"/>
      <c r="DH56" s="242"/>
      <c r="DI56" s="242"/>
      <c r="DJ56" s="242"/>
      <c r="DK56" s="242"/>
      <c r="DL56" s="242"/>
      <c r="DM56" s="242"/>
      <c r="DN56" s="242"/>
      <c r="DO56" s="242"/>
      <c r="DP56" s="242"/>
      <c r="DQ56" s="242"/>
      <c r="DR56" s="242"/>
      <c r="DS56" s="242"/>
      <c r="DT56" s="242"/>
      <c r="DU56" s="242"/>
      <c r="DV56" s="242"/>
      <c r="DW56" s="242"/>
      <c r="DX56" s="242"/>
      <c r="DY56" s="242"/>
      <c r="DZ56" s="242"/>
      <c r="EA56" s="242"/>
      <c r="EB56" s="242"/>
      <c r="EC56" s="242"/>
      <c r="ED56" s="242"/>
      <c r="EE56" s="242"/>
      <c r="EF56" s="242"/>
      <c r="EG56" s="242"/>
      <c r="EH56" s="242"/>
      <c r="EI56" s="242"/>
      <c r="EJ56" s="242"/>
      <c r="EK56" s="242"/>
      <c r="EL56" s="242"/>
      <c r="EM56" s="242"/>
      <c r="EN56" s="242"/>
      <c r="EO56" s="242"/>
      <c r="EP56" s="242"/>
      <c r="EQ56" s="242"/>
      <c r="ER56" s="242"/>
      <c r="ES56" s="242"/>
      <c r="ET56" s="242"/>
      <c r="EU56" s="242"/>
      <c r="EV56" s="242"/>
      <c r="EW56" s="242"/>
      <c r="EX56" s="242"/>
      <c r="EY56" s="242"/>
      <c r="EZ56" s="242"/>
      <c r="FA56" s="242"/>
      <c r="FB56" s="242"/>
      <c r="FC56" s="242"/>
      <c r="FD56" s="242"/>
      <c r="FE56" s="242"/>
      <c r="FF56" s="242"/>
      <c r="FG56" s="242"/>
      <c r="FH56" s="242"/>
      <c r="FI56" s="242"/>
      <c r="FJ56" s="242"/>
      <c r="FK56" s="242"/>
      <c r="FL56" s="242"/>
      <c r="FM56" s="242"/>
      <c r="FN56" s="242"/>
      <c r="FO56" s="242"/>
      <c r="FP56" s="242"/>
      <c r="FQ56" s="242"/>
      <c r="FR56" s="242"/>
      <c r="FS56" s="242"/>
      <c r="FT56" s="242"/>
      <c r="FU56" s="242"/>
      <c r="FV56" s="242"/>
      <c r="FW56" s="242"/>
      <c r="FX56" s="242"/>
      <c r="FY56" s="242"/>
      <c r="FZ56" s="242"/>
      <c r="GA56" s="242"/>
      <c r="GB56" s="242"/>
      <c r="GC56" s="242"/>
      <c r="GD56" s="242"/>
      <c r="GE56" s="242"/>
      <c r="GF56" s="242"/>
      <c r="GG56" s="242"/>
      <c r="GH56" s="242"/>
    </row>
    <row r="57" spans="1:190" s="18" customFormat="1" ht="25.15" customHeight="1" x14ac:dyDescent="0.3">
      <c r="A57" s="210"/>
      <c r="B57" s="210"/>
      <c r="C57" s="210"/>
      <c r="D57" s="210"/>
      <c r="E57" s="210"/>
      <c r="F57" s="5"/>
      <c r="G57" s="5"/>
      <c r="H57" s="5"/>
      <c r="I57" s="25"/>
      <c r="J57" s="5"/>
      <c r="K57" s="5"/>
      <c r="L57" s="5"/>
      <c r="M57" s="5"/>
      <c r="N57" s="5"/>
      <c r="O57" s="25"/>
      <c r="P57" s="5"/>
      <c r="Q57" s="5"/>
      <c r="R57" s="5"/>
      <c r="S57" s="5"/>
      <c r="T57" s="5"/>
      <c r="U57" s="45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 s="242"/>
      <c r="AM57" s="242"/>
      <c r="AN57" s="242"/>
      <c r="AO57" s="242"/>
      <c r="AP57" s="242"/>
      <c r="AQ57" s="242"/>
      <c r="AR57" s="242"/>
      <c r="AS57" s="242"/>
      <c r="AT57" s="242"/>
      <c r="AU57" s="242"/>
      <c r="AV57" s="242"/>
      <c r="AW57" s="242"/>
      <c r="AX57" s="242"/>
      <c r="AY57" s="242"/>
      <c r="AZ57" s="242"/>
      <c r="BA57" s="242"/>
      <c r="BB57" s="242"/>
      <c r="BC57" s="242"/>
      <c r="BD57" s="242"/>
      <c r="BE57" s="242"/>
      <c r="BF57" s="242"/>
      <c r="BG57" s="242"/>
      <c r="BH57" s="242"/>
      <c r="BI57" s="242"/>
      <c r="BJ57" s="242"/>
      <c r="BK57" s="242"/>
      <c r="BL57" s="242"/>
      <c r="BM57" s="242"/>
      <c r="BN57" s="242"/>
      <c r="BO57" s="242"/>
      <c r="BP57" s="242"/>
      <c r="BQ57" s="242"/>
      <c r="BR57" s="242"/>
      <c r="BS57" s="242"/>
      <c r="BT57" s="242"/>
      <c r="BU57" s="242"/>
      <c r="BV57" s="242"/>
      <c r="BW57" s="242"/>
      <c r="BX57" s="242"/>
      <c r="BY57" s="242"/>
      <c r="BZ57" s="242"/>
      <c r="CA57" s="242"/>
      <c r="CB57" s="242"/>
      <c r="CC57" s="242"/>
      <c r="CD57" s="242"/>
      <c r="CE57" s="242"/>
      <c r="CF57" s="242"/>
      <c r="CG57" s="242"/>
      <c r="CH57" s="242"/>
      <c r="CI57" s="242"/>
      <c r="CJ57" s="242"/>
      <c r="CK57" s="242"/>
      <c r="CL57" s="242"/>
      <c r="CM57" s="242"/>
      <c r="CN57" s="242"/>
      <c r="CO57" s="242"/>
      <c r="CP57" s="242"/>
      <c r="CQ57" s="242"/>
      <c r="CR57" s="242"/>
      <c r="CS57" s="242"/>
      <c r="CT57" s="242"/>
      <c r="CU57" s="242"/>
      <c r="CV57" s="242"/>
      <c r="CW57" s="242"/>
      <c r="CX57" s="242"/>
      <c r="CY57" s="242"/>
      <c r="CZ57" s="242"/>
      <c r="DA57" s="242"/>
      <c r="DB57" s="242"/>
      <c r="DC57" s="242"/>
      <c r="DD57" s="242"/>
      <c r="DE57" s="242"/>
      <c r="DF57" s="242"/>
      <c r="DG57" s="242"/>
      <c r="DH57" s="242"/>
      <c r="DI57" s="242"/>
      <c r="DJ57" s="242"/>
      <c r="DK57" s="242"/>
      <c r="DL57" s="242"/>
      <c r="DM57" s="242"/>
      <c r="DN57" s="242"/>
      <c r="DO57" s="242"/>
      <c r="DP57" s="242"/>
      <c r="DQ57" s="242"/>
      <c r="DR57" s="242"/>
      <c r="DS57" s="242"/>
      <c r="DT57" s="242"/>
      <c r="DU57" s="242"/>
      <c r="DV57" s="242"/>
      <c r="DW57" s="242"/>
      <c r="DX57" s="242"/>
      <c r="DY57" s="242"/>
      <c r="DZ57" s="242"/>
      <c r="EA57" s="242"/>
      <c r="EB57" s="242"/>
      <c r="EC57" s="242"/>
      <c r="ED57" s="242"/>
      <c r="EE57" s="242"/>
      <c r="EF57" s="242"/>
      <c r="EG57" s="242"/>
      <c r="EH57" s="242"/>
      <c r="EI57" s="242"/>
      <c r="EJ57" s="242"/>
      <c r="EK57" s="242"/>
      <c r="EL57" s="242"/>
      <c r="EM57" s="242"/>
      <c r="EN57" s="242"/>
      <c r="EO57" s="242"/>
      <c r="EP57" s="242"/>
      <c r="EQ57" s="242"/>
      <c r="ER57" s="242"/>
      <c r="ES57" s="242"/>
      <c r="ET57" s="242"/>
      <c r="EU57" s="242"/>
      <c r="EV57" s="242"/>
      <c r="EW57" s="242"/>
      <c r="EX57" s="242"/>
      <c r="EY57" s="242"/>
      <c r="EZ57" s="242"/>
      <c r="FA57" s="242"/>
      <c r="FB57" s="242"/>
      <c r="FC57" s="242"/>
      <c r="FD57" s="242"/>
      <c r="FE57" s="242"/>
      <c r="FF57" s="242"/>
      <c r="FG57" s="242"/>
      <c r="FH57" s="242"/>
      <c r="FI57" s="242"/>
      <c r="FJ57" s="242"/>
      <c r="FK57" s="242"/>
      <c r="FL57" s="242"/>
      <c r="FM57" s="242"/>
      <c r="FN57" s="242"/>
      <c r="FO57" s="242"/>
      <c r="FP57" s="242"/>
      <c r="FQ57" s="242"/>
      <c r="FR57" s="242"/>
      <c r="FS57" s="242"/>
      <c r="FT57" s="242"/>
      <c r="FU57" s="242"/>
      <c r="FV57" s="242"/>
      <c r="FW57" s="242"/>
      <c r="FX57" s="242"/>
      <c r="FY57" s="242"/>
      <c r="FZ57" s="242"/>
      <c r="GA57" s="242"/>
      <c r="GB57" s="242"/>
      <c r="GC57" s="242"/>
      <c r="GD57" s="242"/>
      <c r="GE57" s="242"/>
      <c r="GF57" s="242"/>
      <c r="GG57" s="242"/>
      <c r="GH57" s="242"/>
    </row>
    <row r="58" spans="1:190" s="18" customFormat="1" ht="25.15" customHeight="1" x14ac:dyDescent="0.3">
      <c r="A58" s="210"/>
      <c r="B58" s="210"/>
      <c r="C58" s="210"/>
      <c r="D58" s="210"/>
      <c r="E58" s="210"/>
      <c r="F58" s="5"/>
      <c r="G58" s="5"/>
      <c r="H58" s="5"/>
      <c r="I58" s="25"/>
      <c r="J58" s="5"/>
      <c r="K58" s="5"/>
      <c r="L58" s="5"/>
      <c r="M58" s="5"/>
      <c r="N58" s="5"/>
      <c r="O58" s="25"/>
      <c r="P58" s="5"/>
      <c r="Q58" s="5"/>
      <c r="R58" s="5"/>
      <c r="S58" s="5"/>
      <c r="T58" s="5"/>
      <c r="U58" s="45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 s="242"/>
      <c r="AM58" s="242"/>
      <c r="AN58" s="242"/>
      <c r="AO58" s="242"/>
      <c r="AP58" s="242"/>
      <c r="AQ58" s="242"/>
      <c r="AR58" s="242"/>
      <c r="AS58" s="242"/>
      <c r="AT58" s="242"/>
      <c r="AU58" s="242"/>
      <c r="AV58" s="242"/>
      <c r="AW58" s="242"/>
      <c r="AX58" s="242"/>
      <c r="AY58" s="242"/>
      <c r="AZ58" s="242"/>
      <c r="BA58" s="242"/>
      <c r="BB58" s="242"/>
      <c r="BC58" s="242"/>
      <c r="BD58" s="242"/>
      <c r="BE58" s="242"/>
      <c r="BF58" s="242"/>
      <c r="BG58" s="242"/>
      <c r="BH58" s="242"/>
      <c r="BI58" s="242"/>
      <c r="BJ58" s="242"/>
      <c r="BK58" s="242"/>
      <c r="BL58" s="242"/>
      <c r="BM58" s="242"/>
      <c r="BN58" s="242"/>
      <c r="BO58" s="242"/>
      <c r="BP58" s="242"/>
      <c r="BQ58" s="242"/>
      <c r="BR58" s="242"/>
      <c r="BS58" s="242"/>
      <c r="BT58" s="242"/>
      <c r="BU58" s="242"/>
      <c r="BV58" s="242"/>
      <c r="BW58" s="242"/>
      <c r="BX58" s="242"/>
      <c r="BY58" s="242"/>
      <c r="BZ58" s="242"/>
      <c r="CA58" s="242"/>
      <c r="CB58" s="242"/>
      <c r="CC58" s="242"/>
      <c r="CD58" s="242"/>
      <c r="CE58" s="242"/>
      <c r="CF58" s="242"/>
      <c r="CG58" s="242"/>
      <c r="CH58" s="242"/>
      <c r="CI58" s="242"/>
      <c r="CJ58" s="242"/>
      <c r="CK58" s="242"/>
      <c r="CL58" s="242"/>
      <c r="CM58" s="242"/>
      <c r="CN58" s="242"/>
      <c r="CO58" s="242"/>
      <c r="CP58" s="242"/>
      <c r="CQ58" s="242"/>
      <c r="CR58" s="242"/>
      <c r="CS58" s="242"/>
      <c r="CT58" s="242"/>
      <c r="CU58" s="242"/>
      <c r="CV58" s="242"/>
      <c r="CW58" s="242"/>
      <c r="CX58" s="242"/>
      <c r="CY58" s="242"/>
      <c r="CZ58" s="242"/>
      <c r="DA58" s="242"/>
      <c r="DB58" s="242"/>
      <c r="DC58" s="242"/>
      <c r="DD58" s="242"/>
      <c r="DE58" s="242"/>
      <c r="DF58" s="242"/>
      <c r="DG58" s="242"/>
      <c r="DH58" s="242"/>
      <c r="DI58" s="242"/>
      <c r="DJ58" s="242"/>
      <c r="DK58" s="242"/>
      <c r="DL58" s="242"/>
      <c r="DM58" s="242"/>
      <c r="DN58" s="242"/>
      <c r="DO58" s="242"/>
      <c r="DP58" s="242"/>
      <c r="DQ58" s="242"/>
      <c r="DR58" s="242"/>
      <c r="DS58" s="242"/>
      <c r="DT58" s="242"/>
      <c r="DU58" s="242"/>
      <c r="DV58" s="242"/>
      <c r="DW58" s="242"/>
      <c r="DX58" s="242"/>
      <c r="DY58" s="242"/>
      <c r="DZ58" s="242"/>
      <c r="EA58" s="242"/>
      <c r="EB58" s="242"/>
      <c r="EC58" s="242"/>
      <c r="ED58" s="242"/>
      <c r="EE58" s="242"/>
      <c r="EF58" s="242"/>
      <c r="EG58" s="242"/>
      <c r="EH58" s="242"/>
      <c r="EI58" s="242"/>
      <c r="EJ58" s="242"/>
      <c r="EK58" s="242"/>
      <c r="EL58" s="242"/>
      <c r="EM58" s="242"/>
      <c r="EN58" s="242"/>
      <c r="EO58" s="242"/>
      <c r="EP58" s="242"/>
      <c r="EQ58" s="242"/>
      <c r="ER58" s="242"/>
      <c r="ES58" s="242"/>
      <c r="ET58" s="242"/>
      <c r="EU58" s="242"/>
      <c r="EV58" s="242"/>
      <c r="EW58" s="242"/>
      <c r="EX58" s="242"/>
      <c r="EY58" s="242"/>
      <c r="EZ58" s="242"/>
      <c r="FA58" s="242"/>
      <c r="FB58" s="242"/>
      <c r="FC58" s="242"/>
      <c r="FD58" s="242"/>
      <c r="FE58" s="242"/>
      <c r="FF58" s="242"/>
      <c r="FG58" s="242"/>
      <c r="FH58" s="242"/>
      <c r="FI58" s="242"/>
      <c r="FJ58" s="242"/>
      <c r="FK58" s="242"/>
      <c r="FL58" s="242"/>
      <c r="FM58" s="242"/>
      <c r="FN58" s="242"/>
      <c r="FO58" s="242"/>
      <c r="FP58" s="242"/>
      <c r="FQ58" s="242"/>
      <c r="FR58" s="242"/>
      <c r="FS58" s="242"/>
      <c r="FT58" s="242"/>
      <c r="FU58" s="242"/>
      <c r="FV58" s="242"/>
      <c r="FW58" s="242"/>
      <c r="FX58" s="242"/>
      <c r="FY58" s="242"/>
      <c r="FZ58" s="242"/>
      <c r="GA58" s="242"/>
      <c r="GB58" s="242"/>
      <c r="GC58" s="242"/>
      <c r="GD58" s="242"/>
      <c r="GE58" s="242"/>
      <c r="GF58" s="242"/>
      <c r="GG58" s="242"/>
      <c r="GH58" s="242"/>
    </row>
    <row r="59" spans="1:190" s="18" customFormat="1" ht="25.15" customHeight="1" x14ac:dyDescent="0.3">
      <c r="A59" s="210"/>
      <c r="B59" s="210"/>
      <c r="C59" s="210"/>
      <c r="D59" s="210"/>
      <c r="E59" s="210"/>
      <c r="F59" s="5"/>
      <c r="G59" s="5"/>
      <c r="H59" s="5"/>
      <c r="I59" s="25"/>
      <c r="J59" s="5"/>
      <c r="K59" s="5"/>
      <c r="L59" s="5"/>
      <c r="M59" s="5"/>
      <c r="N59" s="5"/>
      <c r="O59" s="25"/>
      <c r="P59" s="5"/>
      <c r="Q59" s="5"/>
      <c r="R59" s="5"/>
      <c r="S59" s="5"/>
      <c r="T59" s="5"/>
      <c r="U59" s="45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 s="242"/>
      <c r="AM59" s="242"/>
      <c r="AN59" s="242"/>
      <c r="AO59" s="242"/>
      <c r="AP59" s="242"/>
      <c r="AQ59" s="242"/>
      <c r="AR59" s="242"/>
      <c r="AS59" s="242"/>
      <c r="AT59" s="242"/>
      <c r="AU59" s="242"/>
      <c r="AV59" s="242"/>
      <c r="AW59" s="242"/>
      <c r="AX59" s="242"/>
      <c r="AY59" s="242"/>
      <c r="AZ59" s="242"/>
      <c r="BA59" s="242"/>
      <c r="BB59" s="242"/>
      <c r="BC59" s="242"/>
      <c r="BD59" s="242"/>
      <c r="BE59" s="242"/>
      <c r="BF59" s="242"/>
      <c r="BG59" s="242"/>
      <c r="BH59" s="242"/>
      <c r="BI59" s="242"/>
      <c r="BJ59" s="242"/>
      <c r="BK59" s="242"/>
      <c r="BL59" s="242"/>
      <c r="BM59" s="242"/>
      <c r="BN59" s="242"/>
      <c r="BO59" s="242"/>
      <c r="BP59" s="242"/>
      <c r="BQ59" s="242"/>
      <c r="BR59" s="242"/>
      <c r="BS59" s="242"/>
      <c r="BT59" s="242"/>
      <c r="BU59" s="242"/>
      <c r="BV59" s="242"/>
      <c r="BW59" s="242"/>
      <c r="BX59" s="242"/>
      <c r="BY59" s="242"/>
      <c r="BZ59" s="242"/>
      <c r="CA59" s="242"/>
      <c r="CB59" s="242"/>
      <c r="CC59" s="242"/>
      <c r="CD59" s="242"/>
      <c r="CE59" s="242"/>
      <c r="CF59" s="242"/>
      <c r="CG59" s="242"/>
      <c r="CH59" s="242"/>
      <c r="CI59" s="242"/>
      <c r="CJ59" s="242"/>
      <c r="CK59" s="242"/>
      <c r="CL59" s="242"/>
      <c r="CM59" s="242"/>
      <c r="CN59" s="242"/>
      <c r="CO59" s="242"/>
      <c r="CP59" s="242"/>
      <c r="CQ59" s="242"/>
      <c r="CR59" s="242"/>
      <c r="CS59" s="242"/>
      <c r="CT59" s="242"/>
      <c r="CU59" s="242"/>
      <c r="CV59" s="242"/>
      <c r="CW59" s="242"/>
      <c r="CX59" s="242"/>
      <c r="CY59" s="242"/>
      <c r="CZ59" s="242"/>
      <c r="DA59" s="242"/>
      <c r="DB59" s="242"/>
      <c r="DC59" s="242"/>
      <c r="DD59" s="242"/>
      <c r="DE59" s="242"/>
      <c r="DF59" s="242"/>
      <c r="DG59" s="242"/>
      <c r="DH59" s="242"/>
      <c r="DI59" s="242"/>
      <c r="DJ59" s="242"/>
      <c r="DK59" s="242"/>
      <c r="DL59" s="242"/>
      <c r="DM59" s="242"/>
      <c r="DN59" s="242"/>
      <c r="DO59" s="242"/>
      <c r="DP59" s="242"/>
      <c r="DQ59" s="242"/>
      <c r="DR59" s="242"/>
      <c r="DS59" s="242"/>
      <c r="DT59" s="242"/>
      <c r="DU59" s="242"/>
      <c r="DV59" s="242"/>
      <c r="DW59" s="242"/>
      <c r="DX59" s="242"/>
      <c r="DY59" s="242"/>
      <c r="DZ59" s="242"/>
      <c r="EA59" s="242"/>
      <c r="EB59" s="242"/>
      <c r="EC59" s="242"/>
      <c r="ED59" s="242"/>
      <c r="EE59" s="242"/>
      <c r="EF59" s="242"/>
      <c r="EG59" s="242"/>
      <c r="EH59" s="242"/>
      <c r="EI59" s="242"/>
      <c r="EJ59" s="242"/>
      <c r="EK59" s="242"/>
      <c r="EL59" s="242"/>
      <c r="EM59" s="242"/>
      <c r="EN59" s="242"/>
      <c r="EO59" s="242"/>
      <c r="EP59" s="242"/>
      <c r="EQ59" s="242"/>
      <c r="ER59" s="242"/>
      <c r="ES59" s="242"/>
      <c r="ET59" s="242"/>
      <c r="EU59" s="242"/>
      <c r="EV59" s="242"/>
      <c r="EW59" s="242"/>
      <c r="EX59" s="242"/>
      <c r="EY59" s="242"/>
      <c r="EZ59" s="242"/>
      <c r="FA59" s="242"/>
      <c r="FB59" s="242"/>
      <c r="FC59" s="242"/>
      <c r="FD59" s="242"/>
      <c r="FE59" s="242"/>
      <c r="FF59" s="242"/>
      <c r="FG59" s="242"/>
      <c r="FH59" s="242"/>
      <c r="FI59" s="242"/>
      <c r="FJ59" s="242"/>
      <c r="FK59" s="242"/>
      <c r="FL59" s="242"/>
      <c r="FM59" s="242"/>
      <c r="FN59" s="242"/>
      <c r="FO59" s="242"/>
      <c r="FP59" s="242"/>
      <c r="FQ59" s="242"/>
      <c r="FR59" s="242"/>
      <c r="FS59" s="242"/>
      <c r="FT59" s="242"/>
      <c r="FU59" s="242"/>
      <c r="FV59" s="242"/>
      <c r="FW59" s="242"/>
      <c r="FX59" s="242"/>
      <c r="FY59" s="242"/>
      <c r="FZ59" s="242"/>
      <c r="GA59" s="242"/>
      <c r="GB59" s="242"/>
      <c r="GC59" s="242"/>
      <c r="GD59" s="242"/>
      <c r="GE59" s="242"/>
      <c r="GF59" s="242"/>
      <c r="GG59" s="242"/>
      <c r="GH59" s="242"/>
    </row>
    <row r="60" spans="1:190" s="18" customFormat="1" ht="25.15" customHeight="1" x14ac:dyDescent="0.3">
      <c r="A60" s="210"/>
      <c r="B60" s="210"/>
      <c r="C60" s="210"/>
      <c r="D60" s="210"/>
      <c r="E60" s="210"/>
      <c r="F60" s="5"/>
      <c r="G60" s="5"/>
      <c r="H60" s="5"/>
      <c r="I60" s="25"/>
      <c r="J60" s="5"/>
      <c r="K60" s="5"/>
      <c r="L60" s="5"/>
      <c r="M60" s="5"/>
      <c r="N60" s="5"/>
      <c r="O60" s="25"/>
      <c r="P60" s="5"/>
      <c r="Q60" s="5"/>
      <c r="R60" s="5"/>
      <c r="S60" s="5"/>
      <c r="T60" s="5"/>
      <c r="U60" s="45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 s="242"/>
      <c r="AM60" s="242"/>
      <c r="AN60" s="242"/>
      <c r="AO60" s="242"/>
      <c r="AP60" s="242"/>
      <c r="AQ60" s="242"/>
      <c r="AR60" s="242"/>
      <c r="AS60" s="242"/>
      <c r="AT60" s="242"/>
      <c r="AU60" s="242"/>
      <c r="AV60" s="242"/>
      <c r="AW60" s="242"/>
      <c r="AX60" s="242"/>
      <c r="AY60" s="242"/>
      <c r="AZ60" s="242"/>
      <c r="BA60" s="242"/>
      <c r="BB60" s="242"/>
      <c r="BC60" s="242"/>
      <c r="BD60" s="242"/>
      <c r="BE60" s="242"/>
      <c r="BF60" s="242"/>
      <c r="BG60" s="242"/>
      <c r="BH60" s="242"/>
      <c r="BI60" s="242"/>
      <c r="BJ60" s="242"/>
      <c r="BK60" s="242"/>
      <c r="BL60" s="242"/>
      <c r="BM60" s="242"/>
      <c r="BN60" s="242"/>
      <c r="BO60" s="242"/>
      <c r="BP60" s="242"/>
      <c r="BQ60" s="242"/>
      <c r="BR60" s="242"/>
      <c r="BS60" s="242"/>
      <c r="BT60" s="242"/>
      <c r="BU60" s="242"/>
      <c r="BV60" s="242"/>
      <c r="BW60" s="242"/>
      <c r="BX60" s="242"/>
      <c r="BY60" s="242"/>
      <c r="BZ60" s="242"/>
      <c r="CA60" s="242"/>
      <c r="CB60" s="242"/>
      <c r="CC60" s="242"/>
      <c r="CD60" s="242"/>
      <c r="CE60" s="242"/>
      <c r="CF60" s="242"/>
      <c r="CG60" s="242"/>
      <c r="CH60" s="242"/>
      <c r="CI60" s="242"/>
      <c r="CJ60" s="242"/>
      <c r="CK60" s="242"/>
      <c r="CL60" s="242"/>
      <c r="CM60" s="242"/>
      <c r="CN60" s="242"/>
      <c r="CO60" s="242"/>
      <c r="CP60" s="242"/>
      <c r="CQ60" s="242"/>
      <c r="CR60" s="242"/>
      <c r="CS60" s="242"/>
      <c r="CT60" s="242"/>
      <c r="CU60" s="242"/>
      <c r="CV60" s="242"/>
      <c r="CW60" s="242"/>
      <c r="CX60" s="242"/>
      <c r="CY60" s="242"/>
      <c r="CZ60" s="242"/>
      <c r="DA60" s="242"/>
      <c r="DB60" s="242"/>
      <c r="DC60" s="242"/>
      <c r="DD60" s="242"/>
      <c r="DE60" s="242"/>
      <c r="DF60" s="242"/>
      <c r="DG60" s="242"/>
      <c r="DH60" s="242"/>
      <c r="DI60" s="242"/>
      <c r="DJ60" s="242"/>
      <c r="DK60" s="242"/>
      <c r="DL60" s="242"/>
      <c r="DM60" s="242"/>
      <c r="DN60" s="242"/>
      <c r="DO60" s="242"/>
      <c r="DP60" s="242"/>
      <c r="DQ60" s="242"/>
      <c r="DR60" s="242"/>
      <c r="DS60" s="242"/>
      <c r="DT60" s="242"/>
      <c r="DU60" s="242"/>
      <c r="DV60" s="242"/>
      <c r="DW60" s="242"/>
      <c r="DX60" s="242"/>
      <c r="DY60" s="242"/>
      <c r="DZ60" s="242"/>
      <c r="EA60" s="242"/>
      <c r="EB60" s="242"/>
      <c r="EC60" s="242"/>
      <c r="ED60" s="242"/>
      <c r="EE60" s="242"/>
      <c r="EF60" s="242"/>
      <c r="EG60" s="242"/>
      <c r="EH60" s="242"/>
      <c r="EI60" s="242"/>
      <c r="EJ60" s="242"/>
      <c r="EK60" s="242"/>
      <c r="EL60" s="242"/>
      <c r="EM60" s="242"/>
      <c r="EN60" s="242"/>
      <c r="EO60" s="242"/>
      <c r="EP60" s="242"/>
      <c r="EQ60" s="242"/>
      <c r="ER60" s="242"/>
      <c r="ES60" s="242"/>
      <c r="ET60" s="242"/>
      <c r="EU60" s="242"/>
      <c r="EV60" s="242"/>
      <c r="EW60" s="242"/>
      <c r="EX60" s="242"/>
      <c r="EY60" s="242"/>
      <c r="EZ60" s="242"/>
      <c r="FA60" s="242"/>
      <c r="FB60" s="242"/>
      <c r="FC60" s="242"/>
      <c r="FD60" s="242"/>
      <c r="FE60" s="242"/>
      <c r="FF60" s="242"/>
      <c r="FG60" s="242"/>
      <c r="FH60" s="242"/>
      <c r="FI60" s="242"/>
      <c r="FJ60" s="242"/>
      <c r="FK60" s="242"/>
      <c r="FL60" s="242"/>
      <c r="FM60" s="242"/>
      <c r="FN60" s="242"/>
      <c r="FO60" s="242"/>
      <c r="FP60" s="242"/>
      <c r="FQ60" s="242"/>
      <c r="FR60" s="242"/>
      <c r="FS60" s="242"/>
      <c r="FT60" s="242"/>
      <c r="FU60" s="242"/>
      <c r="FV60" s="242"/>
      <c r="FW60" s="242"/>
      <c r="FX60" s="242"/>
      <c r="FY60" s="242"/>
      <c r="FZ60" s="242"/>
      <c r="GA60" s="242"/>
      <c r="GB60" s="242"/>
      <c r="GC60" s="242"/>
      <c r="GD60" s="242"/>
      <c r="GE60" s="242"/>
      <c r="GF60" s="242"/>
      <c r="GG60" s="242"/>
      <c r="GH60" s="242"/>
    </row>
    <row r="61" spans="1:190" s="18" customFormat="1" ht="25.15" customHeight="1" x14ac:dyDescent="0.3">
      <c r="A61" s="210"/>
      <c r="B61" s="210"/>
      <c r="C61" s="210"/>
      <c r="D61" s="210"/>
      <c r="E61" s="210"/>
      <c r="F61" s="5"/>
      <c r="G61" s="5"/>
      <c r="H61" s="5"/>
      <c r="I61" s="25"/>
      <c r="J61" s="5"/>
      <c r="K61" s="5"/>
      <c r="L61" s="5"/>
      <c r="M61" s="5"/>
      <c r="N61" s="5"/>
      <c r="O61" s="25"/>
      <c r="P61" s="5"/>
      <c r="Q61" s="5"/>
      <c r="R61" s="5"/>
      <c r="S61" s="5"/>
      <c r="T61" s="5"/>
      <c r="U61" s="45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 s="242"/>
      <c r="AM61" s="242"/>
      <c r="AN61" s="242"/>
      <c r="AO61" s="242"/>
      <c r="AP61" s="242"/>
      <c r="AQ61" s="242"/>
      <c r="AR61" s="242"/>
      <c r="AS61" s="242"/>
      <c r="AT61" s="242"/>
      <c r="AU61" s="242"/>
      <c r="AV61" s="242"/>
      <c r="AW61" s="242"/>
      <c r="AX61" s="242"/>
      <c r="AY61" s="242"/>
      <c r="AZ61" s="242"/>
      <c r="BA61" s="242"/>
      <c r="BB61" s="242"/>
      <c r="BC61" s="242"/>
      <c r="BD61" s="242"/>
      <c r="BE61" s="242"/>
      <c r="BF61" s="242"/>
      <c r="BG61" s="242"/>
      <c r="BH61" s="242"/>
      <c r="BI61" s="242"/>
      <c r="BJ61" s="242"/>
      <c r="BK61" s="242"/>
      <c r="BL61" s="242"/>
      <c r="BM61" s="242"/>
      <c r="BN61" s="242"/>
      <c r="BO61" s="242"/>
      <c r="BP61" s="242"/>
      <c r="BQ61" s="242"/>
      <c r="BR61" s="242"/>
      <c r="BS61" s="242"/>
      <c r="BT61" s="242"/>
      <c r="BU61" s="242"/>
      <c r="BV61" s="242"/>
      <c r="BW61" s="242"/>
      <c r="BX61" s="242"/>
      <c r="BY61" s="242"/>
      <c r="BZ61" s="242"/>
      <c r="CA61" s="242"/>
      <c r="CB61" s="242"/>
      <c r="CC61" s="242"/>
      <c r="CD61" s="242"/>
      <c r="CE61" s="242"/>
      <c r="CF61" s="242"/>
      <c r="CG61" s="242"/>
      <c r="CH61" s="242"/>
      <c r="CI61" s="242"/>
      <c r="CJ61" s="242"/>
      <c r="CK61" s="242"/>
      <c r="CL61" s="242"/>
      <c r="CM61" s="242"/>
      <c r="CN61" s="242"/>
      <c r="CO61" s="242"/>
      <c r="CP61" s="242"/>
      <c r="CQ61" s="242"/>
      <c r="CR61" s="242"/>
      <c r="CS61" s="242"/>
      <c r="CT61" s="242"/>
      <c r="CU61" s="242"/>
      <c r="CV61" s="242"/>
      <c r="CW61" s="242"/>
      <c r="CX61" s="242"/>
      <c r="CY61" s="242"/>
      <c r="CZ61" s="242"/>
      <c r="DA61" s="242"/>
      <c r="DB61" s="242"/>
      <c r="DC61" s="242"/>
      <c r="DD61" s="242"/>
      <c r="DE61" s="242"/>
      <c r="DF61" s="242"/>
      <c r="DG61" s="242"/>
      <c r="DH61" s="242"/>
      <c r="DI61" s="242"/>
      <c r="DJ61" s="242"/>
      <c r="DK61" s="242"/>
      <c r="DL61" s="242"/>
      <c r="DM61" s="242"/>
      <c r="DN61" s="242"/>
      <c r="DO61" s="242"/>
      <c r="DP61" s="242"/>
      <c r="DQ61" s="242"/>
      <c r="DR61" s="242"/>
      <c r="DS61" s="242"/>
      <c r="DT61" s="242"/>
      <c r="DU61" s="242"/>
      <c r="DV61" s="242"/>
      <c r="DW61" s="242"/>
      <c r="DX61" s="242"/>
      <c r="DY61" s="242"/>
      <c r="DZ61" s="242"/>
      <c r="EA61" s="242"/>
      <c r="EB61" s="242"/>
      <c r="EC61" s="242"/>
      <c r="ED61" s="242"/>
      <c r="EE61" s="242"/>
      <c r="EF61" s="242"/>
      <c r="EG61" s="242"/>
      <c r="EH61" s="242"/>
      <c r="EI61" s="242"/>
      <c r="EJ61" s="242"/>
      <c r="EK61" s="242"/>
      <c r="EL61" s="242"/>
      <c r="EM61" s="242"/>
      <c r="EN61" s="242"/>
      <c r="EO61" s="242"/>
      <c r="EP61" s="242"/>
      <c r="EQ61" s="242"/>
      <c r="ER61" s="242"/>
      <c r="ES61" s="242"/>
      <c r="ET61" s="242"/>
      <c r="EU61" s="242"/>
      <c r="EV61" s="242"/>
      <c r="EW61" s="242"/>
      <c r="EX61" s="242"/>
      <c r="EY61" s="242"/>
      <c r="EZ61" s="242"/>
      <c r="FA61" s="242"/>
      <c r="FB61" s="242"/>
      <c r="FC61" s="242"/>
      <c r="FD61" s="242"/>
      <c r="FE61" s="242"/>
      <c r="FF61" s="242"/>
      <c r="FG61" s="242"/>
      <c r="FH61" s="242"/>
      <c r="FI61" s="242"/>
      <c r="FJ61" s="242"/>
      <c r="FK61" s="242"/>
      <c r="FL61" s="242"/>
      <c r="FM61" s="242"/>
      <c r="FN61" s="242"/>
      <c r="FO61" s="242"/>
      <c r="FP61" s="242"/>
      <c r="FQ61" s="242"/>
      <c r="FR61" s="242"/>
      <c r="FS61" s="242"/>
      <c r="FT61" s="242"/>
      <c r="FU61" s="242"/>
      <c r="FV61" s="242"/>
      <c r="FW61" s="242"/>
      <c r="FX61" s="242"/>
      <c r="FY61" s="242"/>
      <c r="FZ61" s="242"/>
      <c r="GA61" s="242"/>
      <c r="GB61" s="242"/>
      <c r="GC61" s="242"/>
      <c r="GD61" s="242"/>
      <c r="GE61" s="242"/>
      <c r="GF61" s="242"/>
      <c r="GG61" s="242"/>
      <c r="GH61" s="242"/>
    </row>
    <row r="62" spans="1:190" s="18" customFormat="1" ht="25.15" customHeight="1" x14ac:dyDescent="0.3">
      <c r="A62" s="210"/>
      <c r="B62" s="210"/>
      <c r="C62" s="210"/>
      <c r="D62" s="210"/>
      <c r="E62" s="210"/>
      <c r="F62" s="5"/>
      <c r="G62" s="5"/>
      <c r="H62" s="5"/>
      <c r="I62" s="25"/>
      <c r="J62" s="5"/>
      <c r="K62" s="5"/>
      <c r="L62" s="5"/>
      <c r="M62" s="5"/>
      <c r="N62" s="5"/>
      <c r="O62" s="25"/>
      <c r="P62" s="5"/>
      <c r="Q62" s="5"/>
      <c r="R62" s="5"/>
      <c r="S62" s="5"/>
      <c r="T62" s="5"/>
      <c r="U62" s="45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 s="242"/>
      <c r="AM62" s="242"/>
      <c r="AN62" s="242"/>
      <c r="AO62" s="242"/>
      <c r="AP62" s="242"/>
      <c r="AQ62" s="242"/>
      <c r="AR62" s="242"/>
      <c r="AS62" s="242"/>
      <c r="AT62" s="242"/>
      <c r="AU62" s="242"/>
      <c r="AV62" s="242"/>
      <c r="AW62" s="242"/>
      <c r="AX62" s="242"/>
      <c r="AY62" s="242"/>
      <c r="AZ62" s="242"/>
      <c r="BA62" s="242"/>
      <c r="BB62" s="242"/>
      <c r="BC62" s="242"/>
      <c r="BD62" s="242"/>
      <c r="BE62" s="242"/>
      <c r="BF62" s="242"/>
      <c r="BG62" s="242"/>
      <c r="BH62" s="242"/>
      <c r="BI62" s="242"/>
      <c r="BJ62" s="242"/>
      <c r="BK62" s="242"/>
      <c r="BL62" s="242"/>
      <c r="BM62" s="242"/>
      <c r="BN62" s="242"/>
      <c r="BO62" s="242"/>
      <c r="BP62" s="242"/>
      <c r="BQ62" s="242"/>
      <c r="BR62" s="242"/>
      <c r="BS62" s="242"/>
      <c r="BT62" s="242"/>
      <c r="BU62" s="242"/>
      <c r="BV62" s="242"/>
      <c r="BW62" s="242"/>
      <c r="BX62" s="242"/>
      <c r="BY62" s="242"/>
      <c r="BZ62" s="242"/>
      <c r="CA62" s="242"/>
      <c r="CB62" s="242"/>
      <c r="CC62" s="242"/>
      <c r="CD62" s="242"/>
      <c r="CE62" s="242"/>
      <c r="CF62" s="242"/>
      <c r="CG62" s="242"/>
      <c r="CH62" s="242"/>
      <c r="CI62" s="242"/>
      <c r="CJ62" s="242"/>
      <c r="CK62" s="242"/>
      <c r="CL62" s="242"/>
      <c r="CM62" s="242"/>
      <c r="CN62" s="242"/>
      <c r="CO62" s="242"/>
      <c r="CP62" s="242"/>
      <c r="CQ62" s="242"/>
      <c r="CR62" s="242"/>
      <c r="CS62" s="242"/>
      <c r="CT62" s="242"/>
      <c r="CU62" s="242"/>
      <c r="CV62" s="242"/>
      <c r="CW62" s="242"/>
      <c r="CX62" s="242"/>
      <c r="CY62" s="242"/>
      <c r="CZ62" s="242"/>
      <c r="DA62" s="242"/>
      <c r="DB62" s="242"/>
      <c r="DC62" s="242"/>
      <c r="DD62" s="242"/>
      <c r="DE62" s="242"/>
      <c r="DF62" s="242"/>
      <c r="DG62" s="242"/>
      <c r="DH62" s="242"/>
      <c r="DI62" s="242"/>
      <c r="DJ62" s="242"/>
      <c r="DK62" s="242"/>
      <c r="DL62" s="242"/>
      <c r="DM62" s="242"/>
      <c r="DN62" s="242"/>
      <c r="DO62" s="242"/>
      <c r="DP62" s="242"/>
      <c r="DQ62" s="242"/>
      <c r="DR62" s="242"/>
      <c r="DS62" s="242"/>
      <c r="DT62" s="242"/>
      <c r="DU62" s="242"/>
      <c r="DV62" s="242"/>
      <c r="DW62" s="242"/>
      <c r="DX62" s="242"/>
      <c r="DY62" s="242"/>
      <c r="DZ62" s="242"/>
      <c r="EA62" s="242"/>
      <c r="EB62" s="242"/>
      <c r="EC62" s="242"/>
      <c r="ED62" s="242"/>
      <c r="EE62" s="242"/>
      <c r="EF62" s="242"/>
      <c r="EG62" s="242"/>
      <c r="EH62" s="242"/>
      <c r="EI62" s="242"/>
      <c r="EJ62" s="242"/>
      <c r="EK62" s="242"/>
      <c r="EL62" s="242"/>
      <c r="EM62" s="242"/>
      <c r="EN62" s="242"/>
      <c r="EO62" s="242"/>
      <c r="EP62" s="242"/>
      <c r="EQ62" s="242"/>
      <c r="ER62" s="242"/>
      <c r="ES62" s="242"/>
      <c r="ET62" s="242"/>
      <c r="EU62" s="242"/>
      <c r="EV62" s="242"/>
      <c r="EW62" s="242"/>
      <c r="EX62" s="242"/>
      <c r="EY62" s="242"/>
      <c r="EZ62" s="242"/>
      <c r="FA62" s="242"/>
      <c r="FB62" s="242"/>
      <c r="FC62" s="242"/>
      <c r="FD62" s="242"/>
      <c r="FE62" s="242"/>
      <c r="FF62" s="242"/>
      <c r="FG62" s="242"/>
      <c r="FH62" s="242"/>
      <c r="FI62" s="242"/>
      <c r="FJ62" s="242"/>
      <c r="FK62" s="242"/>
      <c r="FL62" s="242"/>
      <c r="FM62" s="242"/>
      <c r="FN62" s="242"/>
      <c r="FO62" s="242"/>
      <c r="FP62" s="242"/>
      <c r="FQ62" s="242"/>
      <c r="FR62" s="242"/>
      <c r="FS62" s="242"/>
      <c r="FT62" s="242"/>
      <c r="FU62" s="242"/>
      <c r="FV62" s="242"/>
      <c r="FW62" s="242"/>
      <c r="FX62" s="242"/>
      <c r="FY62" s="242"/>
      <c r="FZ62" s="242"/>
      <c r="GA62" s="242"/>
      <c r="GB62" s="242"/>
      <c r="GC62" s="242"/>
      <c r="GD62" s="242"/>
      <c r="GE62" s="242"/>
      <c r="GF62" s="242"/>
      <c r="GG62" s="242"/>
      <c r="GH62" s="242"/>
    </row>
    <row r="63" spans="1:190" s="18" customFormat="1" ht="25.15" customHeight="1" x14ac:dyDescent="0.3">
      <c r="A63" s="210"/>
      <c r="B63" s="210"/>
      <c r="C63" s="210"/>
      <c r="D63" s="210"/>
      <c r="E63" s="210"/>
      <c r="F63" s="5"/>
      <c r="G63" s="5"/>
      <c r="H63" s="5"/>
      <c r="I63" s="25"/>
      <c r="J63" s="5"/>
      <c r="K63" s="5"/>
      <c r="L63" s="5"/>
      <c r="M63" s="5"/>
      <c r="N63" s="5"/>
      <c r="O63" s="25"/>
      <c r="P63" s="5"/>
      <c r="Q63" s="5"/>
      <c r="R63" s="5"/>
      <c r="S63" s="5"/>
      <c r="T63" s="5"/>
      <c r="U63" s="45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 s="242"/>
      <c r="AM63" s="242"/>
      <c r="AN63" s="242"/>
      <c r="AO63" s="242"/>
      <c r="AP63" s="242"/>
      <c r="AQ63" s="242"/>
      <c r="AR63" s="242"/>
      <c r="AS63" s="242"/>
      <c r="AT63" s="242"/>
      <c r="AU63" s="242"/>
      <c r="AV63" s="242"/>
      <c r="AW63" s="242"/>
      <c r="AX63" s="242"/>
      <c r="AY63" s="242"/>
      <c r="AZ63" s="242"/>
      <c r="BA63" s="242"/>
      <c r="BB63" s="242"/>
      <c r="BC63" s="242"/>
      <c r="BD63" s="242"/>
      <c r="BE63" s="242"/>
      <c r="BF63" s="242"/>
      <c r="BG63" s="242"/>
      <c r="BH63" s="242"/>
      <c r="BI63" s="242"/>
      <c r="BJ63" s="242"/>
      <c r="BK63" s="242"/>
      <c r="BL63" s="242"/>
      <c r="BM63" s="242"/>
      <c r="BN63" s="242"/>
      <c r="BO63" s="242"/>
      <c r="BP63" s="242"/>
      <c r="BQ63" s="242"/>
      <c r="BR63" s="242"/>
      <c r="BS63" s="242"/>
      <c r="BT63" s="242"/>
      <c r="BU63" s="242"/>
      <c r="BV63" s="242"/>
      <c r="BW63" s="242"/>
      <c r="BX63" s="242"/>
      <c r="BY63" s="242"/>
      <c r="BZ63" s="242"/>
      <c r="CA63" s="242"/>
      <c r="CB63" s="242"/>
      <c r="CC63" s="242"/>
      <c r="CD63" s="242"/>
      <c r="CE63" s="242"/>
      <c r="CF63" s="242"/>
      <c r="CG63" s="242"/>
      <c r="CH63" s="242"/>
      <c r="CI63" s="242"/>
      <c r="CJ63" s="242"/>
      <c r="CK63" s="242"/>
      <c r="CL63" s="242"/>
      <c r="CM63" s="242"/>
      <c r="CN63" s="242"/>
      <c r="CO63" s="242"/>
      <c r="CP63" s="242"/>
      <c r="CQ63" s="242"/>
      <c r="CR63" s="242"/>
      <c r="CS63" s="242"/>
      <c r="CT63" s="242"/>
      <c r="CU63" s="242"/>
      <c r="CV63" s="242"/>
      <c r="CW63" s="242"/>
      <c r="CX63" s="242"/>
      <c r="CY63" s="242"/>
      <c r="CZ63" s="242"/>
      <c r="DA63" s="242"/>
      <c r="DB63" s="242"/>
      <c r="DC63" s="242"/>
      <c r="DD63" s="242"/>
      <c r="DE63" s="242"/>
      <c r="DF63" s="242"/>
      <c r="DG63" s="242"/>
      <c r="DH63" s="242"/>
      <c r="DI63" s="242"/>
      <c r="DJ63" s="242"/>
      <c r="DK63" s="242"/>
      <c r="DL63" s="242"/>
      <c r="DM63" s="242"/>
      <c r="DN63" s="242"/>
      <c r="DO63" s="242"/>
      <c r="DP63" s="242"/>
      <c r="DQ63" s="242"/>
      <c r="DR63" s="242"/>
      <c r="DS63" s="242"/>
      <c r="DT63" s="242"/>
      <c r="DU63" s="242"/>
      <c r="DV63" s="242"/>
      <c r="DW63" s="242"/>
      <c r="DX63" s="242"/>
      <c r="DY63" s="242"/>
      <c r="DZ63" s="242"/>
      <c r="EA63" s="242"/>
      <c r="EB63" s="242"/>
      <c r="EC63" s="242"/>
      <c r="ED63" s="242"/>
      <c r="EE63" s="242"/>
      <c r="EF63" s="242"/>
      <c r="EG63" s="242"/>
      <c r="EH63" s="242"/>
      <c r="EI63" s="242"/>
      <c r="EJ63" s="242"/>
      <c r="EK63" s="242"/>
      <c r="EL63" s="242"/>
      <c r="EM63" s="242"/>
      <c r="EN63" s="242"/>
      <c r="EO63" s="242"/>
      <c r="EP63" s="242"/>
      <c r="EQ63" s="242"/>
      <c r="ER63" s="242"/>
      <c r="ES63" s="242"/>
      <c r="ET63" s="242"/>
      <c r="EU63" s="242"/>
      <c r="EV63" s="242"/>
      <c r="EW63" s="242"/>
      <c r="EX63" s="242"/>
      <c r="EY63" s="242"/>
      <c r="EZ63" s="242"/>
      <c r="FA63" s="242"/>
      <c r="FB63" s="242"/>
      <c r="FC63" s="242"/>
      <c r="FD63" s="242"/>
      <c r="FE63" s="242"/>
      <c r="FF63" s="242"/>
      <c r="FG63" s="242"/>
      <c r="FH63" s="242"/>
      <c r="FI63" s="242"/>
      <c r="FJ63" s="242"/>
      <c r="FK63" s="242"/>
      <c r="FL63" s="242"/>
      <c r="FM63" s="242"/>
      <c r="FN63" s="242"/>
      <c r="FO63" s="242"/>
      <c r="FP63" s="242"/>
      <c r="FQ63" s="242"/>
      <c r="FR63" s="242"/>
      <c r="FS63" s="242"/>
      <c r="FT63" s="242"/>
      <c r="FU63" s="242"/>
      <c r="FV63" s="242"/>
      <c r="FW63" s="242"/>
      <c r="FX63" s="242"/>
      <c r="FY63" s="242"/>
      <c r="FZ63" s="242"/>
      <c r="GA63" s="242"/>
      <c r="GB63" s="242"/>
      <c r="GC63" s="242"/>
      <c r="GD63" s="242"/>
      <c r="GE63" s="242"/>
      <c r="GF63" s="242"/>
      <c r="GG63" s="242"/>
      <c r="GH63" s="242"/>
    </row>
    <row r="64" spans="1:190" s="18" customFormat="1" ht="25.15" customHeight="1" x14ac:dyDescent="0.3">
      <c r="A64" s="210"/>
      <c r="B64" s="210"/>
      <c r="C64" s="210"/>
      <c r="D64" s="210"/>
      <c r="E64" s="210"/>
      <c r="F64" s="5"/>
      <c r="G64" s="5"/>
      <c r="H64" s="5"/>
      <c r="I64" s="25"/>
      <c r="J64" s="5"/>
      <c r="K64" s="5"/>
      <c r="L64" s="5"/>
      <c r="M64" s="5"/>
      <c r="N64" s="5"/>
      <c r="O64" s="25"/>
      <c r="P64" s="5"/>
      <c r="Q64" s="5"/>
      <c r="R64" s="5"/>
      <c r="S64" s="5"/>
      <c r="T64" s="5"/>
      <c r="U64" s="45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 s="242"/>
      <c r="AM64" s="242"/>
      <c r="AN64" s="242"/>
      <c r="AO64" s="242"/>
      <c r="AP64" s="242"/>
      <c r="AQ64" s="242"/>
      <c r="AR64" s="242"/>
      <c r="AS64" s="242"/>
      <c r="AT64" s="242"/>
      <c r="AU64" s="242"/>
      <c r="AV64" s="242"/>
      <c r="AW64" s="242"/>
      <c r="AX64" s="242"/>
      <c r="AY64" s="242"/>
      <c r="AZ64" s="242"/>
      <c r="BA64" s="242"/>
      <c r="BB64" s="242"/>
      <c r="BC64" s="242"/>
      <c r="BD64" s="242"/>
      <c r="BE64" s="242"/>
      <c r="BF64" s="242"/>
      <c r="BG64" s="242"/>
      <c r="BH64" s="242"/>
      <c r="BI64" s="242"/>
      <c r="BJ64" s="242"/>
      <c r="BK64" s="242"/>
      <c r="BL64" s="242"/>
      <c r="BM64" s="242"/>
      <c r="BN64" s="242"/>
      <c r="BO64" s="242"/>
      <c r="BP64" s="242"/>
      <c r="BQ64" s="242"/>
      <c r="BR64" s="242"/>
      <c r="BS64" s="242"/>
      <c r="BT64" s="242"/>
      <c r="BU64" s="242"/>
      <c r="BV64" s="242"/>
      <c r="BW64" s="242"/>
      <c r="BX64" s="242"/>
      <c r="BY64" s="242"/>
      <c r="BZ64" s="242"/>
      <c r="CA64" s="242"/>
      <c r="CB64" s="242"/>
      <c r="CC64" s="242"/>
      <c r="CD64" s="242"/>
      <c r="CE64" s="242"/>
      <c r="CF64" s="242"/>
      <c r="CG64" s="242"/>
      <c r="CH64" s="242"/>
      <c r="CI64" s="242"/>
      <c r="CJ64" s="242"/>
      <c r="CK64" s="242"/>
      <c r="CL64" s="242"/>
      <c r="CM64" s="242"/>
      <c r="CN64" s="242"/>
      <c r="CO64" s="242"/>
      <c r="CP64" s="242"/>
      <c r="CQ64" s="242"/>
      <c r="CR64" s="242"/>
      <c r="CS64" s="242"/>
      <c r="CT64" s="242"/>
      <c r="CU64" s="242"/>
      <c r="CV64" s="242"/>
      <c r="CW64" s="242"/>
      <c r="CX64" s="242"/>
      <c r="CY64" s="242"/>
      <c r="CZ64" s="242"/>
      <c r="DA64" s="242"/>
      <c r="DB64" s="242"/>
      <c r="DC64" s="242"/>
      <c r="DD64" s="242"/>
      <c r="DE64" s="242"/>
      <c r="DF64" s="242"/>
      <c r="DG64" s="242"/>
      <c r="DH64" s="242"/>
      <c r="DI64" s="242"/>
      <c r="DJ64" s="242"/>
      <c r="DK64" s="242"/>
      <c r="DL64" s="242"/>
      <c r="DM64" s="242"/>
      <c r="DN64" s="242"/>
      <c r="DO64" s="242"/>
      <c r="DP64" s="242"/>
      <c r="DQ64" s="242"/>
      <c r="DR64" s="242"/>
      <c r="DS64" s="242"/>
      <c r="DT64" s="242"/>
      <c r="DU64" s="242"/>
      <c r="DV64" s="242"/>
      <c r="DW64" s="242"/>
      <c r="DX64" s="242"/>
      <c r="DY64" s="242"/>
      <c r="DZ64" s="242"/>
      <c r="EA64" s="242"/>
      <c r="EB64" s="242"/>
      <c r="EC64" s="242"/>
      <c r="ED64" s="242"/>
      <c r="EE64" s="242"/>
      <c r="EF64" s="242"/>
      <c r="EG64" s="242"/>
      <c r="EH64" s="242"/>
      <c r="EI64" s="242"/>
      <c r="EJ64" s="242"/>
      <c r="EK64" s="242"/>
      <c r="EL64" s="242"/>
      <c r="EM64" s="242"/>
      <c r="EN64" s="242"/>
      <c r="EO64" s="242"/>
      <c r="EP64" s="242"/>
      <c r="EQ64" s="242"/>
      <c r="ER64" s="242"/>
      <c r="ES64" s="242"/>
      <c r="ET64" s="242"/>
      <c r="EU64" s="242"/>
      <c r="EV64" s="242"/>
      <c r="EW64" s="242"/>
      <c r="EX64" s="242"/>
      <c r="EY64" s="242"/>
      <c r="EZ64" s="242"/>
      <c r="FA64" s="242"/>
      <c r="FB64" s="242"/>
      <c r="FC64" s="242"/>
      <c r="FD64" s="242"/>
      <c r="FE64" s="242"/>
      <c r="FF64" s="242"/>
      <c r="FG64" s="242"/>
      <c r="FH64" s="242"/>
      <c r="FI64" s="242"/>
      <c r="FJ64" s="242"/>
      <c r="FK64" s="242"/>
      <c r="FL64" s="242"/>
      <c r="FM64" s="242"/>
      <c r="FN64" s="242"/>
      <c r="FO64" s="242"/>
      <c r="FP64" s="242"/>
      <c r="FQ64" s="242"/>
      <c r="FR64" s="242"/>
      <c r="FS64" s="242"/>
      <c r="FT64" s="242"/>
      <c r="FU64" s="242"/>
      <c r="FV64" s="242"/>
      <c r="FW64" s="242"/>
      <c r="FX64" s="242"/>
      <c r="FY64" s="242"/>
      <c r="FZ64" s="242"/>
      <c r="GA64" s="242"/>
      <c r="GB64" s="242"/>
      <c r="GC64" s="242"/>
      <c r="GD64" s="242"/>
      <c r="GE64" s="242"/>
      <c r="GF64" s="242"/>
      <c r="GG64" s="242"/>
      <c r="GH64" s="242"/>
    </row>
    <row r="65" spans="1:190" s="18" customFormat="1" ht="25.15" customHeight="1" x14ac:dyDescent="0.3">
      <c r="A65" s="210"/>
      <c r="B65" s="210"/>
      <c r="C65" s="210"/>
      <c r="D65" s="210"/>
      <c r="E65" s="210"/>
      <c r="F65" s="5"/>
      <c r="G65" s="5"/>
      <c r="H65" s="5"/>
      <c r="I65" s="25"/>
      <c r="J65" s="5"/>
      <c r="K65" s="5"/>
      <c r="L65" s="5"/>
      <c r="M65" s="5"/>
      <c r="N65" s="5"/>
      <c r="O65" s="25"/>
      <c r="P65" s="5"/>
      <c r="Q65" s="5"/>
      <c r="R65" s="5"/>
      <c r="S65" s="5"/>
      <c r="T65" s="5"/>
      <c r="U65" s="4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 s="242"/>
      <c r="AM65" s="242"/>
      <c r="AN65" s="242"/>
      <c r="AO65" s="242"/>
      <c r="AP65" s="242"/>
      <c r="AQ65" s="242"/>
      <c r="AR65" s="242"/>
      <c r="AS65" s="242"/>
      <c r="AT65" s="242"/>
      <c r="AU65" s="242"/>
      <c r="AV65" s="242"/>
      <c r="AW65" s="242"/>
      <c r="AX65" s="242"/>
      <c r="AY65" s="242"/>
      <c r="AZ65" s="242"/>
      <c r="BA65" s="242"/>
      <c r="BB65" s="242"/>
      <c r="BC65" s="242"/>
      <c r="BD65" s="242"/>
      <c r="BE65" s="242"/>
      <c r="BF65" s="242"/>
      <c r="BG65" s="242"/>
      <c r="BH65" s="242"/>
      <c r="BI65" s="242"/>
      <c r="BJ65" s="242"/>
      <c r="BK65" s="242"/>
      <c r="BL65" s="242"/>
      <c r="BM65" s="242"/>
      <c r="BN65" s="242"/>
      <c r="BO65" s="242"/>
      <c r="BP65" s="242"/>
      <c r="BQ65" s="242"/>
      <c r="BR65" s="242"/>
      <c r="BS65" s="242"/>
      <c r="BT65" s="242"/>
      <c r="BU65" s="242"/>
      <c r="BV65" s="242"/>
      <c r="BW65" s="242"/>
      <c r="BX65" s="242"/>
      <c r="BY65" s="242"/>
      <c r="BZ65" s="242"/>
      <c r="CA65" s="242"/>
      <c r="CB65" s="242"/>
      <c r="CC65" s="242"/>
      <c r="CD65" s="242"/>
      <c r="CE65" s="242"/>
      <c r="CF65" s="242"/>
      <c r="CG65" s="242"/>
      <c r="CH65" s="242"/>
      <c r="CI65" s="242"/>
      <c r="CJ65" s="242"/>
      <c r="CK65" s="242"/>
      <c r="CL65" s="242"/>
      <c r="CM65" s="242"/>
      <c r="CN65" s="242"/>
      <c r="CO65" s="242"/>
      <c r="CP65" s="242"/>
      <c r="CQ65" s="242"/>
      <c r="CR65" s="242"/>
      <c r="CS65" s="242"/>
      <c r="CT65" s="242"/>
      <c r="CU65" s="242"/>
      <c r="CV65" s="242"/>
      <c r="CW65" s="242"/>
      <c r="CX65" s="242"/>
      <c r="CY65" s="242"/>
      <c r="CZ65" s="242"/>
      <c r="DA65" s="242"/>
      <c r="DB65" s="242"/>
      <c r="DC65" s="242"/>
      <c r="DD65" s="242"/>
      <c r="DE65" s="242"/>
      <c r="DF65" s="242"/>
      <c r="DG65" s="242"/>
      <c r="DH65" s="242"/>
      <c r="DI65" s="242"/>
      <c r="DJ65" s="242"/>
      <c r="DK65" s="242"/>
      <c r="DL65" s="242"/>
      <c r="DM65" s="242"/>
      <c r="DN65" s="242"/>
      <c r="DO65" s="242"/>
      <c r="DP65" s="242"/>
      <c r="DQ65" s="242"/>
      <c r="DR65" s="242"/>
      <c r="DS65" s="242"/>
      <c r="DT65" s="242"/>
      <c r="DU65" s="242"/>
      <c r="DV65" s="242"/>
      <c r="DW65" s="242"/>
      <c r="DX65" s="242"/>
      <c r="DY65" s="242"/>
      <c r="DZ65" s="242"/>
      <c r="EA65" s="242"/>
      <c r="EB65" s="242"/>
      <c r="EC65" s="242"/>
      <c r="ED65" s="242"/>
      <c r="EE65" s="242"/>
      <c r="EF65" s="242"/>
      <c r="EG65" s="242"/>
      <c r="EH65" s="242"/>
      <c r="EI65" s="242"/>
      <c r="EJ65" s="242"/>
      <c r="EK65" s="242"/>
      <c r="EL65" s="242"/>
      <c r="EM65" s="242"/>
      <c r="EN65" s="242"/>
      <c r="EO65" s="242"/>
      <c r="EP65" s="242"/>
      <c r="EQ65" s="242"/>
      <c r="ER65" s="242"/>
      <c r="ES65" s="242"/>
      <c r="ET65" s="242"/>
      <c r="EU65" s="242"/>
      <c r="EV65" s="242"/>
      <c r="EW65" s="242"/>
      <c r="EX65" s="242"/>
      <c r="EY65" s="242"/>
      <c r="EZ65" s="242"/>
      <c r="FA65" s="242"/>
      <c r="FB65" s="242"/>
      <c r="FC65" s="242"/>
      <c r="FD65" s="242"/>
      <c r="FE65" s="242"/>
      <c r="FF65" s="242"/>
      <c r="FG65" s="242"/>
      <c r="FH65" s="242"/>
      <c r="FI65" s="242"/>
      <c r="FJ65" s="242"/>
      <c r="FK65" s="242"/>
      <c r="FL65" s="242"/>
      <c r="FM65" s="242"/>
      <c r="FN65" s="242"/>
      <c r="FO65" s="242"/>
      <c r="FP65" s="242"/>
      <c r="FQ65" s="242"/>
      <c r="FR65" s="242"/>
      <c r="FS65" s="242"/>
      <c r="FT65" s="242"/>
      <c r="FU65" s="242"/>
      <c r="FV65" s="242"/>
      <c r="FW65" s="242"/>
      <c r="FX65" s="242"/>
      <c r="FY65" s="242"/>
      <c r="FZ65" s="242"/>
      <c r="GA65" s="242"/>
      <c r="GB65" s="242"/>
      <c r="GC65" s="242"/>
      <c r="GD65" s="242"/>
      <c r="GE65" s="242"/>
      <c r="GF65" s="242"/>
      <c r="GG65" s="242"/>
      <c r="GH65" s="242"/>
    </row>
    <row r="66" spans="1:190" s="18" customFormat="1" ht="25.15" customHeight="1" x14ac:dyDescent="0.3">
      <c r="A66" s="210"/>
      <c r="B66" s="210"/>
      <c r="C66" s="210"/>
      <c r="D66" s="210"/>
      <c r="E66" s="210"/>
      <c r="F66" s="5"/>
      <c r="G66" s="5"/>
      <c r="H66" s="5"/>
      <c r="I66" s="25"/>
      <c r="J66" s="5"/>
      <c r="K66" s="5"/>
      <c r="L66" s="5"/>
      <c r="M66" s="5"/>
      <c r="N66" s="5"/>
      <c r="O66" s="25"/>
      <c r="P66" s="5"/>
      <c r="Q66" s="5"/>
      <c r="R66" s="5"/>
      <c r="S66" s="5"/>
      <c r="T66" s="5"/>
      <c r="U66" s="45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s="242"/>
      <c r="AM66" s="242"/>
      <c r="AN66" s="242"/>
      <c r="AO66" s="242"/>
      <c r="AP66" s="242"/>
      <c r="AQ66" s="242"/>
      <c r="AR66" s="242"/>
      <c r="AS66" s="242"/>
      <c r="AT66" s="242"/>
      <c r="AU66" s="242"/>
      <c r="AV66" s="242"/>
      <c r="AW66" s="242"/>
      <c r="AX66" s="242"/>
      <c r="AY66" s="242"/>
      <c r="AZ66" s="242"/>
      <c r="BA66" s="242"/>
      <c r="BB66" s="242"/>
      <c r="BC66" s="242"/>
      <c r="BD66" s="242"/>
      <c r="BE66" s="242"/>
      <c r="BF66" s="242"/>
      <c r="BG66" s="242"/>
      <c r="BH66" s="242"/>
      <c r="BI66" s="242"/>
      <c r="BJ66" s="242"/>
      <c r="BK66" s="242"/>
      <c r="BL66" s="242"/>
      <c r="BM66" s="242"/>
      <c r="BN66" s="242"/>
      <c r="BO66" s="242"/>
      <c r="BP66" s="242"/>
      <c r="BQ66" s="242"/>
      <c r="BR66" s="242"/>
      <c r="BS66" s="242"/>
      <c r="BT66" s="242"/>
      <c r="BU66" s="242"/>
      <c r="BV66" s="242"/>
      <c r="BW66" s="242"/>
      <c r="BX66" s="242"/>
      <c r="BY66" s="242"/>
      <c r="BZ66" s="242"/>
      <c r="CA66" s="242"/>
      <c r="CB66" s="242"/>
      <c r="CC66" s="242"/>
      <c r="CD66" s="242"/>
      <c r="CE66" s="242"/>
      <c r="CF66" s="242"/>
      <c r="CG66" s="242"/>
      <c r="CH66" s="242"/>
      <c r="CI66" s="242"/>
      <c r="CJ66" s="242"/>
      <c r="CK66" s="242"/>
      <c r="CL66" s="242"/>
      <c r="CM66" s="242"/>
      <c r="CN66" s="242"/>
      <c r="CO66" s="242"/>
      <c r="CP66" s="242"/>
      <c r="CQ66" s="242"/>
      <c r="CR66" s="242"/>
      <c r="CS66" s="242"/>
      <c r="CT66" s="242"/>
      <c r="CU66" s="242"/>
      <c r="CV66" s="242"/>
      <c r="CW66" s="242"/>
      <c r="CX66" s="242"/>
      <c r="CY66" s="242"/>
      <c r="CZ66" s="242"/>
      <c r="DA66" s="242"/>
      <c r="DB66" s="242"/>
      <c r="DC66" s="242"/>
      <c r="DD66" s="242"/>
      <c r="DE66" s="242"/>
      <c r="DF66" s="242"/>
      <c r="DG66" s="242"/>
      <c r="DH66" s="242"/>
      <c r="DI66" s="242"/>
      <c r="DJ66" s="242"/>
      <c r="DK66" s="242"/>
      <c r="DL66" s="242"/>
      <c r="DM66" s="242"/>
      <c r="DN66" s="242"/>
      <c r="DO66" s="242"/>
      <c r="DP66" s="242"/>
      <c r="DQ66" s="242"/>
      <c r="DR66" s="242"/>
      <c r="DS66" s="242"/>
      <c r="DT66" s="242"/>
      <c r="DU66" s="242"/>
      <c r="DV66" s="242"/>
      <c r="DW66" s="242"/>
      <c r="DX66" s="242"/>
      <c r="DY66" s="242"/>
      <c r="DZ66" s="242"/>
      <c r="EA66" s="242"/>
      <c r="EB66" s="242"/>
      <c r="EC66" s="242"/>
      <c r="ED66" s="242"/>
      <c r="EE66" s="242"/>
      <c r="EF66" s="242"/>
      <c r="EG66" s="242"/>
      <c r="EH66" s="242"/>
      <c r="EI66" s="242"/>
      <c r="EJ66" s="242"/>
      <c r="EK66" s="242"/>
      <c r="EL66" s="242"/>
      <c r="EM66" s="242"/>
      <c r="EN66" s="242"/>
      <c r="EO66" s="242"/>
      <c r="EP66" s="242"/>
      <c r="EQ66" s="242"/>
      <c r="ER66" s="242"/>
      <c r="ES66" s="242"/>
      <c r="ET66" s="242"/>
      <c r="EU66" s="242"/>
      <c r="EV66" s="242"/>
      <c r="EW66" s="242"/>
      <c r="EX66" s="242"/>
      <c r="EY66" s="242"/>
      <c r="EZ66" s="242"/>
      <c r="FA66" s="242"/>
      <c r="FB66" s="242"/>
      <c r="FC66" s="242"/>
      <c r="FD66" s="242"/>
      <c r="FE66" s="242"/>
      <c r="FF66" s="242"/>
      <c r="FG66" s="242"/>
      <c r="FH66" s="242"/>
      <c r="FI66" s="242"/>
      <c r="FJ66" s="242"/>
      <c r="FK66" s="242"/>
      <c r="FL66" s="242"/>
      <c r="FM66" s="242"/>
      <c r="FN66" s="242"/>
      <c r="FO66" s="242"/>
      <c r="FP66" s="242"/>
      <c r="FQ66" s="242"/>
      <c r="FR66" s="242"/>
      <c r="FS66" s="242"/>
      <c r="FT66" s="242"/>
      <c r="FU66" s="242"/>
      <c r="FV66" s="242"/>
      <c r="FW66" s="242"/>
      <c r="FX66" s="242"/>
      <c r="FY66" s="242"/>
      <c r="FZ66" s="242"/>
      <c r="GA66" s="242"/>
      <c r="GB66" s="242"/>
      <c r="GC66" s="242"/>
      <c r="GD66" s="242"/>
      <c r="GE66" s="242"/>
      <c r="GF66" s="242"/>
      <c r="GG66" s="242"/>
      <c r="GH66" s="242"/>
    </row>
    <row r="67" spans="1:190" s="18" customFormat="1" ht="25.15" customHeight="1" x14ac:dyDescent="0.3">
      <c r="A67" s="210"/>
      <c r="B67" s="210"/>
      <c r="C67" s="210"/>
      <c r="D67" s="210"/>
      <c r="E67" s="210"/>
      <c r="F67" s="5"/>
      <c r="G67" s="5"/>
      <c r="H67" s="5"/>
      <c r="I67" s="25"/>
      <c r="J67" s="5"/>
      <c r="K67" s="5"/>
      <c r="L67" s="5"/>
      <c r="M67" s="5"/>
      <c r="N67" s="5"/>
      <c r="O67" s="25"/>
      <c r="P67" s="5"/>
      <c r="Q67" s="5"/>
      <c r="R67" s="5"/>
      <c r="S67" s="5"/>
      <c r="T67" s="5"/>
      <c r="U67" s="45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 s="242"/>
      <c r="AM67" s="242"/>
      <c r="AN67" s="242"/>
      <c r="AO67" s="242"/>
      <c r="AP67" s="242"/>
      <c r="AQ67" s="242"/>
      <c r="AR67" s="242"/>
      <c r="AS67" s="242"/>
      <c r="AT67" s="242"/>
      <c r="AU67" s="242"/>
      <c r="AV67" s="242"/>
      <c r="AW67" s="242"/>
      <c r="AX67" s="242"/>
      <c r="AY67" s="242"/>
      <c r="AZ67" s="242"/>
      <c r="BA67" s="242"/>
      <c r="BB67" s="242"/>
      <c r="BC67" s="242"/>
      <c r="BD67" s="242"/>
      <c r="BE67" s="242"/>
      <c r="BF67" s="242"/>
      <c r="BG67" s="242"/>
      <c r="BH67" s="242"/>
      <c r="BI67" s="242"/>
      <c r="BJ67" s="242"/>
      <c r="BK67" s="242"/>
      <c r="BL67" s="242"/>
      <c r="BM67" s="242"/>
      <c r="BN67" s="242"/>
      <c r="BO67" s="242"/>
      <c r="BP67" s="242"/>
      <c r="BQ67" s="242"/>
      <c r="BR67" s="242"/>
      <c r="BS67" s="242"/>
      <c r="BT67" s="242"/>
      <c r="BU67" s="242"/>
      <c r="BV67" s="242"/>
      <c r="BW67" s="242"/>
      <c r="BX67" s="242"/>
      <c r="BY67" s="242"/>
      <c r="BZ67" s="242"/>
      <c r="CA67" s="242"/>
      <c r="CB67" s="242"/>
      <c r="CC67" s="242"/>
      <c r="CD67" s="242"/>
      <c r="CE67" s="242"/>
      <c r="CF67" s="242"/>
      <c r="CG67" s="242"/>
      <c r="CH67" s="242"/>
      <c r="CI67" s="242"/>
      <c r="CJ67" s="242"/>
      <c r="CK67" s="242"/>
      <c r="CL67" s="242"/>
      <c r="CM67" s="242"/>
      <c r="CN67" s="242"/>
      <c r="CO67" s="242"/>
      <c r="CP67" s="242"/>
      <c r="CQ67" s="242"/>
      <c r="CR67" s="242"/>
      <c r="CS67" s="242"/>
      <c r="CT67" s="242"/>
      <c r="CU67" s="242"/>
      <c r="CV67" s="242"/>
      <c r="CW67" s="242"/>
      <c r="CX67" s="242"/>
      <c r="CY67" s="242"/>
      <c r="CZ67" s="242"/>
      <c r="DA67" s="242"/>
      <c r="DB67" s="242"/>
      <c r="DC67" s="242"/>
      <c r="DD67" s="242"/>
      <c r="DE67" s="242"/>
      <c r="DF67" s="242"/>
      <c r="DG67" s="242"/>
      <c r="DH67" s="242"/>
      <c r="DI67" s="242"/>
      <c r="DJ67" s="242"/>
      <c r="DK67" s="242"/>
      <c r="DL67" s="242"/>
      <c r="DM67" s="242"/>
      <c r="DN67" s="242"/>
      <c r="DO67" s="242"/>
      <c r="DP67" s="242"/>
      <c r="DQ67" s="242"/>
      <c r="DR67" s="242"/>
      <c r="DS67" s="242"/>
      <c r="DT67" s="242"/>
      <c r="DU67" s="242"/>
      <c r="DV67" s="242"/>
      <c r="DW67" s="242"/>
      <c r="DX67" s="242"/>
      <c r="DY67" s="242"/>
      <c r="DZ67" s="242"/>
      <c r="EA67" s="242"/>
      <c r="EB67" s="242"/>
      <c r="EC67" s="242"/>
      <c r="ED67" s="242"/>
      <c r="EE67" s="242"/>
      <c r="EF67" s="242"/>
      <c r="EG67" s="242"/>
      <c r="EH67" s="242"/>
      <c r="EI67" s="242"/>
      <c r="EJ67" s="242"/>
      <c r="EK67" s="242"/>
      <c r="EL67" s="242"/>
      <c r="EM67" s="242"/>
      <c r="EN67" s="242"/>
      <c r="EO67" s="242"/>
      <c r="EP67" s="242"/>
      <c r="EQ67" s="242"/>
      <c r="ER67" s="242"/>
      <c r="ES67" s="242"/>
      <c r="ET67" s="242"/>
      <c r="EU67" s="242"/>
      <c r="EV67" s="242"/>
      <c r="EW67" s="242"/>
      <c r="EX67" s="242"/>
      <c r="EY67" s="242"/>
      <c r="EZ67" s="242"/>
      <c r="FA67" s="242"/>
      <c r="FB67" s="242"/>
      <c r="FC67" s="242"/>
      <c r="FD67" s="242"/>
      <c r="FE67" s="242"/>
      <c r="FF67" s="242"/>
      <c r="FG67" s="242"/>
      <c r="FH67" s="242"/>
      <c r="FI67" s="242"/>
      <c r="FJ67" s="242"/>
      <c r="FK67" s="242"/>
      <c r="FL67" s="242"/>
      <c r="FM67" s="242"/>
      <c r="FN67" s="242"/>
      <c r="FO67" s="242"/>
      <c r="FP67" s="242"/>
      <c r="FQ67" s="242"/>
      <c r="FR67" s="242"/>
      <c r="FS67" s="242"/>
      <c r="FT67" s="242"/>
      <c r="FU67" s="242"/>
      <c r="FV67" s="242"/>
      <c r="FW67" s="242"/>
      <c r="FX67" s="242"/>
      <c r="FY67" s="242"/>
      <c r="FZ67" s="242"/>
      <c r="GA67" s="242"/>
      <c r="GB67" s="242"/>
      <c r="GC67" s="242"/>
      <c r="GD67" s="242"/>
      <c r="GE67" s="242"/>
      <c r="GF67" s="242"/>
      <c r="GG67" s="242"/>
      <c r="GH67" s="242"/>
    </row>
    <row r="68" spans="1:190" s="18" customFormat="1" ht="25.15" customHeight="1" x14ac:dyDescent="0.3">
      <c r="A68" s="210"/>
      <c r="B68" s="210"/>
      <c r="C68" s="210"/>
      <c r="D68" s="210"/>
      <c r="E68" s="210"/>
      <c r="F68" s="5"/>
      <c r="G68" s="5"/>
      <c r="H68" s="5"/>
      <c r="I68" s="25"/>
      <c r="J68" s="5"/>
      <c r="K68" s="5"/>
      <c r="L68" s="5"/>
      <c r="M68" s="5"/>
      <c r="N68" s="5"/>
      <c r="O68" s="25"/>
      <c r="P68" s="5"/>
      <c r="Q68" s="5"/>
      <c r="R68" s="5"/>
      <c r="S68" s="5"/>
      <c r="T68" s="5"/>
      <c r="U68" s="45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 s="242"/>
      <c r="AM68" s="242"/>
      <c r="AN68" s="242"/>
      <c r="AO68" s="242"/>
      <c r="AP68" s="242"/>
      <c r="AQ68" s="242"/>
      <c r="AR68" s="242"/>
      <c r="AS68" s="242"/>
      <c r="AT68" s="242"/>
      <c r="AU68" s="242"/>
      <c r="AV68" s="242"/>
      <c r="AW68" s="242"/>
      <c r="AX68" s="242"/>
      <c r="AY68" s="242"/>
      <c r="AZ68" s="242"/>
      <c r="BA68" s="242"/>
      <c r="BB68" s="242"/>
      <c r="BC68" s="242"/>
      <c r="BD68" s="242"/>
      <c r="BE68" s="242"/>
      <c r="BF68" s="242"/>
      <c r="BG68" s="242"/>
      <c r="BH68" s="242"/>
      <c r="BI68" s="242"/>
      <c r="BJ68" s="242"/>
      <c r="BK68" s="242"/>
      <c r="BL68" s="242"/>
      <c r="BM68" s="242"/>
      <c r="BN68" s="242"/>
      <c r="BO68" s="242"/>
      <c r="BP68" s="242"/>
      <c r="BQ68" s="242"/>
      <c r="BR68" s="242"/>
      <c r="BS68" s="242"/>
      <c r="BT68" s="242"/>
      <c r="BU68" s="242"/>
      <c r="BV68" s="242"/>
      <c r="BW68" s="242"/>
      <c r="BX68" s="242"/>
      <c r="BY68" s="242"/>
      <c r="BZ68" s="242"/>
      <c r="CA68" s="242"/>
      <c r="CB68" s="242"/>
      <c r="CC68" s="242"/>
      <c r="CD68" s="242"/>
      <c r="CE68" s="242"/>
      <c r="CF68" s="242"/>
      <c r="CG68" s="242"/>
      <c r="CH68" s="242"/>
      <c r="CI68" s="242"/>
      <c r="CJ68" s="242"/>
      <c r="CK68" s="242"/>
      <c r="CL68" s="242"/>
      <c r="CM68" s="242"/>
      <c r="CN68" s="242"/>
      <c r="CO68" s="242"/>
      <c r="CP68" s="242"/>
      <c r="CQ68" s="242"/>
      <c r="CR68" s="242"/>
      <c r="CS68" s="242"/>
      <c r="CT68" s="242"/>
      <c r="CU68" s="242"/>
      <c r="CV68" s="242"/>
      <c r="CW68" s="242"/>
      <c r="CX68" s="242"/>
      <c r="CY68" s="242"/>
      <c r="CZ68" s="242"/>
      <c r="DA68" s="242"/>
      <c r="DB68" s="242"/>
      <c r="DC68" s="242"/>
      <c r="DD68" s="242"/>
      <c r="DE68" s="242"/>
      <c r="DF68" s="242"/>
      <c r="DG68" s="242"/>
      <c r="DH68" s="242"/>
      <c r="DI68" s="242"/>
      <c r="DJ68" s="242"/>
      <c r="DK68" s="242"/>
      <c r="DL68" s="242"/>
      <c r="DM68" s="242"/>
      <c r="DN68" s="242"/>
      <c r="DO68" s="242"/>
      <c r="DP68" s="242"/>
      <c r="DQ68" s="242"/>
      <c r="DR68" s="242"/>
      <c r="DS68" s="242"/>
      <c r="DT68" s="242"/>
      <c r="DU68" s="242"/>
      <c r="DV68" s="242"/>
      <c r="DW68" s="242"/>
      <c r="DX68" s="242"/>
      <c r="DY68" s="242"/>
      <c r="DZ68" s="242"/>
      <c r="EA68" s="242"/>
      <c r="EB68" s="242"/>
      <c r="EC68" s="242"/>
      <c r="ED68" s="242"/>
      <c r="EE68" s="242"/>
      <c r="EF68" s="242"/>
      <c r="EG68" s="242"/>
      <c r="EH68" s="242"/>
      <c r="EI68" s="242"/>
      <c r="EJ68" s="242"/>
      <c r="EK68" s="242"/>
      <c r="EL68" s="242"/>
      <c r="EM68" s="242"/>
      <c r="EN68" s="242"/>
      <c r="EO68" s="242"/>
      <c r="EP68" s="242"/>
      <c r="EQ68" s="242"/>
      <c r="ER68" s="242"/>
      <c r="ES68" s="242"/>
      <c r="ET68" s="242"/>
      <c r="EU68" s="242"/>
      <c r="EV68" s="242"/>
      <c r="EW68" s="242"/>
      <c r="EX68" s="242"/>
      <c r="EY68" s="242"/>
      <c r="EZ68" s="242"/>
      <c r="FA68" s="242"/>
      <c r="FB68" s="242"/>
      <c r="FC68" s="242"/>
      <c r="FD68" s="242"/>
      <c r="FE68" s="242"/>
      <c r="FF68" s="242"/>
      <c r="FG68" s="242"/>
      <c r="FH68" s="242"/>
      <c r="FI68" s="242"/>
      <c r="FJ68" s="242"/>
      <c r="FK68" s="242"/>
      <c r="FL68" s="242"/>
      <c r="FM68" s="242"/>
      <c r="FN68" s="242"/>
      <c r="FO68" s="242"/>
      <c r="FP68" s="242"/>
      <c r="FQ68" s="242"/>
      <c r="FR68" s="242"/>
      <c r="FS68" s="242"/>
      <c r="FT68" s="242"/>
      <c r="FU68" s="242"/>
      <c r="FV68" s="242"/>
      <c r="FW68" s="242"/>
      <c r="FX68" s="242"/>
      <c r="FY68" s="242"/>
      <c r="FZ68" s="242"/>
      <c r="GA68" s="242"/>
      <c r="GB68" s="242"/>
      <c r="GC68" s="242"/>
      <c r="GD68" s="242"/>
      <c r="GE68" s="242"/>
      <c r="GF68" s="242"/>
      <c r="GG68" s="242"/>
      <c r="GH68" s="242"/>
    </row>
    <row r="69" spans="1:190" s="18" customFormat="1" ht="25.15" customHeight="1" x14ac:dyDescent="0.3">
      <c r="A69" s="210"/>
      <c r="B69" s="210"/>
      <c r="C69" s="210"/>
      <c r="D69" s="210"/>
      <c r="E69" s="210"/>
      <c r="F69" s="5"/>
      <c r="G69" s="5"/>
      <c r="H69" s="5"/>
      <c r="I69" s="25"/>
      <c r="J69" s="5"/>
      <c r="K69" s="5"/>
      <c r="L69" s="5"/>
      <c r="M69" s="5"/>
      <c r="N69" s="5"/>
      <c r="O69" s="25"/>
      <c r="P69" s="5"/>
      <c r="Q69" s="5"/>
      <c r="R69" s="5"/>
      <c r="S69" s="5"/>
      <c r="T69" s="5"/>
      <c r="U69" s="45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 s="242"/>
      <c r="AM69" s="242"/>
      <c r="AN69" s="242"/>
      <c r="AO69" s="242"/>
      <c r="AP69" s="242"/>
      <c r="AQ69" s="242"/>
      <c r="AR69" s="242"/>
      <c r="AS69" s="242"/>
      <c r="AT69" s="242"/>
      <c r="AU69" s="242"/>
      <c r="AV69" s="242"/>
      <c r="AW69" s="242"/>
      <c r="AX69" s="242"/>
      <c r="AY69" s="242"/>
      <c r="AZ69" s="242"/>
      <c r="BA69" s="242"/>
      <c r="BB69" s="242"/>
      <c r="BC69" s="242"/>
      <c r="BD69" s="242"/>
      <c r="BE69" s="242"/>
      <c r="BF69" s="242"/>
      <c r="BG69" s="242"/>
      <c r="BH69" s="242"/>
      <c r="BI69" s="242"/>
      <c r="BJ69" s="242"/>
      <c r="BK69" s="242"/>
      <c r="BL69" s="242"/>
      <c r="BM69" s="242"/>
      <c r="BN69" s="242"/>
      <c r="BO69" s="242"/>
      <c r="BP69" s="242"/>
      <c r="BQ69" s="242"/>
      <c r="BR69" s="242"/>
      <c r="BS69" s="242"/>
      <c r="BT69" s="242"/>
      <c r="BU69" s="242"/>
      <c r="BV69" s="242"/>
      <c r="BW69" s="242"/>
      <c r="BX69" s="242"/>
      <c r="BY69" s="242"/>
      <c r="BZ69" s="242"/>
      <c r="CA69" s="242"/>
      <c r="CB69" s="242"/>
      <c r="CC69" s="242"/>
      <c r="CD69" s="242"/>
      <c r="CE69" s="242"/>
      <c r="CF69" s="242"/>
      <c r="CG69" s="242"/>
      <c r="CH69" s="242"/>
      <c r="CI69" s="242"/>
      <c r="CJ69" s="242"/>
      <c r="CK69" s="242"/>
      <c r="CL69" s="242"/>
      <c r="CM69" s="242"/>
      <c r="CN69" s="242"/>
      <c r="CO69" s="242"/>
      <c r="CP69" s="242"/>
      <c r="CQ69" s="242"/>
      <c r="CR69" s="242"/>
      <c r="CS69" s="242"/>
      <c r="CT69" s="242"/>
      <c r="CU69" s="242"/>
      <c r="CV69" s="242"/>
      <c r="CW69" s="242"/>
      <c r="CX69" s="242"/>
      <c r="CY69" s="242"/>
      <c r="CZ69" s="242"/>
      <c r="DA69" s="242"/>
      <c r="DB69" s="242"/>
      <c r="DC69" s="242"/>
      <c r="DD69" s="242"/>
      <c r="DE69" s="242"/>
      <c r="DF69" s="242"/>
      <c r="DG69" s="242"/>
      <c r="DH69" s="242"/>
      <c r="DI69" s="242"/>
      <c r="DJ69" s="242"/>
      <c r="DK69" s="242"/>
      <c r="DL69" s="242"/>
      <c r="DM69" s="242"/>
      <c r="DN69" s="242"/>
      <c r="DO69" s="242"/>
      <c r="DP69" s="242"/>
      <c r="DQ69" s="242"/>
      <c r="DR69" s="242"/>
      <c r="DS69" s="242"/>
      <c r="DT69" s="242"/>
      <c r="DU69" s="242"/>
      <c r="DV69" s="242"/>
      <c r="DW69" s="242"/>
      <c r="DX69" s="242"/>
      <c r="DY69" s="242"/>
      <c r="DZ69" s="242"/>
      <c r="EA69" s="242"/>
      <c r="EB69" s="242"/>
      <c r="EC69" s="242"/>
      <c r="ED69" s="242"/>
      <c r="EE69" s="242"/>
      <c r="EF69" s="242"/>
      <c r="EG69" s="242"/>
      <c r="EH69" s="242"/>
      <c r="EI69" s="242"/>
      <c r="EJ69" s="242"/>
      <c r="EK69" s="242"/>
      <c r="EL69" s="242"/>
      <c r="EM69" s="242"/>
      <c r="EN69" s="242"/>
      <c r="EO69" s="242"/>
      <c r="EP69" s="242"/>
      <c r="EQ69" s="242"/>
      <c r="ER69" s="242"/>
      <c r="ES69" s="242"/>
      <c r="ET69" s="242"/>
      <c r="EU69" s="242"/>
      <c r="EV69" s="242"/>
      <c r="EW69" s="242"/>
      <c r="EX69" s="242"/>
      <c r="EY69" s="242"/>
      <c r="EZ69" s="242"/>
      <c r="FA69" s="242"/>
      <c r="FB69" s="242"/>
      <c r="FC69" s="242"/>
      <c r="FD69" s="242"/>
      <c r="FE69" s="242"/>
      <c r="FF69" s="242"/>
      <c r="FG69" s="242"/>
      <c r="FH69" s="242"/>
      <c r="FI69" s="242"/>
      <c r="FJ69" s="242"/>
      <c r="FK69" s="242"/>
      <c r="FL69" s="242"/>
      <c r="FM69" s="242"/>
      <c r="FN69" s="242"/>
      <c r="FO69" s="242"/>
      <c r="FP69" s="242"/>
      <c r="FQ69" s="242"/>
      <c r="FR69" s="242"/>
      <c r="FS69" s="242"/>
      <c r="FT69" s="242"/>
      <c r="FU69" s="242"/>
      <c r="FV69" s="242"/>
      <c r="FW69" s="242"/>
      <c r="FX69" s="242"/>
      <c r="FY69" s="242"/>
      <c r="FZ69" s="242"/>
      <c r="GA69" s="242"/>
      <c r="GB69" s="242"/>
      <c r="GC69" s="242"/>
      <c r="GD69" s="242"/>
      <c r="GE69" s="242"/>
      <c r="GF69" s="242"/>
      <c r="GG69" s="242"/>
      <c r="GH69" s="242"/>
    </row>
    <row r="70" spans="1:190" s="18" customFormat="1" ht="25.15" customHeight="1" x14ac:dyDescent="0.3">
      <c r="A70" s="210"/>
      <c r="B70" s="210"/>
      <c r="C70" s="210"/>
      <c r="D70" s="210"/>
      <c r="E70" s="210"/>
      <c r="F70" s="5"/>
      <c r="G70" s="5"/>
      <c r="H70" s="5"/>
      <c r="I70" s="25"/>
      <c r="J70" s="5"/>
      <c r="K70" s="5"/>
      <c r="L70" s="5"/>
      <c r="M70" s="5"/>
      <c r="N70" s="5"/>
      <c r="O70" s="25"/>
      <c r="P70" s="5"/>
      <c r="Q70" s="5"/>
      <c r="R70" s="5"/>
      <c r="S70" s="5"/>
      <c r="T70" s="5"/>
      <c r="U70" s="45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 s="242"/>
      <c r="AM70" s="242"/>
      <c r="AN70" s="242"/>
      <c r="AO70" s="242"/>
      <c r="AP70" s="242"/>
      <c r="AQ70" s="242"/>
      <c r="AR70" s="242"/>
      <c r="AS70" s="242"/>
      <c r="AT70" s="242"/>
      <c r="AU70" s="242"/>
      <c r="AV70" s="242"/>
      <c r="AW70" s="242"/>
      <c r="AX70" s="242"/>
      <c r="AY70" s="242"/>
      <c r="AZ70" s="242"/>
      <c r="BA70" s="242"/>
      <c r="BB70" s="242"/>
      <c r="BC70" s="242"/>
      <c r="BD70" s="242"/>
      <c r="BE70" s="242"/>
      <c r="BF70" s="242"/>
      <c r="BG70" s="242"/>
      <c r="BH70" s="242"/>
      <c r="BI70" s="242"/>
      <c r="BJ70" s="242"/>
      <c r="BK70" s="242"/>
      <c r="BL70" s="242"/>
      <c r="BM70" s="242"/>
      <c r="BN70" s="242"/>
      <c r="BO70" s="242"/>
      <c r="BP70" s="242"/>
      <c r="BQ70" s="242"/>
      <c r="BR70" s="242"/>
      <c r="BS70" s="242"/>
      <c r="BT70" s="242"/>
      <c r="BU70" s="242"/>
      <c r="BV70" s="242"/>
      <c r="BW70" s="242"/>
      <c r="BX70" s="242"/>
      <c r="BY70" s="242"/>
      <c r="BZ70" s="242"/>
      <c r="CA70" s="242"/>
      <c r="CB70" s="242"/>
      <c r="CC70" s="242"/>
      <c r="CD70" s="242"/>
      <c r="CE70" s="242"/>
      <c r="CF70" s="242"/>
      <c r="CG70" s="242"/>
      <c r="CH70" s="242"/>
      <c r="CI70" s="242"/>
      <c r="CJ70" s="242"/>
      <c r="CK70" s="242"/>
      <c r="CL70" s="242"/>
      <c r="CM70" s="242"/>
      <c r="CN70" s="242"/>
      <c r="CO70" s="242"/>
      <c r="CP70" s="242"/>
      <c r="CQ70" s="242"/>
      <c r="CR70" s="242"/>
      <c r="CS70" s="242"/>
      <c r="CT70" s="242"/>
      <c r="CU70" s="242"/>
      <c r="CV70" s="242"/>
      <c r="CW70" s="242"/>
      <c r="CX70" s="242"/>
      <c r="CY70" s="242"/>
      <c r="CZ70" s="242"/>
      <c r="DA70" s="242"/>
      <c r="DB70" s="242"/>
      <c r="DC70" s="242"/>
      <c r="DD70" s="242"/>
      <c r="DE70" s="242"/>
      <c r="DF70" s="242"/>
      <c r="DG70" s="242"/>
      <c r="DH70" s="242"/>
      <c r="DI70" s="242"/>
      <c r="DJ70" s="242"/>
      <c r="DK70" s="242"/>
      <c r="DL70" s="242"/>
      <c r="DM70" s="242"/>
      <c r="DN70" s="242"/>
      <c r="DO70" s="242"/>
      <c r="DP70" s="242"/>
      <c r="DQ70" s="242"/>
      <c r="DR70" s="242"/>
      <c r="DS70" s="242"/>
      <c r="DT70" s="242"/>
      <c r="DU70" s="242"/>
      <c r="DV70" s="242"/>
      <c r="DW70" s="242"/>
      <c r="DX70" s="242"/>
      <c r="DY70" s="242"/>
      <c r="DZ70" s="242"/>
      <c r="EA70" s="242"/>
      <c r="EB70" s="242"/>
      <c r="EC70" s="242"/>
      <c r="ED70" s="242"/>
      <c r="EE70" s="242"/>
      <c r="EF70" s="242"/>
      <c r="EG70" s="242"/>
      <c r="EH70" s="242"/>
      <c r="EI70" s="242"/>
      <c r="EJ70" s="242"/>
      <c r="EK70" s="242"/>
      <c r="EL70" s="242"/>
      <c r="EM70" s="242"/>
      <c r="EN70" s="242"/>
      <c r="EO70" s="242"/>
      <c r="EP70" s="242"/>
      <c r="EQ70" s="242"/>
      <c r="ER70" s="242"/>
      <c r="ES70" s="242"/>
      <c r="ET70" s="242"/>
      <c r="EU70" s="242"/>
      <c r="EV70" s="242"/>
      <c r="EW70" s="242"/>
      <c r="EX70" s="242"/>
      <c r="EY70" s="242"/>
      <c r="EZ70" s="242"/>
      <c r="FA70" s="242"/>
      <c r="FB70" s="242"/>
      <c r="FC70" s="242"/>
      <c r="FD70" s="242"/>
      <c r="FE70" s="242"/>
      <c r="FF70" s="242"/>
      <c r="FG70" s="242"/>
      <c r="FH70" s="242"/>
      <c r="FI70" s="242"/>
      <c r="FJ70" s="242"/>
      <c r="FK70" s="242"/>
      <c r="FL70" s="242"/>
      <c r="FM70" s="242"/>
      <c r="FN70" s="242"/>
      <c r="FO70" s="242"/>
      <c r="FP70" s="242"/>
      <c r="FQ70" s="242"/>
      <c r="FR70" s="242"/>
      <c r="FS70" s="242"/>
      <c r="FT70" s="242"/>
      <c r="FU70" s="242"/>
      <c r="FV70" s="242"/>
      <c r="FW70" s="242"/>
      <c r="FX70" s="242"/>
      <c r="FY70" s="242"/>
      <c r="FZ70" s="242"/>
      <c r="GA70" s="242"/>
      <c r="GB70" s="242"/>
      <c r="GC70" s="242"/>
      <c r="GD70" s="242"/>
      <c r="GE70" s="242"/>
      <c r="GF70" s="242"/>
      <c r="GG70" s="242"/>
      <c r="GH70" s="242"/>
    </row>
    <row r="71" spans="1:190" s="18" customFormat="1" ht="25.15" customHeight="1" x14ac:dyDescent="0.3">
      <c r="A71" s="210"/>
      <c r="B71" s="210"/>
      <c r="C71" s="210"/>
      <c r="D71" s="210"/>
      <c r="E71" s="210"/>
      <c r="F71" s="5"/>
      <c r="G71" s="5"/>
      <c r="H71" s="5"/>
      <c r="I71" s="25"/>
      <c r="J71" s="5"/>
      <c r="K71" s="5"/>
      <c r="L71" s="5"/>
      <c r="M71" s="5"/>
      <c r="N71" s="5"/>
      <c r="O71" s="25"/>
      <c r="P71" s="5"/>
      <c r="Q71" s="5"/>
      <c r="R71" s="5"/>
      <c r="S71" s="5"/>
      <c r="T71" s="5"/>
      <c r="U71" s="45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 s="242"/>
      <c r="AM71" s="242"/>
      <c r="AN71" s="242"/>
      <c r="AO71" s="242"/>
      <c r="AP71" s="242"/>
      <c r="AQ71" s="242"/>
      <c r="AR71" s="242"/>
      <c r="AS71" s="242"/>
      <c r="AT71" s="242"/>
      <c r="AU71" s="242"/>
      <c r="AV71" s="242"/>
      <c r="AW71" s="242"/>
      <c r="AX71" s="242"/>
      <c r="AY71" s="242"/>
      <c r="AZ71" s="242"/>
      <c r="BA71" s="242"/>
      <c r="BB71" s="242"/>
      <c r="BC71" s="242"/>
      <c r="BD71" s="242"/>
      <c r="BE71" s="242"/>
      <c r="BF71" s="242"/>
      <c r="BG71" s="242"/>
      <c r="BH71" s="242"/>
      <c r="BI71" s="242"/>
      <c r="BJ71" s="242"/>
      <c r="BK71" s="242"/>
      <c r="BL71" s="242"/>
      <c r="BM71" s="242"/>
      <c r="BN71" s="242"/>
      <c r="BO71" s="242"/>
      <c r="BP71" s="242"/>
      <c r="BQ71" s="242"/>
      <c r="BR71" s="242"/>
      <c r="BS71" s="242"/>
      <c r="BT71" s="242"/>
      <c r="BU71" s="242"/>
      <c r="BV71" s="242"/>
      <c r="BW71" s="242"/>
      <c r="BX71" s="242"/>
      <c r="BY71" s="242"/>
      <c r="BZ71" s="242"/>
      <c r="CA71" s="242"/>
      <c r="CB71" s="242"/>
      <c r="CC71" s="242"/>
      <c r="CD71" s="242"/>
      <c r="CE71" s="242"/>
      <c r="CF71" s="242"/>
      <c r="CG71" s="242"/>
      <c r="CH71" s="242"/>
      <c r="CI71" s="242"/>
      <c r="CJ71" s="242"/>
      <c r="CK71" s="242"/>
      <c r="CL71" s="242"/>
      <c r="CM71" s="242"/>
      <c r="CN71" s="242"/>
      <c r="CO71" s="242"/>
      <c r="CP71" s="242"/>
      <c r="CQ71" s="242"/>
      <c r="CR71" s="242"/>
      <c r="CS71" s="242"/>
      <c r="CT71" s="242"/>
      <c r="CU71" s="242"/>
      <c r="CV71" s="242"/>
      <c r="CW71" s="242"/>
      <c r="CX71" s="242"/>
      <c r="CY71" s="242"/>
      <c r="CZ71" s="242"/>
      <c r="DA71" s="242"/>
      <c r="DB71" s="242"/>
      <c r="DC71" s="242"/>
      <c r="DD71" s="242"/>
      <c r="DE71" s="242"/>
      <c r="DF71" s="242"/>
      <c r="DG71" s="242"/>
      <c r="DH71" s="242"/>
      <c r="DI71" s="242"/>
      <c r="DJ71" s="242"/>
      <c r="DK71" s="242"/>
      <c r="DL71" s="242"/>
      <c r="DM71" s="242"/>
      <c r="DN71" s="242"/>
      <c r="DO71" s="242"/>
      <c r="DP71" s="242"/>
      <c r="DQ71" s="242"/>
      <c r="DR71" s="242"/>
      <c r="DS71" s="242"/>
      <c r="DT71" s="242"/>
      <c r="DU71" s="242"/>
      <c r="DV71" s="242"/>
      <c r="DW71" s="242"/>
      <c r="DX71" s="242"/>
      <c r="DY71" s="242"/>
      <c r="DZ71" s="242"/>
      <c r="EA71" s="242"/>
      <c r="EB71" s="242"/>
      <c r="EC71" s="242"/>
      <c r="ED71" s="242"/>
      <c r="EE71" s="242"/>
      <c r="EF71" s="242"/>
      <c r="EG71" s="242"/>
      <c r="EH71" s="242"/>
      <c r="EI71" s="242"/>
      <c r="EJ71" s="242"/>
      <c r="EK71" s="242"/>
      <c r="EL71" s="242"/>
      <c r="EM71" s="242"/>
      <c r="EN71" s="242"/>
      <c r="EO71" s="242"/>
      <c r="EP71" s="242"/>
      <c r="EQ71" s="242"/>
      <c r="ER71" s="242"/>
      <c r="ES71" s="242"/>
      <c r="ET71" s="242"/>
      <c r="EU71" s="242"/>
      <c r="EV71" s="242"/>
      <c r="EW71" s="242"/>
      <c r="EX71" s="242"/>
      <c r="EY71" s="242"/>
      <c r="EZ71" s="242"/>
      <c r="FA71" s="242"/>
      <c r="FB71" s="242"/>
      <c r="FC71" s="242"/>
      <c r="FD71" s="242"/>
      <c r="FE71" s="242"/>
      <c r="FF71" s="242"/>
      <c r="FG71" s="242"/>
      <c r="FH71" s="242"/>
      <c r="FI71" s="242"/>
      <c r="FJ71" s="242"/>
      <c r="FK71" s="242"/>
      <c r="FL71" s="242"/>
      <c r="FM71" s="242"/>
      <c r="FN71" s="242"/>
      <c r="FO71" s="242"/>
      <c r="FP71" s="242"/>
      <c r="FQ71" s="242"/>
      <c r="FR71" s="242"/>
      <c r="FS71" s="242"/>
      <c r="FT71" s="242"/>
      <c r="FU71" s="242"/>
      <c r="FV71" s="242"/>
      <c r="FW71" s="242"/>
      <c r="FX71" s="242"/>
      <c r="FY71" s="242"/>
      <c r="FZ71" s="242"/>
      <c r="GA71" s="242"/>
      <c r="GB71" s="242"/>
      <c r="GC71" s="242"/>
      <c r="GD71" s="242"/>
      <c r="GE71" s="242"/>
      <c r="GF71" s="242"/>
      <c r="GG71" s="242"/>
      <c r="GH71" s="242"/>
    </row>
    <row r="72" spans="1:190" s="18" customFormat="1" ht="25.15" customHeight="1" x14ac:dyDescent="0.3">
      <c r="A72" s="210"/>
      <c r="B72" s="210"/>
      <c r="C72" s="210"/>
      <c r="D72" s="210"/>
      <c r="E72" s="210"/>
      <c r="F72" s="5"/>
      <c r="G72" s="5"/>
      <c r="H72" s="5"/>
      <c r="I72" s="25"/>
      <c r="J72" s="5"/>
      <c r="K72" s="5"/>
      <c r="L72" s="5"/>
      <c r="M72" s="5"/>
      <c r="N72" s="5"/>
      <c r="O72" s="25"/>
      <c r="P72" s="5"/>
      <c r="Q72" s="5"/>
      <c r="R72" s="5"/>
      <c r="S72" s="5"/>
      <c r="T72" s="5"/>
      <c r="U72" s="45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 s="242"/>
      <c r="AM72" s="242"/>
      <c r="AN72" s="242"/>
      <c r="AO72" s="242"/>
      <c r="AP72" s="242"/>
      <c r="AQ72" s="242"/>
      <c r="AR72" s="242"/>
      <c r="AS72" s="242"/>
      <c r="AT72" s="242"/>
      <c r="AU72" s="242"/>
      <c r="AV72" s="242"/>
      <c r="AW72" s="242"/>
      <c r="AX72" s="242"/>
      <c r="AY72" s="242"/>
      <c r="AZ72" s="242"/>
      <c r="BA72" s="242"/>
      <c r="BB72" s="242"/>
      <c r="BC72" s="242"/>
      <c r="BD72" s="242"/>
      <c r="BE72" s="242"/>
      <c r="BF72" s="242"/>
      <c r="BG72" s="242"/>
      <c r="BH72" s="242"/>
      <c r="BI72" s="242"/>
      <c r="BJ72" s="242"/>
      <c r="BK72" s="242"/>
      <c r="BL72" s="242"/>
      <c r="BM72" s="242"/>
      <c r="BN72" s="242"/>
      <c r="BO72" s="242"/>
      <c r="BP72" s="242"/>
      <c r="BQ72" s="242"/>
      <c r="BR72" s="242"/>
      <c r="BS72" s="242"/>
      <c r="BT72" s="242"/>
      <c r="BU72" s="242"/>
      <c r="BV72" s="242"/>
      <c r="BW72" s="242"/>
      <c r="BX72" s="242"/>
      <c r="BY72" s="242"/>
      <c r="BZ72" s="242"/>
      <c r="CA72" s="242"/>
      <c r="CB72" s="242"/>
      <c r="CC72" s="242"/>
      <c r="CD72" s="242"/>
      <c r="CE72" s="242"/>
      <c r="CF72" s="242"/>
      <c r="CG72" s="242"/>
      <c r="CH72" s="242"/>
      <c r="CI72" s="242"/>
      <c r="CJ72" s="242"/>
      <c r="CK72" s="242"/>
      <c r="CL72" s="242"/>
      <c r="CM72" s="242"/>
      <c r="CN72" s="242"/>
      <c r="CO72" s="242"/>
      <c r="CP72" s="242"/>
      <c r="CQ72" s="242"/>
      <c r="CR72" s="242"/>
      <c r="CS72" s="242"/>
      <c r="CT72" s="242"/>
      <c r="CU72" s="242"/>
      <c r="CV72" s="242"/>
      <c r="CW72" s="242"/>
      <c r="CX72" s="242"/>
      <c r="CY72" s="242"/>
      <c r="CZ72" s="242"/>
      <c r="DA72" s="242"/>
      <c r="DB72" s="242"/>
      <c r="DC72" s="242"/>
      <c r="DD72" s="242"/>
      <c r="DE72" s="242"/>
      <c r="DF72" s="242"/>
      <c r="DG72" s="242"/>
      <c r="DH72" s="242"/>
      <c r="DI72" s="242"/>
      <c r="DJ72" s="242"/>
      <c r="DK72" s="242"/>
      <c r="DL72" s="242"/>
      <c r="DM72" s="242"/>
      <c r="DN72" s="242"/>
      <c r="DO72" s="242"/>
      <c r="DP72" s="242"/>
      <c r="DQ72" s="242"/>
      <c r="DR72" s="242"/>
      <c r="DS72" s="242"/>
      <c r="DT72" s="242"/>
      <c r="DU72" s="242"/>
      <c r="DV72" s="242"/>
      <c r="DW72" s="242"/>
      <c r="DX72" s="242"/>
      <c r="DY72" s="242"/>
      <c r="DZ72" s="242"/>
      <c r="EA72" s="242"/>
      <c r="EB72" s="242"/>
      <c r="EC72" s="242"/>
      <c r="ED72" s="242"/>
      <c r="EE72" s="242"/>
      <c r="EF72" s="242"/>
      <c r="EG72" s="242"/>
      <c r="EH72" s="242"/>
      <c r="EI72" s="242"/>
      <c r="EJ72" s="242"/>
      <c r="EK72" s="242"/>
      <c r="EL72" s="242"/>
      <c r="EM72" s="242"/>
      <c r="EN72" s="242"/>
      <c r="EO72" s="242"/>
      <c r="EP72" s="242"/>
      <c r="EQ72" s="242"/>
      <c r="ER72" s="242"/>
      <c r="ES72" s="242"/>
      <c r="ET72" s="242"/>
      <c r="EU72" s="242"/>
      <c r="EV72" s="242"/>
      <c r="EW72" s="242"/>
      <c r="EX72" s="242"/>
      <c r="EY72" s="242"/>
      <c r="EZ72" s="242"/>
      <c r="FA72" s="242"/>
      <c r="FB72" s="242"/>
      <c r="FC72" s="242"/>
      <c r="FD72" s="242"/>
      <c r="FE72" s="242"/>
      <c r="FF72" s="242"/>
      <c r="FG72" s="242"/>
      <c r="FH72" s="242"/>
      <c r="FI72" s="242"/>
      <c r="FJ72" s="242"/>
      <c r="FK72" s="242"/>
      <c r="FL72" s="242"/>
      <c r="FM72" s="242"/>
      <c r="FN72" s="242"/>
      <c r="FO72" s="242"/>
      <c r="FP72" s="242"/>
      <c r="FQ72" s="242"/>
      <c r="FR72" s="242"/>
      <c r="FS72" s="242"/>
      <c r="FT72" s="242"/>
      <c r="FU72" s="242"/>
      <c r="FV72" s="242"/>
      <c r="FW72" s="242"/>
      <c r="FX72" s="242"/>
      <c r="FY72" s="242"/>
      <c r="FZ72" s="242"/>
      <c r="GA72" s="242"/>
      <c r="GB72" s="242"/>
      <c r="GC72" s="242"/>
      <c r="GD72" s="242"/>
      <c r="GE72" s="242"/>
      <c r="GF72" s="242"/>
      <c r="GG72" s="242"/>
      <c r="GH72" s="242"/>
    </row>
    <row r="73" spans="1:190" s="18" customFormat="1" ht="25.15" customHeight="1" x14ac:dyDescent="0.3">
      <c r="A73" s="210"/>
      <c r="B73" s="210"/>
      <c r="C73" s="210"/>
      <c r="D73" s="210"/>
      <c r="E73" s="210"/>
      <c r="F73" s="5"/>
      <c r="G73" s="5"/>
      <c r="H73" s="5"/>
      <c r="I73" s="25"/>
      <c r="J73" s="5"/>
      <c r="K73" s="5"/>
      <c r="L73" s="5"/>
      <c r="M73" s="5"/>
      <c r="N73" s="5"/>
      <c r="O73" s="25"/>
      <c r="P73" s="5"/>
      <c r="Q73" s="5"/>
      <c r="R73" s="5"/>
      <c r="S73" s="5"/>
      <c r="T73" s="5"/>
      <c r="U73" s="45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 s="242"/>
      <c r="AM73" s="242"/>
      <c r="AN73" s="242"/>
      <c r="AO73" s="242"/>
      <c r="AP73" s="242"/>
      <c r="AQ73" s="242"/>
      <c r="AR73" s="242"/>
      <c r="AS73" s="242"/>
      <c r="AT73" s="242"/>
      <c r="AU73" s="242"/>
      <c r="AV73" s="242"/>
      <c r="AW73" s="242"/>
      <c r="AX73" s="242"/>
      <c r="AY73" s="242"/>
      <c r="AZ73" s="242"/>
      <c r="BA73" s="242"/>
      <c r="BB73" s="242"/>
      <c r="BC73" s="242"/>
      <c r="BD73" s="242"/>
      <c r="BE73" s="242"/>
      <c r="BF73" s="242"/>
      <c r="BG73" s="242"/>
      <c r="BH73" s="242"/>
      <c r="BI73" s="242"/>
      <c r="BJ73" s="242"/>
      <c r="BK73" s="242"/>
      <c r="BL73" s="242"/>
      <c r="BM73" s="242"/>
      <c r="BN73" s="242"/>
      <c r="BO73" s="242"/>
      <c r="BP73" s="242"/>
      <c r="BQ73" s="242"/>
      <c r="BR73" s="242"/>
      <c r="BS73" s="242"/>
      <c r="BT73" s="242"/>
      <c r="BU73" s="242"/>
      <c r="BV73" s="242"/>
      <c r="BW73" s="242"/>
      <c r="BX73" s="242"/>
      <c r="BY73" s="242"/>
      <c r="BZ73" s="242"/>
      <c r="CA73" s="242"/>
      <c r="CB73" s="242"/>
      <c r="CC73" s="242"/>
      <c r="CD73" s="242"/>
      <c r="CE73" s="242"/>
      <c r="CF73" s="242"/>
      <c r="CG73" s="242"/>
      <c r="CH73" s="242"/>
      <c r="CI73" s="242"/>
      <c r="CJ73" s="242"/>
      <c r="CK73" s="242"/>
      <c r="CL73" s="242"/>
      <c r="CM73" s="242"/>
      <c r="CN73" s="242"/>
      <c r="CO73" s="242"/>
      <c r="CP73" s="242"/>
      <c r="CQ73" s="242"/>
      <c r="CR73" s="242"/>
      <c r="CS73" s="242"/>
      <c r="CT73" s="242"/>
      <c r="CU73" s="242"/>
      <c r="CV73" s="242"/>
      <c r="CW73" s="242"/>
      <c r="CX73" s="242"/>
      <c r="CY73" s="242"/>
      <c r="CZ73" s="242"/>
      <c r="DA73" s="242"/>
      <c r="DB73" s="242"/>
      <c r="DC73" s="242"/>
      <c r="DD73" s="242"/>
      <c r="DE73" s="242"/>
      <c r="DF73" s="242"/>
      <c r="DG73" s="242"/>
      <c r="DH73" s="242"/>
      <c r="DI73" s="242"/>
      <c r="DJ73" s="242"/>
      <c r="DK73" s="242"/>
      <c r="DL73" s="242"/>
      <c r="DM73" s="242"/>
      <c r="DN73" s="242"/>
      <c r="DO73" s="242"/>
      <c r="DP73" s="242"/>
      <c r="DQ73" s="242"/>
      <c r="DR73" s="242"/>
      <c r="DS73" s="242"/>
      <c r="DT73" s="242"/>
      <c r="DU73" s="242"/>
      <c r="DV73" s="242"/>
      <c r="DW73" s="242"/>
      <c r="DX73" s="242"/>
      <c r="DY73" s="242"/>
      <c r="DZ73" s="242"/>
      <c r="EA73" s="242"/>
      <c r="EB73" s="242"/>
      <c r="EC73" s="242"/>
      <c r="ED73" s="242"/>
      <c r="EE73" s="242"/>
      <c r="EF73" s="242"/>
      <c r="EG73" s="242"/>
      <c r="EH73" s="242"/>
      <c r="EI73" s="242"/>
      <c r="EJ73" s="242"/>
      <c r="EK73" s="242"/>
      <c r="EL73" s="242"/>
      <c r="EM73" s="242"/>
      <c r="EN73" s="242"/>
      <c r="EO73" s="242"/>
      <c r="EP73" s="242"/>
      <c r="EQ73" s="242"/>
      <c r="ER73" s="242"/>
      <c r="ES73" s="242"/>
      <c r="ET73" s="242"/>
      <c r="EU73" s="242"/>
      <c r="EV73" s="242"/>
      <c r="EW73" s="242"/>
      <c r="EX73" s="242"/>
      <c r="EY73" s="242"/>
      <c r="EZ73" s="242"/>
      <c r="FA73" s="242"/>
      <c r="FB73" s="242"/>
      <c r="FC73" s="242"/>
      <c r="FD73" s="242"/>
      <c r="FE73" s="242"/>
      <c r="FF73" s="242"/>
      <c r="FG73" s="242"/>
      <c r="FH73" s="242"/>
      <c r="FI73" s="242"/>
      <c r="FJ73" s="242"/>
      <c r="FK73" s="242"/>
      <c r="FL73" s="242"/>
      <c r="FM73" s="242"/>
      <c r="FN73" s="242"/>
      <c r="FO73" s="242"/>
      <c r="FP73" s="242"/>
      <c r="FQ73" s="242"/>
      <c r="FR73" s="242"/>
      <c r="FS73" s="242"/>
      <c r="FT73" s="242"/>
      <c r="FU73" s="242"/>
      <c r="FV73" s="242"/>
      <c r="FW73" s="242"/>
      <c r="FX73" s="242"/>
      <c r="FY73" s="242"/>
      <c r="FZ73" s="242"/>
      <c r="GA73" s="242"/>
      <c r="GB73" s="242"/>
      <c r="GC73" s="242"/>
      <c r="GD73" s="242"/>
      <c r="GE73" s="242"/>
      <c r="GF73" s="242"/>
      <c r="GG73" s="242"/>
      <c r="GH73" s="242"/>
    </row>
    <row r="74" spans="1:190" ht="30" x14ac:dyDescent="0.3">
      <c r="A74" s="210"/>
      <c r="B74" s="210"/>
      <c r="C74" s="210"/>
      <c r="D74" s="210"/>
      <c r="E74" s="210"/>
      <c r="H74" s="5"/>
    </row>
    <row r="75" spans="1:190" ht="18.75" x14ac:dyDescent="0.3">
      <c r="A75" s="210"/>
      <c r="B75" s="210"/>
      <c r="C75" s="210"/>
      <c r="D75" s="210"/>
      <c r="E75" s="210"/>
    </row>
    <row r="76" spans="1:190" ht="18.75" x14ac:dyDescent="0.3">
      <c r="A76" s="210"/>
      <c r="B76" s="210"/>
      <c r="C76" s="210"/>
      <c r="D76" s="210"/>
      <c r="E76" s="210"/>
    </row>
    <row r="77" spans="1:190" ht="18.75" x14ac:dyDescent="0.3">
      <c r="A77" s="210"/>
      <c r="B77" s="210"/>
      <c r="C77" s="210"/>
      <c r="D77" s="210"/>
      <c r="E77" s="210"/>
    </row>
    <row r="78" spans="1:190" ht="18.75" x14ac:dyDescent="0.3">
      <c r="A78" s="210"/>
      <c r="B78" s="210"/>
      <c r="C78" s="210"/>
      <c r="D78" s="210"/>
      <c r="E78" s="210"/>
    </row>
    <row r="79" spans="1:190" ht="18.75" x14ac:dyDescent="0.3">
      <c r="A79" s="210"/>
      <c r="B79" s="210"/>
      <c r="C79" s="210"/>
      <c r="D79" s="210"/>
      <c r="E79" s="210"/>
    </row>
    <row r="80" spans="1:190" ht="18.75" x14ac:dyDescent="0.3">
      <c r="A80" s="210"/>
      <c r="B80" s="210"/>
      <c r="C80" s="210"/>
      <c r="D80" s="210"/>
      <c r="E80" s="210"/>
    </row>
    <row r="81" spans="1:5" ht="18.75" x14ac:dyDescent="0.3">
      <c r="A81" s="210"/>
      <c r="B81" s="210"/>
      <c r="C81" s="210"/>
      <c r="D81" s="210"/>
      <c r="E81" s="210"/>
    </row>
    <row r="82" spans="1:5" ht="18.75" x14ac:dyDescent="0.3">
      <c r="A82" s="210"/>
      <c r="B82" s="210"/>
      <c r="C82" s="210"/>
      <c r="D82" s="210"/>
      <c r="E82" s="210"/>
    </row>
    <row r="83" spans="1:5" ht="18.75" x14ac:dyDescent="0.3">
      <c r="A83" s="210"/>
      <c r="B83" s="210"/>
      <c r="C83" s="210"/>
      <c r="D83" s="210"/>
      <c r="E83" s="210"/>
    </row>
    <row r="84" spans="1:5" ht="18.75" x14ac:dyDescent="0.3">
      <c r="A84" s="210"/>
      <c r="B84" s="210"/>
      <c r="C84" s="210"/>
      <c r="D84" s="210"/>
      <c r="E84" s="210"/>
    </row>
    <row r="85" spans="1:5" ht="18.75" x14ac:dyDescent="0.3">
      <c r="A85" s="210"/>
      <c r="B85" s="210"/>
      <c r="C85" s="210"/>
      <c r="D85" s="210"/>
      <c r="E85" s="210"/>
    </row>
  </sheetData>
  <phoneticPr fontId="8" type="noConversion"/>
  <conditionalFormatting sqref="E2:T33 E34:W34 E35:T38 F39:I39 K39:T39 F40:T43">
    <cfRule type="cellIs" dxfId="6" priority="1" operator="lessThan">
      <formula>6</formula>
    </cfRule>
  </conditionalFormatting>
  <conditionalFormatting sqref="P1:T1 F44:G73 I44:T73 H44:H74">
    <cfRule type="cellIs" dxfId="5" priority="7" operator="lessThan">
      <formula>6</formula>
    </cfRule>
  </conditionalFormatting>
  <conditionalFormatting sqref="U1 U38:U73">
    <cfRule type="cellIs" dxfId="4" priority="6" operator="greaterThan">
      <formula>19</formula>
    </cfRule>
  </conditionalFormatting>
  <conditionalFormatting sqref="V1:V32 U2:U32 U33:V33">
    <cfRule type="cellIs" dxfId="3" priority="5" operator="greaterThan">
      <formula>5</formula>
    </cfRule>
  </conditionalFormatting>
  <conditionalFormatting sqref="AE1">
    <cfRule type="cellIs" dxfId="2" priority="4" operator="lessThan">
      <formula>6</formula>
    </cfRule>
  </conditionalFormatting>
  <conditionalFormatting sqref="AG1:AG32">
    <cfRule type="cellIs" dxfId="1" priority="2" operator="greaterThan">
      <formula>14</formula>
    </cfRule>
  </conditionalFormatting>
  <conditionalFormatting sqref="AK1:AK32">
    <cfRule type="cellIs" dxfId="0" priority="3" operator="greaterThan">
      <formula>4</formula>
    </cfRule>
  </conditionalFormatting>
  <dataValidations count="12">
    <dataValidation allowBlank="1" showInputMessage="1" showErrorMessage="1" promptTitle="Petunjuk Pengisian" prompt="Jumlah Nilai pelajaran siswi" sqref="X1:Y32" xr:uid="{DB6F7255-0259-429F-8414-CF1F62048A7E}"/>
    <dataValidation allowBlank="1" showInputMessage="1" showErrorMessage="1" promptTitle="Petunjuk pengisian" prompt="Jumlah Nilai Pelajaran siswi semester I &amp; II" sqref="Z1:Z32" xr:uid="{297DB646-1022-4161-AC7B-C15A48BC5796}"/>
    <dataValidation allowBlank="1" showInputMessage="1" showErrorMessage="1" promptTitle="Petunjuk Pengisian" prompt="Jumlah Mata pelajran semester I &amp; II" sqref="AA1:AA32" xr:uid="{5FE40F79-0974-4F46-8781-A8A2D0C7477F}"/>
    <dataValidation allowBlank="1" showInputMessage="1" showErrorMessage="1" promptTitle="petunjuk pengisian" prompt="Jumlah Nilai siswi Semester I &amp; II dibagi Jumlah Pelajaran semster I &amp; II" sqref="AB1:AB32" xr:uid="{7EEC0BE6-B914-45D8-9942-65B994939365}"/>
    <dataValidation allowBlank="1" showInputMessage="1" showErrorMessage="1" promptTitle="PETUNJUK PENGISIAN" prompt="TIDAK IZIN 5 HARI DALAM 1 TAHUN (SEMESTER I &amp; II )MENURUNKAN SATU NILAI PRESTASI" sqref="AK1:AK32" xr:uid="{899FF504-712C-434F-A21A-308131E4D9D3}"/>
    <dataValidation allowBlank="1" showInputMessage="1" showErrorMessage="1" promptTitle="PETUNJUIK PENGISIAN" prompt="IZIN 15 HARI DALAM 1 TAHUN (SEMESTER I &amp; II )MENURUNKAN SATU NILAI PRESTASI" sqref="AG1:AG32" xr:uid="{39A19FB9-5000-4A53-B1F5-B3761B73B8D9}"/>
    <dataValidation allowBlank="1" showInputMessage="1" showErrorMessage="1" promptTitle="petunjuk Pengisian " prompt="Izin 20 Hari dalam 1 Semester dapat menurunkan satu nilai akhlaq" sqref="U38:U73 U1" xr:uid="{D1B819D8-38AA-42AF-B124-CA1C09D7ED4F}"/>
    <dataValidation allowBlank="1" showInputMessage="1" showErrorMessage="1" promptTitle="Petunjuk Pengisian" prompt="Tidak Izin 6 Hari dalam 1 Semester dapat menurunkan satu nilai akhlaq" sqref="U2:U33 V1:V33" xr:uid="{1A96542E-E28A-47F9-B027-50880B5E2646}"/>
    <dataValidation allowBlank="1" showInputMessage="1" showErrorMessage="1" promptTitle="Petunjuk pengisian" prompt="Izin 20 Hari dalam 1 Semester dapat menurunkan satu nilai akhlaq" sqref="AE1" xr:uid="{F8684B18-AC0E-43CD-B6FB-04A90D963302}"/>
    <dataValidation allowBlank="1" showInputMessage="1" showErrorMessage="1" promptTitle="Petunjuk Pengisian" prompt="jumlah nilai pelajaran seluruh siswi dibagi Jumlah siswi _x000a_- tanpa mengikutkan yang boyong _x000a_- cuty tetap diikutkan_x000a_- siswi yang her/ tanpa keterangan dikira kirakan 4 nilainya" sqref="H37 H52" xr:uid="{257EF14D-BE07-4F3B-B2DF-7D77C049A7E8}"/>
    <dataValidation allowBlank="1" showInputMessage="1" showErrorMessage="1" promptTitle="Petunjuk Pengisian" prompt="jumlah nilai pelajaran seluruh siswi dibagi Jumlah siswi _x000a_- tanpa mengikutkan yang boyong/ cuty_x000a_- siswi yang her/ tanpa keterangan dikira kirakan 4 nilainya" sqref="H38:H51" xr:uid="{F024BFAC-1029-402F-9152-540B40AAB388}"/>
    <dataValidation allowBlank="1" showInputMessage="1" showErrorMessage="1" promptTitle="Petunjuk Pengisian" prompt="Jika Nilai Rata-ratanya mencapai_x000a_9 : الجيد الأول_x000a_8 : الجيد الثاني_x000a_7 : المتوسط الأول_x000a_6 : المتوسط الثاني_x000a_5 : الرديء/ المثبت" sqref="AC1:AC34" xr:uid="{1D10711D-433D-4583-A18A-D3AF81A3E4C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16</vt:i4>
      </vt:variant>
    </vt:vector>
  </HeadingPairs>
  <TitlesOfParts>
    <vt:vector size="16" baseType="lpstr">
      <vt:lpstr>2 ALIYAH A</vt:lpstr>
      <vt:lpstr>2 ALIYAH B</vt:lpstr>
      <vt:lpstr>2 ALIYAH C</vt:lpstr>
      <vt:lpstr>2 ALIYAH D</vt:lpstr>
      <vt:lpstr>2 ALIYAH E</vt:lpstr>
      <vt:lpstr>2 ALIYAH F</vt:lpstr>
      <vt:lpstr>2 ALIYAH G</vt:lpstr>
      <vt:lpstr>2 ALIYAH H</vt:lpstr>
      <vt:lpstr>2 ALY A</vt:lpstr>
      <vt:lpstr>2 ALY B</vt:lpstr>
      <vt:lpstr>2 ALY C</vt:lpstr>
      <vt:lpstr>2 ALY D</vt:lpstr>
      <vt:lpstr>2 ALY E</vt:lpstr>
      <vt:lpstr>2 ALY F</vt:lpstr>
      <vt:lpstr>2 ALY G</vt:lpstr>
      <vt:lpstr>2 ALY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MPHM</dc:creator>
  <cp:lastModifiedBy>MSI</cp:lastModifiedBy>
  <cp:lastPrinted>2025-12-29T07:51:08Z</cp:lastPrinted>
  <dcterms:created xsi:type="dcterms:W3CDTF">2018-10-09T14:50:30Z</dcterms:created>
  <dcterms:modified xsi:type="dcterms:W3CDTF">2026-01-12T11:20:56Z</dcterms:modified>
</cp:coreProperties>
</file>